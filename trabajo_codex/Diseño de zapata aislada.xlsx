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Obras\Otras obras\Ricky\SEGUNDA JERUSALES - WALTER DIAZ\Analisis estructural\"/>
    </mc:Choice>
  </mc:AlternateContent>
  <xr:revisionPtr revIDLastSave="0" documentId="13_ncr:1_{38B5D856-FBEF-427D-A311-0607F0624989}" xr6:coauthVersionLast="47" xr6:coauthVersionMax="47" xr10:uidLastSave="{00000000-0000-0000-0000-000000000000}"/>
  <bookViews>
    <workbookView xWindow="5196" yWindow="0" windowWidth="12000" windowHeight="7992" xr2:uid="{00000000-000D-0000-FFFF-FFFF00000000}"/>
  </bookViews>
  <sheets>
    <sheet name="INGRESO_DATOS" sheetId="1" r:id="rId1"/>
    <sheet name="BARRAS_PERU" sheetId="2" r:id="rId2"/>
    <sheet name="CARGAS" sheetId="3" r:id="rId3"/>
    <sheet name="GEOMETRIA" sheetId="4" r:id="rId4"/>
    <sheet name="RESULTANTE" sheetId="5" r:id="rId5"/>
    <sheet name="PRESIONES_SERVICIO" sheetId="6" r:id="rId6"/>
    <sheet name="PRESIONES_ULTIMAS" sheetId="7" r:id="rId7"/>
    <sheet name="DIAGRAMAS_X" sheetId="8" r:id="rId8"/>
    <sheet name="DIAGRAMAS_Y" sheetId="9" r:id="rId9"/>
    <sheet name="PUNZONAMIENTO" sheetId="10" r:id="rId10"/>
    <sheet name="CORTANTE_UNIDIRECCIONAL" sheetId="11" r:id="rId11"/>
    <sheet name="FLEXION_ACERO" sheetId="12" r:id="rId12"/>
    <sheet name="ACERO_DETALLADO" sheetId="13" r:id="rId13"/>
    <sheet name="GRAFICOS" sheetId="14" r:id="rId14"/>
    <sheet name="RESUMEN" sheetId="15" r:id="rId15"/>
  </sheets>
  <definedNames>
    <definedName name="acero_dc_max">ACERO_DETALLADO!$B$11</definedName>
    <definedName name="acero_result">ACERO_DETALLADO!$B$12</definedName>
    <definedName name="acero_sep_result">ACERO_DETALLADO!$B$13</definedName>
    <definedName name="bar_area_cm2">BARRAS_PERU!$F$5:$F$13</definedName>
    <definedName name="bar_codes">BARRAS_PERU!$A$5:$A$13</definedName>
    <definedName name="bar_diam_cm">BARRAS_PERU!$E$5:$E$13</definedName>
    <definedName name="bar_peso_kgm">BARRAS_PERU!$G$5:$G$13</definedName>
    <definedName name="cort_dc">CORTANTE_UNIDIRECCIONAL!$B$12</definedName>
    <definedName name="cort_result">CORTANTE_UNIDIRECCIONAL!$B$13</definedName>
    <definedName name="cort_vu_max">CORTANTE_UNIDIRECCIONAL!$B$11</definedName>
    <definedName name="diagx_m_face_minus">DIAGRAMAS_X!$B$7</definedName>
    <definedName name="diagx_m_face_plus">DIAGRAMAS_X!$B$8</definedName>
    <definedName name="diagx_m_neg">DIAGRAMAS_X!$B$5</definedName>
    <definedName name="diagx_m_pos">DIAGRAMAS_X!$B$4</definedName>
    <definedName name="diagx_mu_por_m">DIAGRAMAS_X!$B$9</definedName>
    <definedName name="diagx_v_abs">DIAGRAMAS_X!$B$6</definedName>
    <definedName name="diagy_m_face_minus">DIAGRAMAS_Y!$B$7</definedName>
    <definedName name="diagy_m_face_plus">DIAGRAMAS_Y!$B$8</definedName>
    <definedName name="diagy_m_neg">DIAGRAMAS_Y!$B$5</definedName>
    <definedName name="diagy_m_pos">DIAGRAMAS_Y!$B$4</definedName>
    <definedName name="diagy_mu_por_m">DIAGRAMAS_Y!$B$9</definedName>
    <definedName name="diagy_v_abs">DIAGRAMAS_Y!$B$6</definedName>
    <definedName name="flex_as_req_inf_x">FLEXION_ACERO!$H$5</definedName>
    <definedName name="flex_as_req_inf_y">FLEXION_ACERO!$H$6</definedName>
    <definedName name="flex_as_req_sup_x">FLEXION_ACERO!$H$7</definedName>
    <definedName name="flex_as_req_sup_y">FLEXION_ACERO!$H$8</definedName>
    <definedName name="flex_dc">FLEXION_ACERO!$H$12</definedName>
    <definedName name="flex_mu_inf_x">FLEXION_ACERO!$D$5</definedName>
    <definedName name="flex_mu_inf_y">FLEXION_ACERO!$D$6</definedName>
    <definedName name="flex_mu_sup_x">FLEXION_ACERO!$D$7</definedName>
    <definedName name="flex_mu_sup_y">FLEXION_ACERO!$D$8</definedName>
    <definedName name="geo_area">GEOMETRIA!$B$4</definedName>
    <definedName name="geo_col_inside_status">GEOMETRIA!$B$12</definedName>
    <definedName name="geo_ix">GEOMETRIA!$B$9</definedName>
    <definedName name="geo_iy">GEOMETRIA!$B$10</definedName>
    <definedName name="geo_min_edge_dist">GEOMETRIA!$B$13</definedName>
    <definedName name="geo_smax">GEOMETRIA!$B$11</definedName>
    <definedName name="geo_vol_zapata">GEOMETRIA!$B$5</definedName>
    <definedName name="geo_w_suelo">GEOMETRIA!$B$7</definedName>
    <definedName name="geo_w_total">GEOMETRIA!$B$8</definedName>
    <definedName name="geo_w_zapata">GEOMETRIA!$B$6</definedName>
    <definedName name="inp_bar_inf_x">INGRESO_DATOS!$C$54</definedName>
    <definedName name="inp_bar_inf_y">INGRESO_DATOS!$C$55</definedName>
    <definedName name="inp_bar_sup_x">INGRESO_DATOS!$C$56</definedName>
    <definedName name="inp_bar_sup_y">INGRESO_DATOS!$C$57</definedName>
    <definedName name="inp_bx">INGRESO_DATOS!$C$30</definedName>
    <definedName name="inp_by">INGRESO_DATOS!$C$31</definedName>
    <definedName name="inp_convert_p">INGRESO_DATOS!$C$50</definedName>
    <definedName name="inp_cx">INGRESO_DATOS!$C$42</definedName>
    <definedName name="inp_cy">INGRESO_DATOS!$C$43</definedName>
    <definedName name="inp_df">INGRESO_DATOS!$C$33</definedName>
    <definedName name="inp_fc">INGRESO_DATOS!$C$14</definedName>
    <definedName name="inp_fy">INGRESO_DATOS!$C$15</definedName>
    <definedName name="inp_gamma_c">INGRESO_DATOS!$C$16</definedName>
    <definedName name="inp_gamma_s">INGRESO_DATOS!$C$17</definedName>
    <definedName name="inp_h">INGRESO_DATOS!$C$32</definedName>
    <definedName name="inp_hs">INGRESO_DATOS!$C$36</definedName>
    <definedName name="inp_mu">INGRESO_DATOS!$C$19</definedName>
    <definedName name="inp_n_div_x">INGRESO_DATOS!$C$37</definedName>
    <definedName name="inp_n_div_y">INGRESO_DATOS!$C$38</definedName>
    <definedName name="inp_peso_suelo">INGRESO_DATOS!$C$35</definedName>
    <definedName name="inp_peso_zapata">INGRESO_DATOS!$C$34</definedName>
    <definedName name="inp_phi_f">INGRESO_DATOS!$C$22</definedName>
    <definedName name="inp_phi_p">INGRESO_DATOS!$C$24</definedName>
    <definedName name="inp_phi_v">INGRESO_DATOS!$C$23</definedName>
    <definedName name="inp_qadm">INGRESO_DATOS!$C$18</definedName>
    <definedName name="inp_rec_inf">INGRESO_DATOS!$C$20</definedName>
    <definedName name="inp_rec_sup">INGRESO_DATOS!$C$21</definedName>
    <definedName name="inp_rho_min">INGRESO_DATOS!$C$25</definedName>
    <definedName name="inp_sep_inf_x">INGRESO_DATOS!$C$58</definedName>
    <definedName name="inp_sep_inf_y">INGRESO_DATOS!$C$59</definedName>
    <definedName name="inp_sep_max_usuario">INGRESO_DATOS!$C$26</definedName>
    <definedName name="inp_sep_sup_x">INGRESO_DATOS!$C$60</definedName>
    <definedName name="inp_sep_sup_y">INGRESO_DATOS!$C$61</definedName>
    <definedName name="inp_sign_mx_fy">INGRESO_DATOS!$C$48</definedName>
    <definedName name="inp_sign_my_fx">INGRESO_DATOS!$C$49</definedName>
    <definedName name="inp_traslado">INGRESO_DATOS!$C$47</definedName>
    <definedName name="inp_xc">INGRESO_DATOS!$C$44</definedName>
    <definedName name="inp_yc">INGRESO_DATOS!$C$45</definedName>
    <definedName name="inp_zh">INGRESO_DATOS!$C$46</definedName>
    <definedName name="punz_bo">PUNZONAMIENTO!$B$11</definedName>
    <definedName name="punz_d_cm">PUNZONAMIENTO!$B$10</definedName>
    <definedName name="punz_d_x">PUNZONAMIENTO!$B$8</definedName>
    <definedName name="punz_d_y">PUNZONAMIENTO!$B$9</definedName>
    <definedName name="punz_dc">PUNZONAMIENTO!$B$17</definedName>
    <definedName name="punz_phi_vc">PUNZONAMIENTO!$B$16</definedName>
    <definedName name="punz_result">PUNZONAMIENTO!$B$18</definedName>
    <definedName name="punz_vu">PUNZONAMIENTO!$B$14</definedName>
    <definedName name="punz_warning_edge">PUNZONAMIENTO!$B$19</definedName>
    <definedName name="q_srv_max">PRESIONES_SERVICIO!$D$10</definedName>
    <definedName name="q_srv_min">PRESIONES_SERVICIO!$D$11</definedName>
    <definedName name="q_srv_mx_my">PRESIONES_SERVICIO!$D$8</definedName>
    <definedName name="q_srv_mx_py">PRESIONES_SERVICIO!$D$7</definedName>
    <definedName name="q_srv_px_my">PRESIONES_SERVICIO!$D$6</definedName>
    <definedName name="q_srv_px_py">PRESIONES_SERVICIO!$D$5</definedName>
    <definedName name="q_srv_qadm_status">PRESIONES_SERVICIO!$D$13</definedName>
    <definedName name="q_srv_uplift_status">PRESIONES_SERVICIO!$D$14</definedName>
    <definedName name="q_u_max">PRESIONES_ULTIMAS!$D$10</definedName>
    <definedName name="q_u_min">PRESIONES_ULTIMAS!$D$11</definedName>
    <definedName name="q_u_mx_my">PRESIONES_ULTIMAS!$D$8</definedName>
    <definedName name="q_u_mx_py">PRESIONES_ULTIMAS!$D$7</definedName>
    <definedName name="q_u_px_my">PRESIONES_ULTIMAS!$D$6</definedName>
    <definedName name="q_u_px_py">PRESIONES_ULTIMAS!$D$5</definedName>
    <definedName name="q_u_uplift_status">PRESIONES_ULTIMAS!$D$13</definedName>
    <definedName name="res_srv_ex">RESULTANTE!$H$5</definedName>
    <definedName name="res_srv_ey">RESULTANTE!$I$5</definedName>
    <definedName name="res_srv_mx_tot">RESULTANTE!$F$5</definedName>
    <definedName name="res_srv_my_tot">RESULTANTE!$G$5</definedName>
    <definedName name="res_srv_nucleo">RESULTANTE!$N$5</definedName>
    <definedName name="res_srv_p_tot">RESULTANTE!$E$5</definedName>
    <definedName name="res_u_ex">RESULTANTE!$H$6</definedName>
    <definedName name="res_u_ey">RESULTANTE!$I$6</definedName>
    <definedName name="res_u_mx_tot">RESULTANTE!$F$6</definedName>
    <definedName name="res_u_my_tot">RESULTANTE!$G$6</definedName>
    <definedName name="res_u_nucleo">RESULTANTE!$N$6</definedName>
    <definedName name="res_u_p_tot">RESULTANTE!$E$6</definedName>
    <definedName name="resumen_final">RESUMEN!$B$23</definedName>
    <definedName name="srv_fx">CARGAS!$E$7</definedName>
    <definedName name="srv_fy">CARGAS!$E$8</definedName>
    <definedName name="srv_mx">CARGAS!$E$10</definedName>
    <definedName name="srv_my">CARGAS!$E$11</definedName>
    <definedName name="srv_mz">CARGAS!$E$12</definedName>
    <definedName name="srv_p">CARGAS!$E$9</definedName>
    <definedName name="srv_raw_fx">CARGAS!$C$7</definedName>
    <definedName name="srv_raw_fy">CARGAS!$C$8</definedName>
    <definedName name="srv_raw_mx">CARGAS!$C$10</definedName>
    <definedName name="srv_raw_my">CARGAS!$C$11</definedName>
    <definedName name="srv_raw_mz">CARGAS!$C$12</definedName>
    <definedName name="srv_raw_p">CARGAS!$C$9</definedName>
    <definedName name="srv_source">CARGAS!$C$4</definedName>
    <definedName name="steel_as_inf_x">ACERO_DETALLADO!$H$5</definedName>
    <definedName name="steel_as_inf_y">ACERO_DETALLADO!$H$6</definedName>
    <definedName name="steel_as_sup_x">ACERO_DETALLADO!$H$7</definedName>
    <definedName name="steel_as_sup_y">ACERO_DETALLADO!$H$8</definedName>
    <definedName name="ult_fx">CARGAS!$E$22</definedName>
    <definedName name="ult_fy">CARGAS!$E$23</definedName>
    <definedName name="ult_mx">CARGAS!$E$25</definedName>
    <definedName name="ult_my">CARGAS!$E$26</definedName>
    <definedName name="ult_mz">CARGAS!$E$27</definedName>
    <definedName name="ult_p">CARGAS!$E$24</definedName>
    <definedName name="ult_raw_fx">CARGAS!$C$22</definedName>
    <definedName name="ult_raw_fy">CARGAS!$C$23</definedName>
    <definedName name="ult_raw_mx">CARGAS!$C$25</definedName>
    <definedName name="ult_raw_my">CARGAS!$C$26</definedName>
    <definedName name="ult_raw_mz">CARGAS!$C$27</definedName>
    <definedName name="ult_raw_p">CARGAS!$C$24</definedName>
    <definedName name="ult_source">CARGAS!$C$19</definedName>
  </definedNames>
  <calcPr calcId="181029" forceFullCalc="1"/>
</workbook>
</file>

<file path=xl/calcChain.xml><?xml version="1.0" encoding="utf-8"?>
<calcChain xmlns="http://schemas.openxmlformats.org/spreadsheetml/2006/main">
  <c r="B38" i="15" l="1"/>
  <c r="B17" i="15"/>
  <c r="F14" i="15"/>
  <c r="F13" i="15"/>
  <c r="B9" i="15"/>
  <c r="B8" i="15"/>
  <c r="B7" i="15"/>
  <c r="B6" i="15"/>
  <c r="B5" i="15"/>
  <c r="A133" i="14"/>
  <c r="A132" i="14"/>
  <c r="J31" i="14"/>
  <c r="J30" i="14"/>
  <c r="J29" i="14"/>
  <c r="J28" i="14"/>
  <c r="J27" i="14"/>
  <c r="D27" i="14"/>
  <c r="C27" i="14"/>
  <c r="B27" i="14"/>
  <c r="A27" i="14"/>
  <c r="J26" i="14"/>
  <c r="D26" i="14"/>
  <c r="C26" i="14"/>
  <c r="B26" i="14"/>
  <c r="A26" i="14"/>
  <c r="J25" i="14"/>
  <c r="J24" i="14"/>
  <c r="J23" i="14"/>
  <c r="J22" i="14"/>
  <c r="J21" i="14"/>
  <c r="U20" i="14"/>
  <c r="T20" i="14"/>
  <c r="S20" i="14"/>
  <c r="R20" i="14"/>
  <c r="Q20" i="14"/>
  <c r="P20" i="14"/>
  <c r="O20" i="14"/>
  <c r="N20" i="14"/>
  <c r="M20" i="14"/>
  <c r="L20" i="14"/>
  <c r="K20" i="14"/>
  <c r="J15" i="14"/>
  <c r="C15" i="14"/>
  <c r="J14" i="14"/>
  <c r="C14" i="14"/>
  <c r="J13" i="14"/>
  <c r="C13" i="14"/>
  <c r="J12" i="14"/>
  <c r="C12" i="14"/>
  <c r="J11" i="14"/>
  <c r="J10" i="14"/>
  <c r="J9" i="14"/>
  <c r="D9" i="14"/>
  <c r="C9" i="14"/>
  <c r="J8" i="14"/>
  <c r="D8" i="14"/>
  <c r="C8" i="14"/>
  <c r="B8" i="14"/>
  <c r="A8" i="14"/>
  <c r="J7" i="14"/>
  <c r="D7" i="14"/>
  <c r="C7" i="14"/>
  <c r="B7" i="14"/>
  <c r="A7" i="14"/>
  <c r="J6" i="14"/>
  <c r="D6" i="14"/>
  <c r="C6" i="14"/>
  <c r="B6" i="14"/>
  <c r="A6" i="14"/>
  <c r="J5" i="14"/>
  <c r="D5" i="14"/>
  <c r="C5" i="14"/>
  <c r="B5" i="14"/>
  <c r="A5" i="14"/>
  <c r="U4" i="14"/>
  <c r="T4" i="14"/>
  <c r="S4" i="14"/>
  <c r="R4" i="14"/>
  <c r="Q4" i="14"/>
  <c r="P4" i="14"/>
  <c r="O4" i="14"/>
  <c r="N4" i="14"/>
  <c r="M4" i="14"/>
  <c r="L4" i="14"/>
  <c r="K4" i="14"/>
  <c r="D4" i="14"/>
  <c r="C4" i="14"/>
  <c r="B4" i="14"/>
  <c r="A4" i="14"/>
  <c r="F8" i="13"/>
  <c r="B8" i="13"/>
  <c r="C8" i="13" s="1"/>
  <c r="F7" i="13"/>
  <c r="B7" i="13"/>
  <c r="C7" i="13" s="1"/>
  <c r="F6" i="13"/>
  <c r="B6" i="13"/>
  <c r="C6" i="13" s="1"/>
  <c r="F5" i="13"/>
  <c r="B5" i="13"/>
  <c r="C5" i="13" s="1"/>
  <c r="E8" i="12"/>
  <c r="E7" i="12"/>
  <c r="B8" i="11"/>
  <c r="B7" i="11"/>
  <c r="B6" i="11"/>
  <c r="B5" i="11"/>
  <c r="B7" i="10"/>
  <c r="B9" i="10" s="1"/>
  <c r="E6" i="12" s="1"/>
  <c r="B6" i="10"/>
  <c r="B8" i="10" s="1"/>
  <c r="E5" i="12" s="1"/>
  <c r="B5" i="10"/>
  <c r="B4" i="10"/>
  <c r="B64" i="9"/>
  <c r="K64" i="9" s="1"/>
  <c r="B63" i="9"/>
  <c r="K63" i="9" s="1"/>
  <c r="B62" i="9"/>
  <c r="K62" i="9" s="1"/>
  <c r="B61" i="9"/>
  <c r="K61" i="9" s="1"/>
  <c r="B60" i="9"/>
  <c r="K60" i="9" s="1"/>
  <c r="B59" i="9"/>
  <c r="K59" i="9" s="1"/>
  <c r="B58" i="9"/>
  <c r="K58" i="9" s="1"/>
  <c r="B57" i="9"/>
  <c r="K57" i="9" s="1"/>
  <c r="B56" i="9"/>
  <c r="K56" i="9" s="1"/>
  <c r="B55" i="9"/>
  <c r="K55" i="9" s="1"/>
  <c r="B54" i="9"/>
  <c r="K54" i="9" s="1"/>
  <c r="B53" i="9"/>
  <c r="K53" i="9" s="1"/>
  <c r="B52" i="9"/>
  <c r="K52" i="9" s="1"/>
  <c r="B51" i="9"/>
  <c r="K51" i="9" s="1"/>
  <c r="B50" i="9"/>
  <c r="K50" i="9" s="1"/>
  <c r="B49" i="9"/>
  <c r="K49" i="9" s="1"/>
  <c r="B48" i="9"/>
  <c r="K48" i="9" s="1"/>
  <c r="B47" i="9"/>
  <c r="K47" i="9" s="1"/>
  <c r="B46" i="9"/>
  <c r="K46" i="9" s="1"/>
  <c r="B45" i="9"/>
  <c r="K45" i="9" s="1"/>
  <c r="B44" i="9"/>
  <c r="K44" i="9" s="1"/>
  <c r="B43" i="9"/>
  <c r="K43" i="9" s="1"/>
  <c r="B42" i="9"/>
  <c r="K42" i="9" s="1"/>
  <c r="B41" i="9"/>
  <c r="K41" i="9" s="1"/>
  <c r="B40" i="9"/>
  <c r="K40" i="9" s="1"/>
  <c r="B39" i="9"/>
  <c r="K39" i="9" s="1"/>
  <c r="B38" i="9"/>
  <c r="K38" i="9" s="1"/>
  <c r="B37" i="9"/>
  <c r="K37" i="9" s="1"/>
  <c r="B36" i="9"/>
  <c r="K36" i="9" s="1"/>
  <c r="B35" i="9"/>
  <c r="K35" i="9" s="1"/>
  <c r="B34" i="9"/>
  <c r="K34" i="9" s="1"/>
  <c r="B33" i="9"/>
  <c r="K33" i="9" s="1"/>
  <c r="B32" i="9"/>
  <c r="K32" i="9" s="1"/>
  <c r="B31" i="9"/>
  <c r="K31" i="9" s="1"/>
  <c r="B30" i="9"/>
  <c r="K30" i="9" s="1"/>
  <c r="B29" i="9"/>
  <c r="K29" i="9" s="1"/>
  <c r="B28" i="9"/>
  <c r="K28" i="9" s="1"/>
  <c r="B27" i="9"/>
  <c r="K27" i="9" s="1"/>
  <c r="B26" i="9"/>
  <c r="K26" i="9" s="1"/>
  <c r="B25" i="9"/>
  <c r="K25" i="9" s="1"/>
  <c r="B24" i="9"/>
  <c r="K24" i="9" s="1"/>
  <c r="B23" i="9"/>
  <c r="K23" i="9" s="1"/>
  <c r="B22" i="9"/>
  <c r="K22" i="9" s="1"/>
  <c r="B21" i="9"/>
  <c r="K21" i="9" s="1"/>
  <c r="B20" i="9"/>
  <c r="K20" i="9" s="1"/>
  <c r="B19" i="9"/>
  <c r="K19" i="9" s="1"/>
  <c r="B18" i="9"/>
  <c r="K18" i="9" s="1"/>
  <c r="B17" i="9"/>
  <c r="K17" i="9" s="1"/>
  <c r="B16" i="9"/>
  <c r="K16" i="9" s="1"/>
  <c r="B15" i="9"/>
  <c r="K15" i="9" s="1"/>
  <c r="J14" i="9"/>
  <c r="I14" i="9"/>
  <c r="H14" i="9"/>
  <c r="B14" i="9"/>
  <c r="K14" i="9" s="1"/>
  <c r="B64" i="8"/>
  <c r="K64" i="8" s="1"/>
  <c r="B63" i="8"/>
  <c r="K63" i="8" s="1"/>
  <c r="B62" i="8"/>
  <c r="K62" i="8" s="1"/>
  <c r="B61" i="8"/>
  <c r="K61" i="8" s="1"/>
  <c r="B60" i="8"/>
  <c r="K60" i="8" s="1"/>
  <c r="B59" i="8"/>
  <c r="K59" i="8" s="1"/>
  <c r="B58" i="8"/>
  <c r="K58" i="8" s="1"/>
  <c r="B57" i="8"/>
  <c r="K57" i="8" s="1"/>
  <c r="B56" i="8"/>
  <c r="K56" i="8" s="1"/>
  <c r="B55" i="8"/>
  <c r="K55" i="8" s="1"/>
  <c r="B54" i="8"/>
  <c r="K54" i="8" s="1"/>
  <c r="B53" i="8"/>
  <c r="K53" i="8" s="1"/>
  <c r="B52" i="8"/>
  <c r="K52" i="8" s="1"/>
  <c r="B51" i="8"/>
  <c r="K51" i="8" s="1"/>
  <c r="B50" i="8"/>
  <c r="K50" i="8" s="1"/>
  <c r="B49" i="8"/>
  <c r="K49" i="8" s="1"/>
  <c r="B48" i="8"/>
  <c r="K48" i="8" s="1"/>
  <c r="B47" i="8"/>
  <c r="K47" i="8" s="1"/>
  <c r="B46" i="8"/>
  <c r="K46" i="8" s="1"/>
  <c r="B45" i="8"/>
  <c r="K45" i="8" s="1"/>
  <c r="B44" i="8"/>
  <c r="K44" i="8" s="1"/>
  <c r="B43" i="8"/>
  <c r="K43" i="8" s="1"/>
  <c r="B42" i="8"/>
  <c r="K42" i="8" s="1"/>
  <c r="B41" i="8"/>
  <c r="K41" i="8" s="1"/>
  <c r="B40" i="8"/>
  <c r="K40" i="8" s="1"/>
  <c r="B39" i="8"/>
  <c r="B38" i="8"/>
  <c r="K38" i="8" s="1"/>
  <c r="B37" i="8"/>
  <c r="K37" i="8" s="1"/>
  <c r="B36" i="8"/>
  <c r="K36" i="8" s="1"/>
  <c r="B35" i="8"/>
  <c r="K35" i="8" s="1"/>
  <c r="B34" i="8"/>
  <c r="K34" i="8" s="1"/>
  <c r="B33" i="8"/>
  <c r="K33" i="8" s="1"/>
  <c r="B32" i="8"/>
  <c r="K32" i="8" s="1"/>
  <c r="B31" i="8"/>
  <c r="K31" i="8" s="1"/>
  <c r="B30" i="8"/>
  <c r="K30" i="8" s="1"/>
  <c r="B29" i="8"/>
  <c r="K29" i="8" s="1"/>
  <c r="B28" i="8"/>
  <c r="K28" i="8" s="1"/>
  <c r="B27" i="8"/>
  <c r="K27" i="8" s="1"/>
  <c r="B26" i="8"/>
  <c r="K26" i="8" s="1"/>
  <c r="B25" i="8"/>
  <c r="K25" i="8" s="1"/>
  <c r="B24" i="8"/>
  <c r="K24" i="8" s="1"/>
  <c r="B23" i="8"/>
  <c r="K23" i="8" s="1"/>
  <c r="B22" i="8"/>
  <c r="K22" i="8" s="1"/>
  <c r="B21" i="8"/>
  <c r="K21" i="8" s="1"/>
  <c r="B20" i="8"/>
  <c r="K20" i="8" s="1"/>
  <c r="B19" i="8"/>
  <c r="K19" i="8" s="1"/>
  <c r="B18" i="8"/>
  <c r="K18" i="8" s="1"/>
  <c r="B17" i="8"/>
  <c r="K17" i="8" s="1"/>
  <c r="B16" i="8"/>
  <c r="K16" i="8" s="1"/>
  <c r="B15" i="8"/>
  <c r="K15" i="8" s="1"/>
  <c r="J14" i="8"/>
  <c r="I14" i="8"/>
  <c r="H14" i="8"/>
  <c r="B14" i="8"/>
  <c r="K14" i="8" s="1"/>
  <c r="D12" i="6"/>
  <c r="A12" i="5"/>
  <c r="C2618" i="4"/>
  <c r="D2618" i="4" s="1"/>
  <c r="C2617" i="4"/>
  <c r="D2617" i="4" s="1"/>
  <c r="C2616" i="4"/>
  <c r="D2616" i="4" s="1"/>
  <c r="I2616" i="4" s="1"/>
  <c r="C2615" i="4"/>
  <c r="C2614" i="4"/>
  <c r="J2614" i="4" s="1"/>
  <c r="C2613" i="4"/>
  <c r="C2612" i="4"/>
  <c r="J2612" i="4" s="1"/>
  <c r="C2611" i="4"/>
  <c r="C2610" i="4"/>
  <c r="C2609" i="4"/>
  <c r="C2608" i="4"/>
  <c r="D2608" i="4" s="1"/>
  <c r="I2608" i="4" s="1"/>
  <c r="C2607" i="4"/>
  <c r="D2607" i="4" s="1"/>
  <c r="I2607" i="4" s="1"/>
  <c r="C2606" i="4"/>
  <c r="C2605" i="4"/>
  <c r="C2604" i="4"/>
  <c r="C2603" i="4"/>
  <c r="D2603" i="4" s="1"/>
  <c r="C2602" i="4"/>
  <c r="C2601" i="4"/>
  <c r="C2600" i="4"/>
  <c r="D2600" i="4" s="1"/>
  <c r="I2600" i="4" s="1"/>
  <c r="C2599" i="4"/>
  <c r="J2599" i="4" s="1"/>
  <c r="C2598" i="4"/>
  <c r="C2597" i="4"/>
  <c r="C2596" i="4"/>
  <c r="J2596" i="4" s="1"/>
  <c r="C2595" i="4"/>
  <c r="D2595" i="4" s="1"/>
  <c r="C2594" i="4"/>
  <c r="J2594" i="4" s="1"/>
  <c r="C2593" i="4"/>
  <c r="D2593" i="4" s="1"/>
  <c r="I2593" i="4" s="1"/>
  <c r="C2592" i="4"/>
  <c r="J2592" i="4" s="1"/>
  <c r="C2591" i="4"/>
  <c r="C2590" i="4"/>
  <c r="D2590" i="4" s="1"/>
  <c r="C2589" i="4"/>
  <c r="C2588" i="4"/>
  <c r="C2587" i="4"/>
  <c r="C2586" i="4"/>
  <c r="D2586" i="4" s="1"/>
  <c r="C2585" i="4"/>
  <c r="D2585" i="4" s="1"/>
  <c r="I2585" i="4" s="1"/>
  <c r="C2584" i="4"/>
  <c r="C2583" i="4"/>
  <c r="C2582" i="4"/>
  <c r="C2581" i="4"/>
  <c r="C2580" i="4"/>
  <c r="C2579" i="4"/>
  <c r="C2578" i="4"/>
  <c r="C2577" i="4"/>
  <c r="C2576" i="4"/>
  <c r="C2575" i="4"/>
  <c r="C2574" i="4"/>
  <c r="D2574" i="4" s="1"/>
  <c r="C2573" i="4"/>
  <c r="D2573" i="4" s="1"/>
  <c r="I2573" i="4" s="1"/>
  <c r="C2572" i="4"/>
  <c r="J2572" i="4" s="1"/>
  <c r="C2571" i="4"/>
  <c r="J2571" i="4" s="1"/>
  <c r="C2570" i="4"/>
  <c r="C2569" i="4"/>
  <c r="J2569" i="4" s="1"/>
  <c r="C2568" i="4"/>
  <c r="J2568" i="4" s="1"/>
  <c r="C2567" i="4"/>
  <c r="D2567" i="4" s="1"/>
  <c r="C2566" i="4"/>
  <c r="D2566" i="4" s="1"/>
  <c r="C2565" i="4"/>
  <c r="D2565" i="4" s="1"/>
  <c r="I2565" i="4" s="1"/>
  <c r="C2564" i="4"/>
  <c r="D2564" i="4" s="1"/>
  <c r="C2563" i="4"/>
  <c r="J2563" i="4" s="1"/>
  <c r="C2562" i="4"/>
  <c r="C2561" i="4"/>
  <c r="D2561" i="4" s="1"/>
  <c r="C2560" i="4"/>
  <c r="J2560" i="4" s="1"/>
  <c r="C2559" i="4"/>
  <c r="D2559" i="4" s="1"/>
  <c r="C2558" i="4"/>
  <c r="C2557" i="4"/>
  <c r="D2557" i="4" s="1"/>
  <c r="I2557" i="4" s="1"/>
  <c r="C2556" i="4"/>
  <c r="J2556" i="4" s="1"/>
  <c r="C2555" i="4"/>
  <c r="J2555" i="4" s="1"/>
  <c r="C2554" i="4"/>
  <c r="C2553" i="4"/>
  <c r="C2552" i="4"/>
  <c r="C2551" i="4"/>
  <c r="C2550" i="4"/>
  <c r="J2550" i="4" s="1"/>
  <c r="C2549" i="4"/>
  <c r="D2549" i="4" s="1"/>
  <c r="I2549" i="4" s="1"/>
  <c r="C2548" i="4"/>
  <c r="J2548" i="4" s="1"/>
  <c r="C2547" i="4"/>
  <c r="J2547" i="4" s="1"/>
  <c r="C2546" i="4"/>
  <c r="D2546" i="4" s="1"/>
  <c r="C2545" i="4"/>
  <c r="J2545" i="4" s="1"/>
  <c r="C2544" i="4"/>
  <c r="J2544" i="4" s="1"/>
  <c r="C2543" i="4"/>
  <c r="C2542" i="4"/>
  <c r="J2542" i="4" s="1"/>
  <c r="C2541" i="4"/>
  <c r="D2541" i="4" s="1"/>
  <c r="C2540" i="4"/>
  <c r="C2539" i="4"/>
  <c r="J2539" i="4" s="1"/>
  <c r="C2538" i="4"/>
  <c r="C2537" i="4"/>
  <c r="C2536" i="4"/>
  <c r="C2535" i="4"/>
  <c r="C2534" i="4"/>
  <c r="C2533" i="4"/>
  <c r="C2532" i="4"/>
  <c r="D2532" i="4" s="1"/>
  <c r="I2532" i="4" s="1"/>
  <c r="C2531" i="4"/>
  <c r="C2530" i="4"/>
  <c r="C2529" i="4"/>
  <c r="J2529" i="4" s="1"/>
  <c r="C2528" i="4"/>
  <c r="J2528" i="4" s="1"/>
  <c r="C2527" i="4"/>
  <c r="C2526" i="4"/>
  <c r="C2525" i="4"/>
  <c r="C2524" i="4"/>
  <c r="D2524" i="4" s="1"/>
  <c r="I2524" i="4" s="1"/>
  <c r="C2523" i="4"/>
  <c r="C2522" i="4"/>
  <c r="C2521" i="4"/>
  <c r="J2521" i="4" s="1"/>
  <c r="C2520" i="4"/>
  <c r="C2519" i="4"/>
  <c r="C2518" i="4"/>
  <c r="J2518" i="4" s="1"/>
  <c r="C2517" i="4"/>
  <c r="C2516" i="4"/>
  <c r="C2515" i="4"/>
  <c r="C2514" i="4"/>
  <c r="C2513" i="4"/>
  <c r="J2513" i="4" s="1"/>
  <c r="C2512" i="4"/>
  <c r="J2512" i="4" s="1"/>
  <c r="C2511" i="4"/>
  <c r="J2511" i="4" s="1"/>
  <c r="C2510" i="4"/>
  <c r="C2509" i="4"/>
  <c r="C2508" i="4"/>
  <c r="J2508" i="4" s="1"/>
  <c r="C2507" i="4"/>
  <c r="D2507" i="4" s="1"/>
  <c r="C2506" i="4"/>
  <c r="C2505" i="4"/>
  <c r="D2505" i="4" s="1"/>
  <c r="C2504" i="4"/>
  <c r="J2504" i="4" s="1"/>
  <c r="C2503" i="4"/>
  <c r="J2503" i="4" s="1"/>
  <c r="C2502" i="4"/>
  <c r="C2501" i="4"/>
  <c r="C2500" i="4"/>
  <c r="C2499" i="4"/>
  <c r="J2499" i="4" s="1"/>
  <c r="C2498" i="4"/>
  <c r="C2497" i="4"/>
  <c r="D2497" i="4" s="1"/>
  <c r="C2496" i="4"/>
  <c r="D2496" i="4" s="1"/>
  <c r="C2495" i="4"/>
  <c r="J2495" i="4" s="1"/>
  <c r="C2494" i="4"/>
  <c r="J2494" i="4" s="1"/>
  <c r="C2493" i="4"/>
  <c r="D2493" i="4" s="1"/>
  <c r="C2492" i="4"/>
  <c r="C2491" i="4"/>
  <c r="C2490" i="4"/>
  <c r="C2489" i="4"/>
  <c r="D2489" i="4" s="1"/>
  <c r="C2488" i="4"/>
  <c r="D2488" i="4" s="1"/>
  <c r="C2487" i="4"/>
  <c r="J2487" i="4" s="1"/>
  <c r="C2486" i="4"/>
  <c r="C2485" i="4"/>
  <c r="D2485" i="4" s="1"/>
  <c r="C2484" i="4"/>
  <c r="C2483" i="4"/>
  <c r="C2482" i="4"/>
  <c r="C2481" i="4"/>
  <c r="D2481" i="4" s="1"/>
  <c r="C2480" i="4"/>
  <c r="C2479" i="4"/>
  <c r="J2479" i="4" s="1"/>
  <c r="C2478" i="4"/>
  <c r="J2478" i="4" s="1"/>
  <c r="C2477" i="4"/>
  <c r="C2476" i="4"/>
  <c r="J2476" i="4" s="1"/>
  <c r="C2475" i="4"/>
  <c r="D2475" i="4" s="1"/>
  <c r="C2474" i="4"/>
  <c r="C2473" i="4"/>
  <c r="D2473" i="4" s="1"/>
  <c r="C2472" i="4"/>
  <c r="C2471" i="4"/>
  <c r="J2471" i="4" s="1"/>
  <c r="C2470" i="4"/>
  <c r="J2470" i="4" s="1"/>
  <c r="C2469" i="4"/>
  <c r="C2468" i="4"/>
  <c r="J2468" i="4" s="1"/>
  <c r="C2467" i="4"/>
  <c r="C2466" i="4"/>
  <c r="C2465" i="4"/>
  <c r="D2465" i="4" s="1"/>
  <c r="C2464" i="4"/>
  <c r="D2464" i="4" s="1"/>
  <c r="C2463" i="4"/>
  <c r="J2463" i="4" s="1"/>
  <c r="C2462" i="4"/>
  <c r="C2461" i="4"/>
  <c r="D2461" i="4" s="1"/>
  <c r="C2460" i="4"/>
  <c r="C2459" i="4"/>
  <c r="J2459" i="4" s="1"/>
  <c r="C2458" i="4"/>
  <c r="J2458" i="4" s="1"/>
  <c r="C2457" i="4"/>
  <c r="C2456" i="4"/>
  <c r="J2456" i="4" s="1"/>
  <c r="C2455" i="4"/>
  <c r="J2455" i="4" s="1"/>
  <c r="C2454" i="4"/>
  <c r="C2453" i="4"/>
  <c r="C2452" i="4"/>
  <c r="C2451" i="4"/>
  <c r="C2450" i="4"/>
  <c r="J2450" i="4" s="1"/>
  <c r="C2449" i="4"/>
  <c r="C2448" i="4"/>
  <c r="C2447" i="4"/>
  <c r="J2447" i="4" s="1"/>
  <c r="C2446" i="4"/>
  <c r="C2445" i="4"/>
  <c r="D2445" i="4" s="1"/>
  <c r="C2444" i="4"/>
  <c r="J2444" i="4" s="1"/>
  <c r="C2443" i="4"/>
  <c r="J2443" i="4" s="1"/>
  <c r="C2442" i="4"/>
  <c r="J2442" i="4" s="1"/>
  <c r="C2441" i="4"/>
  <c r="D2441" i="4" s="1"/>
  <c r="C2440" i="4"/>
  <c r="J2440" i="4" s="1"/>
  <c r="C2439" i="4"/>
  <c r="J2439" i="4" s="1"/>
  <c r="C2438" i="4"/>
  <c r="J2438" i="4" s="1"/>
  <c r="C2437" i="4"/>
  <c r="D2437" i="4" s="1"/>
  <c r="C2436" i="4"/>
  <c r="D2436" i="4" s="1"/>
  <c r="C2435" i="4"/>
  <c r="C2434" i="4"/>
  <c r="C2433" i="4"/>
  <c r="C2432" i="4"/>
  <c r="D2432" i="4" s="1"/>
  <c r="I2432" i="4" s="1"/>
  <c r="C2431" i="4"/>
  <c r="J2431" i="4" s="1"/>
  <c r="C2430" i="4"/>
  <c r="J2430" i="4" s="1"/>
  <c r="C2429" i="4"/>
  <c r="D2429" i="4" s="1"/>
  <c r="C2428" i="4"/>
  <c r="C2427" i="4"/>
  <c r="C2426" i="4"/>
  <c r="C2425" i="4"/>
  <c r="C2424" i="4"/>
  <c r="C2423" i="4"/>
  <c r="J2423" i="4" s="1"/>
  <c r="C2422" i="4"/>
  <c r="C2421" i="4"/>
  <c r="D2421" i="4" s="1"/>
  <c r="C2420" i="4"/>
  <c r="C2419" i="4"/>
  <c r="C2418" i="4"/>
  <c r="J2418" i="4" s="1"/>
  <c r="C2417" i="4"/>
  <c r="D2417" i="4" s="1"/>
  <c r="I2417" i="4" s="1"/>
  <c r="C2416" i="4"/>
  <c r="C2415" i="4"/>
  <c r="C2414" i="4"/>
  <c r="J2414" i="4" s="1"/>
  <c r="C2413" i="4"/>
  <c r="D2413" i="4" s="1"/>
  <c r="C2412" i="4"/>
  <c r="J2412" i="4" s="1"/>
  <c r="C2411" i="4"/>
  <c r="J2411" i="4" s="1"/>
  <c r="C2410" i="4"/>
  <c r="J2410" i="4" s="1"/>
  <c r="C2409" i="4"/>
  <c r="D2409" i="4" s="1"/>
  <c r="I2409" i="4" s="1"/>
  <c r="C2408" i="4"/>
  <c r="C2407" i="4"/>
  <c r="C2406" i="4"/>
  <c r="C2405" i="4"/>
  <c r="D2405" i="4" s="1"/>
  <c r="C2404" i="4"/>
  <c r="C2403" i="4"/>
  <c r="C2402" i="4"/>
  <c r="J2402" i="4" s="1"/>
  <c r="C2401" i="4"/>
  <c r="C2400" i="4"/>
  <c r="D2400" i="4" s="1"/>
  <c r="C2399" i="4"/>
  <c r="J2399" i="4" s="1"/>
  <c r="C2398" i="4"/>
  <c r="D2398" i="4" s="1"/>
  <c r="I2398" i="4" s="1"/>
  <c r="C2397" i="4"/>
  <c r="J2397" i="4" s="1"/>
  <c r="C2396" i="4"/>
  <c r="C2395" i="4"/>
  <c r="C2394" i="4"/>
  <c r="J2394" i="4" s="1"/>
  <c r="C2393" i="4"/>
  <c r="C2392" i="4"/>
  <c r="D2392" i="4" s="1"/>
  <c r="C2391" i="4"/>
  <c r="C2390" i="4"/>
  <c r="J2390" i="4" s="1"/>
  <c r="C2389" i="4"/>
  <c r="C2388" i="4"/>
  <c r="C2387" i="4"/>
  <c r="J2387" i="4" s="1"/>
  <c r="C2386" i="4"/>
  <c r="J2386" i="4" s="1"/>
  <c r="C2385" i="4"/>
  <c r="C2384" i="4"/>
  <c r="J2384" i="4" s="1"/>
  <c r="C2383" i="4"/>
  <c r="J2383" i="4" s="1"/>
  <c r="C2382" i="4"/>
  <c r="D2382" i="4" s="1"/>
  <c r="I2382" i="4" s="1"/>
  <c r="C2381" i="4"/>
  <c r="D2381" i="4" s="1"/>
  <c r="C2380" i="4"/>
  <c r="C2379" i="4"/>
  <c r="J2379" i="4" s="1"/>
  <c r="C2378" i="4"/>
  <c r="C2377" i="4"/>
  <c r="C2376" i="4"/>
  <c r="C2375" i="4"/>
  <c r="C2374" i="4"/>
  <c r="D2374" i="4" s="1"/>
  <c r="I2374" i="4" s="1"/>
  <c r="C2373" i="4"/>
  <c r="J2373" i="4" s="1"/>
  <c r="C2372" i="4"/>
  <c r="C2371" i="4"/>
  <c r="C2370" i="4"/>
  <c r="J2370" i="4" s="1"/>
  <c r="C2369" i="4"/>
  <c r="C2368" i="4"/>
  <c r="J2368" i="4" s="1"/>
  <c r="C2367" i="4"/>
  <c r="J2367" i="4" s="1"/>
  <c r="C2366" i="4"/>
  <c r="D2366" i="4" s="1"/>
  <c r="I2366" i="4" s="1"/>
  <c r="C2365" i="4"/>
  <c r="J2365" i="4" s="1"/>
  <c r="C2364" i="4"/>
  <c r="C2363" i="4"/>
  <c r="D2363" i="4" s="1"/>
  <c r="C2362" i="4"/>
  <c r="C2361" i="4"/>
  <c r="D2361" i="4" s="1"/>
  <c r="C2360" i="4"/>
  <c r="J2360" i="4" s="1"/>
  <c r="C2359" i="4"/>
  <c r="C2358" i="4"/>
  <c r="D2358" i="4" s="1"/>
  <c r="I2358" i="4" s="1"/>
  <c r="C2357" i="4"/>
  <c r="J2357" i="4" s="1"/>
  <c r="C2356" i="4"/>
  <c r="C2355" i="4"/>
  <c r="C2354" i="4"/>
  <c r="J2354" i="4" s="1"/>
  <c r="C2353" i="4"/>
  <c r="D2353" i="4" s="1"/>
  <c r="C2352" i="4"/>
  <c r="J2352" i="4" s="1"/>
  <c r="C2351" i="4"/>
  <c r="J2351" i="4" s="1"/>
  <c r="C2350" i="4"/>
  <c r="D2350" i="4" s="1"/>
  <c r="I2350" i="4" s="1"/>
  <c r="C2349" i="4"/>
  <c r="C2348" i="4"/>
  <c r="C2347" i="4"/>
  <c r="C2346" i="4"/>
  <c r="J2346" i="4" s="1"/>
  <c r="C2345" i="4"/>
  <c r="D2345" i="4" s="1"/>
  <c r="C2344" i="4"/>
  <c r="C2343" i="4"/>
  <c r="D2343" i="4" s="1"/>
  <c r="C2342" i="4"/>
  <c r="C2341" i="4"/>
  <c r="J2341" i="4" s="1"/>
  <c r="C2340" i="4"/>
  <c r="J2340" i="4" s="1"/>
  <c r="C2339" i="4"/>
  <c r="C2338" i="4"/>
  <c r="J2338" i="4" s="1"/>
  <c r="C2337" i="4"/>
  <c r="J2337" i="4" s="1"/>
  <c r="C2336" i="4"/>
  <c r="D2336" i="4" s="1"/>
  <c r="C2335" i="4"/>
  <c r="C2334" i="4"/>
  <c r="D2334" i="4" s="1"/>
  <c r="C2333" i="4"/>
  <c r="D2333" i="4" s="1"/>
  <c r="C2332" i="4"/>
  <c r="J2332" i="4" s="1"/>
  <c r="C2331" i="4"/>
  <c r="J2331" i="4" s="1"/>
  <c r="C2330" i="4"/>
  <c r="C2329" i="4"/>
  <c r="J2329" i="4" s="1"/>
  <c r="C2328" i="4"/>
  <c r="C2327" i="4"/>
  <c r="J2327" i="4" s="1"/>
  <c r="C2326" i="4"/>
  <c r="D2326" i="4" s="1"/>
  <c r="I2326" i="4" s="1"/>
  <c r="C2325" i="4"/>
  <c r="J2325" i="4" s="1"/>
  <c r="C2324" i="4"/>
  <c r="J2324" i="4" s="1"/>
  <c r="C2323" i="4"/>
  <c r="J2323" i="4" s="1"/>
  <c r="C2322" i="4"/>
  <c r="C2321" i="4"/>
  <c r="C2320" i="4"/>
  <c r="D2320" i="4" s="1"/>
  <c r="C2319" i="4"/>
  <c r="C2318" i="4"/>
  <c r="C2317" i="4"/>
  <c r="C2316" i="4"/>
  <c r="D2316" i="4" s="1"/>
  <c r="C2315" i="4"/>
  <c r="D2315" i="4" s="1"/>
  <c r="C2314" i="4"/>
  <c r="C2313" i="4"/>
  <c r="J2313" i="4" s="1"/>
  <c r="C2312" i="4"/>
  <c r="C2311" i="4"/>
  <c r="J2311" i="4" s="1"/>
  <c r="C2310" i="4"/>
  <c r="C2309" i="4"/>
  <c r="C2308" i="4"/>
  <c r="D2308" i="4" s="1"/>
  <c r="C2307" i="4"/>
  <c r="C2306" i="4"/>
  <c r="C2305" i="4"/>
  <c r="C2304" i="4"/>
  <c r="C2303" i="4"/>
  <c r="J2303" i="4" s="1"/>
  <c r="C2302" i="4"/>
  <c r="J2302" i="4" s="1"/>
  <c r="C2301" i="4"/>
  <c r="C2300" i="4"/>
  <c r="C2299" i="4"/>
  <c r="J2299" i="4" s="1"/>
  <c r="C2298" i="4"/>
  <c r="C2297" i="4"/>
  <c r="J2297" i="4" s="1"/>
  <c r="C2296" i="4"/>
  <c r="C2295" i="4"/>
  <c r="J2295" i="4" s="1"/>
  <c r="C2294" i="4"/>
  <c r="J2294" i="4" s="1"/>
  <c r="C2293" i="4"/>
  <c r="C2292" i="4"/>
  <c r="C2291" i="4"/>
  <c r="J2291" i="4" s="1"/>
  <c r="C2290" i="4"/>
  <c r="C2289" i="4"/>
  <c r="J2289" i="4" s="1"/>
  <c r="C2288" i="4"/>
  <c r="C2287" i="4"/>
  <c r="J2287" i="4" s="1"/>
  <c r="C2286" i="4"/>
  <c r="J2286" i="4" s="1"/>
  <c r="C2285" i="4"/>
  <c r="C2284" i="4"/>
  <c r="D2284" i="4" s="1"/>
  <c r="C2283" i="4"/>
  <c r="C2282" i="4"/>
  <c r="C2281" i="4"/>
  <c r="C2280" i="4"/>
  <c r="C2279" i="4"/>
  <c r="C2278" i="4"/>
  <c r="C2277" i="4"/>
  <c r="D2277" i="4" s="1"/>
  <c r="I2277" i="4" s="1"/>
  <c r="C2276" i="4"/>
  <c r="J2276" i="4" s="1"/>
  <c r="C2275" i="4"/>
  <c r="C2274" i="4"/>
  <c r="D2274" i="4" s="1"/>
  <c r="C2273" i="4"/>
  <c r="C2272" i="4"/>
  <c r="J2272" i="4" s="1"/>
  <c r="C2271" i="4"/>
  <c r="D2271" i="4" s="1"/>
  <c r="I2271" i="4" s="1"/>
  <c r="C2270" i="4"/>
  <c r="C2269" i="4"/>
  <c r="D2269" i="4" s="1"/>
  <c r="C2268" i="4"/>
  <c r="C2267" i="4"/>
  <c r="C2266" i="4"/>
  <c r="C2265" i="4"/>
  <c r="C2264" i="4"/>
  <c r="D2264" i="4" s="1"/>
  <c r="C2263" i="4"/>
  <c r="C2262" i="4"/>
  <c r="C2261" i="4"/>
  <c r="D2261" i="4" s="1"/>
  <c r="I2261" i="4" s="1"/>
  <c r="C2260" i="4"/>
  <c r="J2260" i="4" s="1"/>
  <c r="C2259" i="4"/>
  <c r="J2259" i="4" s="1"/>
  <c r="C2258" i="4"/>
  <c r="C2257" i="4"/>
  <c r="J2257" i="4" s="1"/>
  <c r="C2256" i="4"/>
  <c r="D2256" i="4" s="1"/>
  <c r="C2255" i="4"/>
  <c r="C2254" i="4"/>
  <c r="C2253" i="4"/>
  <c r="C2252" i="4"/>
  <c r="C2251" i="4"/>
  <c r="J2251" i="4" s="1"/>
  <c r="C2250" i="4"/>
  <c r="D2250" i="4" s="1"/>
  <c r="C2249" i="4"/>
  <c r="C2248" i="4"/>
  <c r="C2247" i="4"/>
  <c r="D2247" i="4" s="1"/>
  <c r="I2247" i="4" s="1"/>
  <c r="C2246" i="4"/>
  <c r="C2245" i="4"/>
  <c r="D2245" i="4" s="1"/>
  <c r="I2245" i="4" s="1"/>
  <c r="C2244" i="4"/>
  <c r="C2243" i="4"/>
  <c r="C2242" i="4"/>
  <c r="D2242" i="4" s="1"/>
  <c r="C2241" i="4"/>
  <c r="C2240" i="4"/>
  <c r="C2239" i="4"/>
  <c r="C2238" i="4"/>
  <c r="C2237" i="4"/>
  <c r="C2236" i="4"/>
  <c r="C2235" i="4"/>
  <c r="J2235" i="4" s="1"/>
  <c r="C2234" i="4"/>
  <c r="C2233" i="4"/>
  <c r="C2232" i="4"/>
  <c r="J2232" i="4" s="1"/>
  <c r="C2231" i="4"/>
  <c r="D2231" i="4" s="1"/>
  <c r="I2231" i="4" s="1"/>
  <c r="C2230" i="4"/>
  <c r="C2229" i="4"/>
  <c r="D2229" i="4" s="1"/>
  <c r="I2229" i="4" s="1"/>
  <c r="C2228" i="4"/>
  <c r="C2227" i="4"/>
  <c r="C2226" i="4"/>
  <c r="D2226" i="4" s="1"/>
  <c r="C2225" i="4"/>
  <c r="J2225" i="4" s="1"/>
  <c r="C2224" i="4"/>
  <c r="C2223" i="4"/>
  <c r="C2222" i="4"/>
  <c r="C2221" i="4"/>
  <c r="D2221" i="4" s="1"/>
  <c r="I2221" i="4" s="1"/>
  <c r="C2220" i="4"/>
  <c r="J2220" i="4" s="1"/>
  <c r="C2219" i="4"/>
  <c r="C2218" i="4"/>
  <c r="J2218" i="4" s="1"/>
  <c r="C2217" i="4"/>
  <c r="C2216" i="4"/>
  <c r="J2216" i="4" s="1"/>
  <c r="C2215" i="4"/>
  <c r="C2214" i="4"/>
  <c r="C2213" i="4"/>
  <c r="D2213" i="4" s="1"/>
  <c r="I2213" i="4" s="1"/>
  <c r="C2212" i="4"/>
  <c r="D2212" i="4" s="1"/>
  <c r="C2211" i="4"/>
  <c r="C2210" i="4"/>
  <c r="C2209" i="4"/>
  <c r="D2209" i="4" s="1"/>
  <c r="C2208" i="4"/>
  <c r="C2207" i="4"/>
  <c r="C2206" i="4"/>
  <c r="C2205" i="4"/>
  <c r="C2204" i="4"/>
  <c r="D2204" i="4" s="1"/>
  <c r="C2203" i="4"/>
  <c r="J2203" i="4" s="1"/>
  <c r="C2202" i="4"/>
  <c r="C2201" i="4"/>
  <c r="C2200" i="4"/>
  <c r="C2199" i="4"/>
  <c r="D2199" i="4" s="1"/>
  <c r="C2198" i="4"/>
  <c r="C2197" i="4"/>
  <c r="C2196" i="4"/>
  <c r="D2196" i="4" s="1"/>
  <c r="C2195" i="4"/>
  <c r="J2195" i="4" s="1"/>
  <c r="C2194" i="4"/>
  <c r="J2194" i="4" s="1"/>
  <c r="C2193" i="4"/>
  <c r="C2192" i="4"/>
  <c r="D2192" i="4" s="1"/>
  <c r="I2192" i="4" s="1"/>
  <c r="C2191" i="4"/>
  <c r="D2191" i="4" s="1"/>
  <c r="I2191" i="4" s="1"/>
  <c r="C2190" i="4"/>
  <c r="C2189" i="4"/>
  <c r="J2189" i="4" s="1"/>
  <c r="C2188" i="4"/>
  <c r="J2188" i="4" s="1"/>
  <c r="C2187" i="4"/>
  <c r="J2187" i="4" s="1"/>
  <c r="C2186" i="4"/>
  <c r="J2186" i="4" s="1"/>
  <c r="C2185" i="4"/>
  <c r="D2185" i="4" s="1"/>
  <c r="C2184" i="4"/>
  <c r="J2184" i="4" s="1"/>
  <c r="C2183" i="4"/>
  <c r="D2183" i="4" s="1"/>
  <c r="I2183" i="4" s="1"/>
  <c r="C2182" i="4"/>
  <c r="C2181" i="4"/>
  <c r="C2180" i="4"/>
  <c r="J2180" i="4" s="1"/>
  <c r="C2179" i="4"/>
  <c r="D2179" i="4" s="1"/>
  <c r="C2178" i="4"/>
  <c r="J2178" i="4" s="1"/>
  <c r="C2177" i="4"/>
  <c r="D2177" i="4" s="1"/>
  <c r="C2176" i="4"/>
  <c r="J2176" i="4" s="1"/>
  <c r="C2175" i="4"/>
  <c r="C2174" i="4"/>
  <c r="C2173" i="4"/>
  <c r="C2172" i="4"/>
  <c r="C2171" i="4"/>
  <c r="J2171" i="4" s="1"/>
  <c r="C2170" i="4"/>
  <c r="J2170" i="4" s="1"/>
  <c r="C2169" i="4"/>
  <c r="J2169" i="4" s="1"/>
  <c r="C2168" i="4"/>
  <c r="C2167" i="4"/>
  <c r="C2166" i="4"/>
  <c r="J2166" i="4" s="1"/>
  <c r="C2165" i="4"/>
  <c r="J2165" i="4" s="1"/>
  <c r="C2164" i="4"/>
  <c r="J2164" i="4" s="1"/>
  <c r="C2163" i="4"/>
  <c r="J2163" i="4" s="1"/>
  <c r="C2162" i="4"/>
  <c r="J2162" i="4" s="1"/>
  <c r="C2161" i="4"/>
  <c r="J2161" i="4" s="1"/>
  <c r="C2160" i="4"/>
  <c r="C2159" i="4"/>
  <c r="J2159" i="4" s="1"/>
  <c r="C2158" i="4"/>
  <c r="C2157" i="4"/>
  <c r="J2157" i="4" s="1"/>
  <c r="C2156" i="4"/>
  <c r="J2156" i="4" s="1"/>
  <c r="C2155" i="4"/>
  <c r="D2155" i="4" s="1"/>
  <c r="I2155" i="4" s="1"/>
  <c r="C2154" i="4"/>
  <c r="D2154" i="4" s="1"/>
  <c r="C2153" i="4"/>
  <c r="J2153" i="4" s="1"/>
  <c r="C2152" i="4"/>
  <c r="J2152" i="4" s="1"/>
  <c r="C2151" i="4"/>
  <c r="C2150" i="4"/>
  <c r="C2149" i="4"/>
  <c r="J2149" i="4" s="1"/>
  <c r="C2148" i="4"/>
  <c r="J2148" i="4" s="1"/>
  <c r="C2147" i="4"/>
  <c r="D2147" i="4" s="1"/>
  <c r="I2147" i="4" s="1"/>
  <c r="C2146" i="4"/>
  <c r="J2146" i="4" s="1"/>
  <c r="C2145" i="4"/>
  <c r="J2145" i="4" s="1"/>
  <c r="C2144" i="4"/>
  <c r="J2144" i="4" s="1"/>
  <c r="C2143" i="4"/>
  <c r="C2142" i="4"/>
  <c r="C2141" i="4"/>
  <c r="J2141" i="4" s="1"/>
  <c r="C2140" i="4"/>
  <c r="C2139" i="4"/>
  <c r="D2139" i="4" s="1"/>
  <c r="I2139" i="4" s="1"/>
  <c r="C2138" i="4"/>
  <c r="J2138" i="4" s="1"/>
  <c r="C2137" i="4"/>
  <c r="J2137" i="4" s="1"/>
  <c r="C2136" i="4"/>
  <c r="C2135" i="4"/>
  <c r="C2134" i="4"/>
  <c r="C2133" i="4"/>
  <c r="J2133" i="4" s="1"/>
  <c r="C2132" i="4"/>
  <c r="C2131" i="4"/>
  <c r="D2131" i="4" s="1"/>
  <c r="I2131" i="4" s="1"/>
  <c r="C2130" i="4"/>
  <c r="J2130" i="4" s="1"/>
  <c r="C2129" i="4"/>
  <c r="J2129" i="4" s="1"/>
  <c r="C2128" i="4"/>
  <c r="C2127" i="4"/>
  <c r="C2126" i="4"/>
  <c r="C2125" i="4"/>
  <c r="J2125" i="4" s="1"/>
  <c r="C2124" i="4"/>
  <c r="J2124" i="4" s="1"/>
  <c r="C2123" i="4"/>
  <c r="C2122" i="4"/>
  <c r="J2122" i="4" s="1"/>
  <c r="C2121" i="4"/>
  <c r="J2121" i="4" s="1"/>
  <c r="C2120" i="4"/>
  <c r="C2119" i="4"/>
  <c r="C2118" i="4"/>
  <c r="C2117" i="4"/>
  <c r="C2116" i="4"/>
  <c r="C2115" i="4"/>
  <c r="D2115" i="4" s="1"/>
  <c r="I2115" i="4" s="1"/>
  <c r="C2114" i="4"/>
  <c r="J2114" i="4" s="1"/>
  <c r="C2113" i="4"/>
  <c r="J2113" i="4" s="1"/>
  <c r="C2112" i="4"/>
  <c r="C2111" i="4"/>
  <c r="C2110" i="4"/>
  <c r="C2109" i="4"/>
  <c r="J2109" i="4" s="1"/>
  <c r="C2108" i="4"/>
  <c r="C2107" i="4"/>
  <c r="C2106" i="4"/>
  <c r="J2106" i="4" s="1"/>
  <c r="C2105" i="4"/>
  <c r="J2105" i="4" s="1"/>
  <c r="C2104" i="4"/>
  <c r="C2103" i="4"/>
  <c r="C2102" i="4"/>
  <c r="C2101" i="4"/>
  <c r="C2100" i="4"/>
  <c r="J2100" i="4" s="1"/>
  <c r="C2099" i="4"/>
  <c r="D2099" i="4" s="1"/>
  <c r="I2099" i="4" s="1"/>
  <c r="C2098" i="4"/>
  <c r="J2098" i="4" s="1"/>
  <c r="C2097" i="4"/>
  <c r="J2097" i="4" s="1"/>
  <c r="C2096" i="4"/>
  <c r="C2095" i="4"/>
  <c r="C2094" i="4"/>
  <c r="C2093" i="4"/>
  <c r="J2093" i="4" s="1"/>
  <c r="C2092" i="4"/>
  <c r="D2092" i="4" s="1"/>
  <c r="I2092" i="4" s="1"/>
  <c r="C2091" i="4"/>
  <c r="D2091" i="4" s="1"/>
  <c r="I2091" i="4" s="1"/>
  <c r="C2090" i="4"/>
  <c r="J2090" i="4" s="1"/>
  <c r="C2089" i="4"/>
  <c r="J2089" i="4" s="1"/>
  <c r="C2088" i="4"/>
  <c r="C2087" i="4"/>
  <c r="C2086" i="4"/>
  <c r="C2085" i="4"/>
  <c r="J2085" i="4" s="1"/>
  <c r="C2084" i="4"/>
  <c r="D2084" i="4" s="1"/>
  <c r="I2084" i="4" s="1"/>
  <c r="C2083" i="4"/>
  <c r="C2082" i="4"/>
  <c r="J2082" i="4" s="1"/>
  <c r="C2081" i="4"/>
  <c r="J2081" i="4" s="1"/>
  <c r="C2080" i="4"/>
  <c r="C2079" i="4"/>
  <c r="C2078" i="4"/>
  <c r="C2077" i="4"/>
  <c r="J2077" i="4" s="1"/>
  <c r="C2076" i="4"/>
  <c r="C2075" i="4"/>
  <c r="C2074" i="4"/>
  <c r="J2074" i="4" s="1"/>
  <c r="C2073" i="4"/>
  <c r="J2073" i="4" s="1"/>
  <c r="C2072" i="4"/>
  <c r="C2071" i="4"/>
  <c r="C2070" i="4"/>
  <c r="C2069" i="4"/>
  <c r="C2068" i="4"/>
  <c r="J2068" i="4" s="1"/>
  <c r="C2067" i="4"/>
  <c r="D2067" i="4" s="1"/>
  <c r="I2067" i="4" s="1"/>
  <c r="C2066" i="4"/>
  <c r="J2066" i="4" s="1"/>
  <c r="C2065" i="4"/>
  <c r="J2065" i="4" s="1"/>
  <c r="C2064" i="4"/>
  <c r="J2064" i="4" s="1"/>
  <c r="C2063" i="4"/>
  <c r="C2062" i="4"/>
  <c r="C2061" i="4"/>
  <c r="C2060" i="4"/>
  <c r="C2059" i="4"/>
  <c r="C2058" i="4"/>
  <c r="J2058" i="4" s="1"/>
  <c r="C2057" i="4"/>
  <c r="J2057" i="4" s="1"/>
  <c r="C2056" i="4"/>
  <c r="J2056" i="4" s="1"/>
  <c r="C2055" i="4"/>
  <c r="C2054" i="4"/>
  <c r="C2053" i="4"/>
  <c r="C2052" i="4"/>
  <c r="J2052" i="4" s="1"/>
  <c r="C2051" i="4"/>
  <c r="D2051" i="4" s="1"/>
  <c r="I2051" i="4" s="1"/>
  <c r="C2050" i="4"/>
  <c r="J2050" i="4" s="1"/>
  <c r="C2049" i="4"/>
  <c r="D2049" i="4" s="1"/>
  <c r="C2048" i="4"/>
  <c r="C2047" i="4"/>
  <c r="C2046" i="4"/>
  <c r="D2046" i="4" s="1"/>
  <c r="C2045" i="4"/>
  <c r="C2044" i="4"/>
  <c r="C2043" i="4"/>
  <c r="C2042" i="4"/>
  <c r="J2042" i="4" s="1"/>
  <c r="C2041" i="4"/>
  <c r="C2040" i="4"/>
  <c r="D2040" i="4" s="1"/>
  <c r="C2039" i="4"/>
  <c r="C2038" i="4"/>
  <c r="C2037" i="4"/>
  <c r="D2037" i="4" s="1"/>
  <c r="C2036" i="4"/>
  <c r="C2035" i="4"/>
  <c r="C2034" i="4"/>
  <c r="J2034" i="4" s="1"/>
  <c r="C2033" i="4"/>
  <c r="J2033" i="4" s="1"/>
  <c r="C2032" i="4"/>
  <c r="J2032" i="4" s="1"/>
  <c r="C2031" i="4"/>
  <c r="C2030" i="4"/>
  <c r="C2029" i="4"/>
  <c r="C2028" i="4"/>
  <c r="C2027" i="4"/>
  <c r="C2026" i="4"/>
  <c r="J2026" i="4" s="1"/>
  <c r="C2025" i="4"/>
  <c r="C2024" i="4"/>
  <c r="J2024" i="4" s="1"/>
  <c r="C2023" i="4"/>
  <c r="C2022" i="4"/>
  <c r="D2022" i="4" s="1"/>
  <c r="C2021" i="4"/>
  <c r="C2020" i="4"/>
  <c r="C2019" i="4"/>
  <c r="C2018" i="4"/>
  <c r="J2018" i="4" s="1"/>
  <c r="C2017" i="4"/>
  <c r="J2017" i="4" s="1"/>
  <c r="C2016" i="4"/>
  <c r="C2015" i="4"/>
  <c r="J2015" i="4" s="1"/>
  <c r="C2014" i="4"/>
  <c r="C2013" i="4"/>
  <c r="D2013" i="4" s="1"/>
  <c r="C2012" i="4"/>
  <c r="C2011" i="4"/>
  <c r="D2011" i="4" s="1"/>
  <c r="I2011" i="4" s="1"/>
  <c r="C2010" i="4"/>
  <c r="C2009" i="4"/>
  <c r="C2008" i="4"/>
  <c r="D2008" i="4" s="1"/>
  <c r="C2007" i="4"/>
  <c r="C2006" i="4"/>
  <c r="D2006" i="4" s="1"/>
  <c r="C2005" i="4"/>
  <c r="D2005" i="4" s="1"/>
  <c r="C2004" i="4"/>
  <c r="C2003" i="4"/>
  <c r="C2002" i="4"/>
  <c r="C2001" i="4"/>
  <c r="C2000" i="4"/>
  <c r="D2000" i="4" s="1"/>
  <c r="C1999" i="4"/>
  <c r="C1998" i="4"/>
  <c r="D1998" i="4" s="1"/>
  <c r="C1997" i="4"/>
  <c r="D1997" i="4" s="1"/>
  <c r="C1996" i="4"/>
  <c r="D1996" i="4" s="1"/>
  <c r="I1996" i="4" s="1"/>
  <c r="C1995" i="4"/>
  <c r="C1994" i="4"/>
  <c r="C1993" i="4"/>
  <c r="D1993" i="4" s="1"/>
  <c r="C1992" i="4"/>
  <c r="J1992" i="4" s="1"/>
  <c r="C1991" i="4"/>
  <c r="D1991" i="4" s="1"/>
  <c r="C1990" i="4"/>
  <c r="D1990" i="4" s="1"/>
  <c r="I1990" i="4" s="1"/>
  <c r="C1989" i="4"/>
  <c r="C1988" i="4"/>
  <c r="J1988" i="4" s="1"/>
  <c r="C1987" i="4"/>
  <c r="C1986" i="4"/>
  <c r="D1986" i="4" s="1"/>
  <c r="C1985" i="4"/>
  <c r="C1984" i="4"/>
  <c r="J1984" i="4" s="1"/>
  <c r="C1983" i="4"/>
  <c r="C1982" i="4"/>
  <c r="D1982" i="4" s="1"/>
  <c r="I1982" i="4" s="1"/>
  <c r="C1981" i="4"/>
  <c r="D1981" i="4" s="1"/>
  <c r="C1980" i="4"/>
  <c r="C1979" i="4"/>
  <c r="C1978" i="4"/>
  <c r="D1978" i="4" s="1"/>
  <c r="C1977" i="4"/>
  <c r="C1976" i="4"/>
  <c r="J1976" i="4" s="1"/>
  <c r="C1975" i="4"/>
  <c r="C1974" i="4"/>
  <c r="J1974" i="4" s="1"/>
  <c r="C1973" i="4"/>
  <c r="D1973" i="4" s="1"/>
  <c r="C1972" i="4"/>
  <c r="C1971" i="4"/>
  <c r="D1971" i="4" s="1"/>
  <c r="I1971" i="4" s="1"/>
  <c r="C1970" i="4"/>
  <c r="J1970" i="4" s="1"/>
  <c r="C1969" i="4"/>
  <c r="C1968" i="4"/>
  <c r="J1968" i="4" s="1"/>
  <c r="C1967" i="4"/>
  <c r="C1966" i="4"/>
  <c r="J1966" i="4" s="1"/>
  <c r="C1965" i="4"/>
  <c r="D1965" i="4" s="1"/>
  <c r="C1964" i="4"/>
  <c r="C1963" i="4"/>
  <c r="D1963" i="4" s="1"/>
  <c r="I1963" i="4" s="1"/>
  <c r="C1962" i="4"/>
  <c r="C1961" i="4"/>
  <c r="C1960" i="4"/>
  <c r="C1959" i="4"/>
  <c r="C1958" i="4"/>
  <c r="C1957" i="4"/>
  <c r="C1956" i="4"/>
  <c r="C1955" i="4"/>
  <c r="C1954" i="4"/>
  <c r="C1953" i="4"/>
  <c r="C1952" i="4"/>
  <c r="J1952" i="4" s="1"/>
  <c r="C1951" i="4"/>
  <c r="C1950" i="4"/>
  <c r="C1949" i="4"/>
  <c r="C1948" i="4"/>
  <c r="C1947" i="4"/>
  <c r="C1946" i="4"/>
  <c r="C1945" i="4"/>
  <c r="C1944" i="4"/>
  <c r="C1943" i="4"/>
  <c r="C1942" i="4"/>
  <c r="C1941" i="4"/>
  <c r="D1941" i="4" s="1"/>
  <c r="I1941" i="4" s="1"/>
  <c r="C1940" i="4"/>
  <c r="D1940" i="4" s="1"/>
  <c r="C1939" i="4"/>
  <c r="D1939" i="4" s="1"/>
  <c r="C1938" i="4"/>
  <c r="J1938" i="4" s="1"/>
  <c r="C1937" i="4"/>
  <c r="D1937" i="4" s="1"/>
  <c r="I1937" i="4" s="1"/>
  <c r="C1936" i="4"/>
  <c r="J1936" i="4" s="1"/>
  <c r="C1935" i="4"/>
  <c r="J1935" i="4" s="1"/>
  <c r="C1934" i="4"/>
  <c r="C1933" i="4"/>
  <c r="J1933" i="4" s="1"/>
  <c r="C1932" i="4"/>
  <c r="D1932" i="4" s="1"/>
  <c r="C1931" i="4"/>
  <c r="D1931" i="4" s="1"/>
  <c r="C1930" i="4"/>
  <c r="J1930" i="4" s="1"/>
  <c r="C1929" i="4"/>
  <c r="J1929" i="4" s="1"/>
  <c r="C1928" i="4"/>
  <c r="J1928" i="4" s="1"/>
  <c r="C1927" i="4"/>
  <c r="C1926" i="4"/>
  <c r="D1926" i="4" s="1"/>
  <c r="C1925" i="4"/>
  <c r="D1925" i="4" s="1"/>
  <c r="I1925" i="4" s="1"/>
  <c r="C1924" i="4"/>
  <c r="D1924" i="4" s="1"/>
  <c r="C1923" i="4"/>
  <c r="D1923" i="4" s="1"/>
  <c r="C1922" i="4"/>
  <c r="C1921" i="4"/>
  <c r="J1921" i="4" s="1"/>
  <c r="C1920" i="4"/>
  <c r="J1920" i="4" s="1"/>
  <c r="C1919" i="4"/>
  <c r="J1919" i="4" s="1"/>
  <c r="C1918" i="4"/>
  <c r="D1918" i="4" s="1"/>
  <c r="C1917" i="4"/>
  <c r="C1916" i="4"/>
  <c r="D1916" i="4" s="1"/>
  <c r="C1915" i="4"/>
  <c r="D1915" i="4" s="1"/>
  <c r="C1914" i="4"/>
  <c r="C1913" i="4"/>
  <c r="J1913" i="4" s="1"/>
  <c r="C1912" i="4"/>
  <c r="J1912" i="4" s="1"/>
  <c r="C1911" i="4"/>
  <c r="C1910" i="4"/>
  <c r="C1909" i="4"/>
  <c r="J1909" i="4" s="1"/>
  <c r="C1908" i="4"/>
  <c r="D1908" i="4" s="1"/>
  <c r="C1907" i="4"/>
  <c r="D1907" i="4" s="1"/>
  <c r="C1906" i="4"/>
  <c r="J1906" i="4" s="1"/>
  <c r="C1905" i="4"/>
  <c r="J1905" i="4" s="1"/>
  <c r="C1904" i="4"/>
  <c r="J1904" i="4" s="1"/>
  <c r="C1903" i="4"/>
  <c r="J1903" i="4" s="1"/>
  <c r="C1902" i="4"/>
  <c r="C1901" i="4"/>
  <c r="D1901" i="4" s="1"/>
  <c r="I1901" i="4" s="1"/>
  <c r="C1900" i="4"/>
  <c r="D1900" i="4" s="1"/>
  <c r="C1899" i="4"/>
  <c r="D1899" i="4" s="1"/>
  <c r="C1898" i="4"/>
  <c r="C1897" i="4"/>
  <c r="J1897" i="4" s="1"/>
  <c r="C1896" i="4"/>
  <c r="J1896" i="4" s="1"/>
  <c r="C1895" i="4"/>
  <c r="C1894" i="4"/>
  <c r="D1894" i="4" s="1"/>
  <c r="C1893" i="4"/>
  <c r="C1892" i="4"/>
  <c r="D1892" i="4" s="1"/>
  <c r="C1891" i="4"/>
  <c r="D1891" i="4" s="1"/>
  <c r="C1890" i="4"/>
  <c r="D1890" i="4" s="1"/>
  <c r="C1889" i="4"/>
  <c r="J1889" i="4" s="1"/>
  <c r="C1888" i="4"/>
  <c r="J1888" i="4" s="1"/>
  <c r="C1887" i="4"/>
  <c r="J1887" i="4" s="1"/>
  <c r="C1886" i="4"/>
  <c r="C1885" i="4"/>
  <c r="C1884" i="4"/>
  <c r="D1884" i="4" s="1"/>
  <c r="C1883" i="4"/>
  <c r="D1883" i="4" s="1"/>
  <c r="C1882" i="4"/>
  <c r="J1882" i="4" s="1"/>
  <c r="C1881" i="4"/>
  <c r="J1881" i="4" s="1"/>
  <c r="C1880" i="4"/>
  <c r="J1880" i="4" s="1"/>
  <c r="C1879" i="4"/>
  <c r="C1878" i="4"/>
  <c r="C1877" i="4"/>
  <c r="C1876" i="4"/>
  <c r="D1876" i="4" s="1"/>
  <c r="C1875" i="4"/>
  <c r="D1875" i="4" s="1"/>
  <c r="C1874" i="4"/>
  <c r="C1873" i="4"/>
  <c r="J1873" i="4" s="1"/>
  <c r="C1872" i="4"/>
  <c r="J1872" i="4" s="1"/>
  <c r="C1871" i="4"/>
  <c r="J1871" i="4" s="1"/>
  <c r="C1870" i="4"/>
  <c r="C1869" i="4"/>
  <c r="D1869" i="4" s="1"/>
  <c r="I1869" i="4" s="1"/>
  <c r="C1868" i="4"/>
  <c r="D1868" i="4" s="1"/>
  <c r="C1867" i="4"/>
  <c r="D1867" i="4" s="1"/>
  <c r="C1866" i="4"/>
  <c r="C1865" i="4"/>
  <c r="J1865" i="4" s="1"/>
  <c r="C1864" i="4"/>
  <c r="J1864" i="4" s="1"/>
  <c r="C1863" i="4"/>
  <c r="C1862" i="4"/>
  <c r="D1862" i="4" s="1"/>
  <c r="C1861" i="4"/>
  <c r="D1861" i="4" s="1"/>
  <c r="I1861" i="4" s="1"/>
  <c r="C1860" i="4"/>
  <c r="D1860" i="4" s="1"/>
  <c r="C1859" i="4"/>
  <c r="D1859" i="4" s="1"/>
  <c r="C1858" i="4"/>
  <c r="C1857" i="4"/>
  <c r="J1857" i="4" s="1"/>
  <c r="C1856" i="4"/>
  <c r="J1856" i="4" s="1"/>
  <c r="C1855" i="4"/>
  <c r="J1855" i="4" s="1"/>
  <c r="C1854" i="4"/>
  <c r="D1854" i="4" s="1"/>
  <c r="C1853" i="4"/>
  <c r="C1852" i="4"/>
  <c r="D1852" i="4" s="1"/>
  <c r="C1851" i="4"/>
  <c r="D1851" i="4" s="1"/>
  <c r="C1850" i="4"/>
  <c r="C1849" i="4"/>
  <c r="J1849" i="4" s="1"/>
  <c r="C1848" i="4"/>
  <c r="J1848" i="4" s="1"/>
  <c r="C1847" i="4"/>
  <c r="C1846" i="4"/>
  <c r="C1845" i="4"/>
  <c r="C1844" i="4"/>
  <c r="D1844" i="4" s="1"/>
  <c r="C1843" i="4"/>
  <c r="D1843" i="4" s="1"/>
  <c r="C1842" i="4"/>
  <c r="D1842" i="4" s="1"/>
  <c r="C1841" i="4"/>
  <c r="J1841" i="4" s="1"/>
  <c r="C1840" i="4"/>
  <c r="J1840" i="4" s="1"/>
  <c r="C1839" i="4"/>
  <c r="J1839" i="4" s="1"/>
  <c r="C1838" i="4"/>
  <c r="C1837" i="4"/>
  <c r="J1837" i="4" s="1"/>
  <c r="C1836" i="4"/>
  <c r="D1836" i="4" s="1"/>
  <c r="C1835" i="4"/>
  <c r="C1834" i="4"/>
  <c r="D1834" i="4" s="1"/>
  <c r="C1833" i="4"/>
  <c r="J1833" i="4" s="1"/>
  <c r="C1832" i="4"/>
  <c r="J1832" i="4" s="1"/>
  <c r="C1831" i="4"/>
  <c r="C1830" i="4"/>
  <c r="D1830" i="4" s="1"/>
  <c r="C1829" i="4"/>
  <c r="J1829" i="4" s="1"/>
  <c r="C1828" i="4"/>
  <c r="D1828" i="4" s="1"/>
  <c r="C1827" i="4"/>
  <c r="C1826" i="4"/>
  <c r="J1826" i="4" s="1"/>
  <c r="C1825" i="4"/>
  <c r="J1825" i="4" s="1"/>
  <c r="C1824" i="4"/>
  <c r="J1824" i="4" s="1"/>
  <c r="C1823" i="4"/>
  <c r="C1822" i="4"/>
  <c r="C1821" i="4"/>
  <c r="C1820" i="4"/>
  <c r="D1820" i="4" s="1"/>
  <c r="C1819" i="4"/>
  <c r="C1818" i="4"/>
  <c r="D1818" i="4" s="1"/>
  <c r="C1817" i="4"/>
  <c r="J1817" i="4" s="1"/>
  <c r="C1816" i="4"/>
  <c r="C1815" i="4"/>
  <c r="C1814" i="4"/>
  <c r="D1814" i="4" s="1"/>
  <c r="C1813" i="4"/>
  <c r="J1813" i="4" s="1"/>
  <c r="C1812" i="4"/>
  <c r="D1812" i="4" s="1"/>
  <c r="C1811" i="4"/>
  <c r="C1810" i="4"/>
  <c r="J1810" i="4" s="1"/>
  <c r="C1809" i="4"/>
  <c r="J1809" i="4" s="1"/>
  <c r="C1808" i="4"/>
  <c r="C1807" i="4"/>
  <c r="C1806" i="4"/>
  <c r="C1805" i="4"/>
  <c r="J1805" i="4" s="1"/>
  <c r="C1804" i="4"/>
  <c r="C1803" i="4"/>
  <c r="C1802" i="4"/>
  <c r="C1801" i="4"/>
  <c r="J1801" i="4" s="1"/>
  <c r="C1800" i="4"/>
  <c r="J1800" i="4" s="1"/>
  <c r="C1799" i="4"/>
  <c r="C1798" i="4"/>
  <c r="C1797" i="4"/>
  <c r="J1797" i="4" s="1"/>
  <c r="C1796" i="4"/>
  <c r="C1795" i="4"/>
  <c r="C1794" i="4"/>
  <c r="D1794" i="4" s="1"/>
  <c r="C1793" i="4"/>
  <c r="J1793" i="4" s="1"/>
  <c r="C1792" i="4"/>
  <c r="C1791" i="4"/>
  <c r="J1791" i="4" s="1"/>
  <c r="C1790" i="4"/>
  <c r="C1789" i="4"/>
  <c r="J1789" i="4" s="1"/>
  <c r="C1788" i="4"/>
  <c r="D1788" i="4" s="1"/>
  <c r="C1787" i="4"/>
  <c r="C1786" i="4"/>
  <c r="J1786" i="4" s="1"/>
  <c r="C1785" i="4"/>
  <c r="J1785" i="4" s="1"/>
  <c r="C1784" i="4"/>
  <c r="C1783" i="4"/>
  <c r="C1782" i="4"/>
  <c r="C1781" i="4"/>
  <c r="C1780" i="4"/>
  <c r="C1779" i="4"/>
  <c r="C1778" i="4"/>
  <c r="C1777" i="4"/>
  <c r="J1777" i="4" s="1"/>
  <c r="C1776" i="4"/>
  <c r="C1775" i="4"/>
  <c r="D1775" i="4" s="1"/>
  <c r="C1774" i="4"/>
  <c r="C1773" i="4"/>
  <c r="D1773" i="4" s="1"/>
  <c r="C1772" i="4"/>
  <c r="C1771" i="4"/>
  <c r="C1770" i="4"/>
  <c r="J1770" i="4" s="1"/>
  <c r="C1769" i="4"/>
  <c r="J1769" i="4" s="1"/>
  <c r="C1768" i="4"/>
  <c r="C1767" i="4"/>
  <c r="J1767" i="4" s="1"/>
  <c r="C1766" i="4"/>
  <c r="C1765" i="4"/>
  <c r="D1765" i="4" s="1"/>
  <c r="I1765" i="4" s="1"/>
  <c r="C1764" i="4"/>
  <c r="C1763" i="4"/>
  <c r="C1762" i="4"/>
  <c r="J1762" i="4" s="1"/>
  <c r="C1761" i="4"/>
  <c r="J1761" i="4" s="1"/>
  <c r="C1760" i="4"/>
  <c r="C1759" i="4"/>
  <c r="D1759" i="4" s="1"/>
  <c r="C1758" i="4"/>
  <c r="D1758" i="4" s="1"/>
  <c r="C1757" i="4"/>
  <c r="C1756" i="4"/>
  <c r="C1755" i="4"/>
  <c r="C1754" i="4"/>
  <c r="J1754" i="4" s="1"/>
  <c r="C1753" i="4"/>
  <c r="J1753" i="4" s="1"/>
  <c r="C1752" i="4"/>
  <c r="J1752" i="4" s="1"/>
  <c r="C1751" i="4"/>
  <c r="D1751" i="4" s="1"/>
  <c r="C1750" i="4"/>
  <c r="C1749" i="4"/>
  <c r="C1748" i="4"/>
  <c r="C1747" i="4"/>
  <c r="D1747" i="4" s="1"/>
  <c r="C1746" i="4"/>
  <c r="J1746" i="4" s="1"/>
  <c r="C1745" i="4"/>
  <c r="J1745" i="4" s="1"/>
  <c r="C1744" i="4"/>
  <c r="C1743" i="4"/>
  <c r="C1742" i="4"/>
  <c r="C1741" i="4"/>
  <c r="C1740" i="4"/>
  <c r="C1739" i="4"/>
  <c r="C1738" i="4"/>
  <c r="D1738" i="4" s="1"/>
  <c r="C1737" i="4"/>
  <c r="J1737" i="4" s="1"/>
  <c r="C1736" i="4"/>
  <c r="J1736" i="4" s="1"/>
  <c r="C1735" i="4"/>
  <c r="D1735" i="4" s="1"/>
  <c r="C1734" i="4"/>
  <c r="C1733" i="4"/>
  <c r="J1733" i="4" s="1"/>
  <c r="C1732" i="4"/>
  <c r="J1732" i="4" s="1"/>
  <c r="C1731" i="4"/>
  <c r="C1730" i="4"/>
  <c r="C1729" i="4"/>
  <c r="J1729" i="4" s="1"/>
  <c r="C1728" i="4"/>
  <c r="J1728" i="4" s="1"/>
  <c r="C1727" i="4"/>
  <c r="D1727" i="4" s="1"/>
  <c r="C1726" i="4"/>
  <c r="C1725" i="4"/>
  <c r="J1725" i="4" s="1"/>
  <c r="C1724" i="4"/>
  <c r="J1724" i="4" s="1"/>
  <c r="C1723" i="4"/>
  <c r="C1722" i="4"/>
  <c r="J1722" i="4" s="1"/>
  <c r="C1721" i="4"/>
  <c r="J1721" i="4" s="1"/>
  <c r="C1720" i="4"/>
  <c r="C1719" i="4"/>
  <c r="D1719" i="4" s="1"/>
  <c r="C1718" i="4"/>
  <c r="C1717" i="4"/>
  <c r="D1717" i="4" s="1"/>
  <c r="C1716" i="4"/>
  <c r="J1716" i="4" s="1"/>
  <c r="C1715" i="4"/>
  <c r="C1714" i="4"/>
  <c r="C1713" i="4"/>
  <c r="J1713" i="4" s="1"/>
  <c r="C1712" i="4"/>
  <c r="J1712" i="4" s="1"/>
  <c r="C1711" i="4"/>
  <c r="D1711" i="4" s="1"/>
  <c r="C1710" i="4"/>
  <c r="C1709" i="4"/>
  <c r="J1709" i="4" s="1"/>
  <c r="C1708" i="4"/>
  <c r="J1708" i="4" s="1"/>
  <c r="C1707" i="4"/>
  <c r="C1706" i="4"/>
  <c r="J1706" i="4" s="1"/>
  <c r="C1705" i="4"/>
  <c r="J1705" i="4" s="1"/>
  <c r="C1704" i="4"/>
  <c r="J1704" i="4" s="1"/>
  <c r="C1703" i="4"/>
  <c r="D1703" i="4" s="1"/>
  <c r="C1702" i="4"/>
  <c r="C1701" i="4"/>
  <c r="J1701" i="4" s="1"/>
  <c r="C1700" i="4"/>
  <c r="J1700" i="4" s="1"/>
  <c r="C1699" i="4"/>
  <c r="C1698" i="4"/>
  <c r="C1697" i="4"/>
  <c r="J1697" i="4" s="1"/>
  <c r="C1696" i="4"/>
  <c r="D1696" i="4" s="1"/>
  <c r="C1695" i="4"/>
  <c r="C1694" i="4"/>
  <c r="C1693" i="4"/>
  <c r="D1693" i="4" s="1"/>
  <c r="I1693" i="4" s="1"/>
  <c r="C1692" i="4"/>
  <c r="J1692" i="4" s="1"/>
  <c r="C1691" i="4"/>
  <c r="C1690" i="4"/>
  <c r="J1690" i="4" s="1"/>
  <c r="C1689" i="4"/>
  <c r="J1689" i="4" s="1"/>
  <c r="C1688" i="4"/>
  <c r="C1687" i="4"/>
  <c r="C1686" i="4"/>
  <c r="C1685" i="4"/>
  <c r="J1685" i="4" s="1"/>
  <c r="C1684" i="4"/>
  <c r="J1684" i="4" s="1"/>
  <c r="C1683" i="4"/>
  <c r="C1682" i="4"/>
  <c r="J1682" i="4" s="1"/>
  <c r="C1681" i="4"/>
  <c r="J1681" i="4" s="1"/>
  <c r="C1680" i="4"/>
  <c r="J1680" i="4" s="1"/>
  <c r="C1679" i="4"/>
  <c r="D1679" i="4" s="1"/>
  <c r="C1678" i="4"/>
  <c r="D1678" i="4" s="1"/>
  <c r="C1677" i="4"/>
  <c r="J1677" i="4" s="1"/>
  <c r="C1676" i="4"/>
  <c r="J1676" i="4" s="1"/>
  <c r="C1675" i="4"/>
  <c r="C1674" i="4"/>
  <c r="J1674" i="4" s="1"/>
  <c r="C1673" i="4"/>
  <c r="J1673" i="4" s="1"/>
  <c r="C1672" i="4"/>
  <c r="D1672" i="4" s="1"/>
  <c r="C1671" i="4"/>
  <c r="J1671" i="4" s="1"/>
  <c r="C1670" i="4"/>
  <c r="C1669" i="4"/>
  <c r="C1668" i="4"/>
  <c r="C1667" i="4"/>
  <c r="J1667" i="4" s="1"/>
  <c r="C1666" i="4"/>
  <c r="J1666" i="4" s="1"/>
  <c r="C1665" i="4"/>
  <c r="C1664" i="4"/>
  <c r="J1664" i="4" s="1"/>
  <c r="C1663" i="4"/>
  <c r="D1663" i="4" s="1"/>
  <c r="C1662" i="4"/>
  <c r="D1662" i="4" s="1"/>
  <c r="C1661" i="4"/>
  <c r="C1660" i="4"/>
  <c r="C1659" i="4"/>
  <c r="D1659" i="4" s="1"/>
  <c r="I1659" i="4" s="1"/>
  <c r="C1658" i="4"/>
  <c r="D1658" i="4" s="1"/>
  <c r="C1657" i="4"/>
  <c r="C1656" i="4"/>
  <c r="C1655" i="4"/>
  <c r="C1654" i="4"/>
  <c r="D1654" i="4" s="1"/>
  <c r="C1653" i="4"/>
  <c r="D1653" i="4" s="1"/>
  <c r="C1652" i="4"/>
  <c r="C1651" i="4"/>
  <c r="J1651" i="4" s="1"/>
  <c r="C1650" i="4"/>
  <c r="C1649" i="4"/>
  <c r="D1649" i="4" s="1"/>
  <c r="I1649" i="4" s="1"/>
  <c r="C1648" i="4"/>
  <c r="C1647" i="4"/>
  <c r="C1646" i="4"/>
  <c r="J1646" i="4" s="1"/>
  <c r="C1645" i="4"/>
  <c r="D1645" i="4" s="1"/>
  <c r="C1644" i="4"/>
  <c r="C1643" i="4"/>
  <c r="C1642" i="4"/>
  <c r="C1641" i="4"/>
  <c r="C1640" i="4"/>
  <c r="J1640" i="4" s="1"/>
  <c r="C1639" i="4"/>
  <c r="C1638" i="4"/>
  <c r="D1638" i="4" s="1"/>
  <c r="C1637" i="4"/>
  <c r="C1636" i="4"/>
  <c r="C1635" i="4"/>
  <c r="D1635" i="4" s="1"/>
  <c r="I1635" i="4" s="1"/>
  <c r="C1634" i="4"/>
  <c r="C1633" i="4"/>
  <c r="J1633" i="4" s="1"/>
  <c r="C1632" i="4"/>
  <c r="J1632" i="4" s="1"/>
  <c r="C1631" i="4"/>
  <c r="C1630" i="4"/>
  <c r="C1629" i="4"/>
  <c r="C1628" i="4"/>
  <c r="J1628" i="4" s="1"/>
  <c r="C1627" i="4"/>
  <c r="J1627" i="4" s="1"/>
  <c r="C1626" i="4"/>
  <c r="C1625" i="4"/>
  <c r="J1625" i="4" s="1"/>
  <c r="C1624" i="4"/>
  <c r="C1623" i="4"/>
  <c r="J1623" i="4" s="1"/>
  <c r="C1622" i="4"/>
  <c r="C1621" i="4"/>
  <c r="C1620" i="4"/>
  <c r="J1620" i="4" s="1"/>
  <c r="C1619" i="4"/>
  <c r="C1618" i="4"/>
  <c r="C1617" i="4"/>
  <c r="C1616" i="4"/>
  <c r="C1615" i="4"/>
  <c r="C1614" i="4"/>
  <c r="C1613" i="4"/>
  <c r="D1613" i="4" s="1"/>
  <c r="C1612" i="4"/>
  <c r="C1611" i="4"/>
  <c r="C1610" i="4"/>
  <c r="C1609" i="4"/>
  <c r="D1609" i="4" s="1"/>
  <c r="I1609" i="4" s="1"/>
  <c r="C1608" i="4"/>
  <c r="J1608" i="4" s="1"/>
  <c r="C1607" i="4"/>
  <c r="C1606" i="4"/>
  <c r="D1606" i="4" s="1"/>
  <c r="C1605" i="4"/>
  <c r="C1604" i="4"/>
  <c r="C1603" i="4"/>
  <c r="C1602" i="4"/>
  <c r="C1601" i="4"/>
  <c r="C1600" i="4"/>
  <c r="C1599" i="4"/>
  <c r="J1599" i="4" s="1"/>
  <c r="C1598" i="4"/>
  <c r="J1598" i="4" s="1"/>
  <c r="C1597" i="4"/>
  <c r="C1596" i="4"/>
  <c r="C1595" i="4"/>
  <c r="J1595" i="4" s="1"/>
  <c r="C1594" i="4"/>
  <c r="C1593" i="4"/>
  <c r="C1592" i="4"/>
  <c r="D1592" i="4" s="1"/>
  <c r="C1591" i="4"/>
  <c r="C1590" i="4"/>
  <c r="J1590" i="4" s="1"/>
  <c r="C1589" i="4"/>
  <c r="C1588" i="4"/>
  <c r="J1588" i="4" s="1"/>
  <c r="C1587" i="4"/>
  <c r="J1587" i="4" s="1"/>
  <c r="C1586" i="4"/>
  <c r="J1586" i="4" s="1"/>
  <c r="C1585" i="4"/>
  <c r="C1584" i="4"/>
  <c r="D1584" i="4" s="1"/>
  <c r="I1584" i="4" s="1"/>
  <c r="C1583" i="4"/>
  <c r="D1583" i="4" s="1"/>
  <c r="C1582" i="4"/>
  <c r="C1581" i="4"/>
  <c r="C1580" i="4"/>
  <c r="C1579" i="4"/>
  <c r="J1579" i="4" s="1"/>
  <c r="C1578" i="4"/>
  <c r="J1578" i="4" s="1"/>
  <c r="C1577" i="4"/>
  <c r="C1576" i="4"/>
  <c r="J1576" i="4" s="1"/>
  <c r="C1575" i="4"/>
  <c r="D1575" i="4" s="1"/>
  <c r="C1574" i="4"/>
  <c r="C1573" i="4"/>
  <c r="D1573" i="4" s="1"/>
  <c r="C1572" i="4"/>
  <c r="C1571" i="4"/>
  <c r="D1571" i="4" s="1"/>
  <c r="I1571" i="4" s="1"/>
  <c r="C1570" i="4"/>
  <c r="J1570" i="4" s="1"/>
  <c r="C1569" i="4"/>
  <c r="J1569" i="4" s="1"/>
  <c r="C1568" i="4"/>
  <c r="C1567" i="4"/>
  <c r="J1567" i="4" s="1"/>
  <c r="C1566" i="4"/>
  <c r="C1565" i="4"/>
  <c r="C1564" i="4"/>
  <c r="C1563" i="4"/>
  <c r="J1563" i="4" s="1"/>
  <c r="C1562" i="4"/>
  <c r="J1562" i="4" s="1"/>
  <c r="C1561" i="4"/>
  <c r="C1560" i="4"/>
  <c r="J1560" i="4" s="1"/>
  <c r="C1559" i="4"/>
  <c r="J1559" i="4" s="1"/>
  <c r="C1558" i="4"/>
  <c r="J1558" i="4" s="1"/>
  <c r="C1557" i="4"/>
  <c r="C1556" i="4"/>
  <c r="C1555" i="4"/>
  <c r="J1555" i="4" s="1"/>
  <c r="C1554" i="4"/>
  <c r="C1553" i="4"/>
  <c r="C1552" i="4"/>
  <c r="J1552" i="4" s="1"/>
  <c r="C1551" i="4"/>
  <c r="J1551" i="4" s="1"/>
  <c r="C1550" i="4"/>
  <c r="C1549" i="4"/>
  <c r="C1548" i="4"/>
  <c r="C1547" i="4"/>
  <c r="J1547" i="4" s="1"/>
  <c r="C1546" i="4"/>
  <c r="J1546" i="4" s="1"/>
  <c r="C1545" i="4"/>
  <c r="C1544" i="4"/>
  <c r="J1544" i="4" s="1"/>
  <c r="C1543" i="4"/>
  <c r="J1543" i="4" s="1"/>
  <c r="C1542" i="4"/>
  <c r="C1541" i="4"/>
  <c r="C1540" i="4"/>
  <c r="C1539" i="4"/>
  <c r="J1539" i="4" s="1"/>
  <c r="C1538" i="4"/>
  <c r="C1537" i="4"/>
  <c r="C1536" i="4"/>
  <c r="J1536" i="4" s="1"/>
  <c r="C1535" i="4"/>
  <c r="J1535" i="4" s="1"/>
  <c r="C1534" i="4"/>
  <c r="J1534" i="4" s="1"/>
  <c r="C1533" i="4"/>
  <c r="C1532" i="4"/>
  <c r="C1531" i="4"/>
  <c r="C1530" i="4"/>
  <c r="J1530" i="4" s="1"/>
  <c r="C1529" i="4"/>
  <c r="C1528" i="4"/>
  <c r="J1528" i="4" s="1"/>
  <c r="C1527" i="4"/>
  <c r="J1527" i="4" s="1"/>
  <c r="C1526" i="4"/>
  <c r="C1525" i="4"/>
  <c r="C1524" i="4"/>
  <c r="C1523" i="4"/>
  <c r="C1522" i="4"/>
  <c r="C1521" i="4"/>
  <c r="C1520" i="4"/>
  <c r="J1520" i="4" s="1"/>
  <c r="C1519" i="4"/>
  <c r="J1519" i="4" s="1"/>
  <c r="C1518" i="4"/>
  <c r="J1518" i="4" s="1"/>
  <c r="C1517" i="4"/>
  <c r="C1516" i="4"/>
  <c r="C1515" i="4"/>
  <c r="J1515" i="4" s="1"/>
  <c r="C1514" i="4"/>
  <c r="J1514" i="4" s="1"/>
  <c r="C1513" i="4"/>
  <c r="C1512" i="4"/>
  <c r="J1512" i="4" s="1"/>
  <c r="C1511" i="4"/>
  <c r="J1511" i="4" s="1"/>
  <c r="C1510" i="4"/>
  <c r="C1509" i="4"/>
  <c r="C1508" i="4"/>
  <c r="C1507" i="4"/>
  <c r="J1507" i="4" s="1"/>
  <c r="C1506" i="4"/>
  <c r="C1505" i="4"/>
  <c r="C1504" i="4"/>
  <c r="J1504" i="4" s="1"/>
  <c r="C1503" i="4"/>
  <c r="J1503" i="4" s="1"/>
  <c r="C1502" i="4"/>
  <c r="D1502" i="4" s="1"/>
  <c r="C1501" i="4"/>
  <c r="C1500" i="4"/>
  <c r="C1499" i="4"/>
  <c r="J1499" i="4" s="1"/>
  <c r="C1498" i="4"/>
  <c r="J1498" i="4" s="1"/>
  <c r="C1497" i="4"/>
  <c r="C1496" i="4"/>
  <c r="J1496" i="4" s="1"/>
  <c r="C1495" i="4"/>
  <c r="J1495" i="4" s="1"/>
  <c r="C1494" i="4"/>
  <c r="C1493" i="4"/>
  <c r="C1492" i="4"/>
  <c r="C1491" i="4"/>
  <c r="J1491" i="4" s="1"/>
  <c r="C1490" i="4"/>
  <c r="C1489" i="4"/>
  <c r="C1488" i="4"/>
  <c r="J1488" i="4" s="1"/>
  <c r="C1487" i="4"/>
  <c r="J1487" i="4" s="1"/>
  <c r="C1486" i="4"/>
  <c r="J1486" i="4" s="1"/>
  <c r="C1485" i="4"/>
  <c r="C1484" i="4"/>
  <c r="C1483" i="4"/>
  <c r="D1483" i="4" s="1"/>
  <c r="I1483" i="4" s="1"/>
  <c r="C1482" i="4"/>
  <c r="J1482" i="4" s="1"/>
  <c r="C1481" i="4"/>
  <c r="C1480" i="4"/>
  <c r="J1480" i="4" s="1"/>
  <c r="C1479" i="4"/>
  <c r="J1479" i="4" s="1"/>
  <c r="C1478" i="4"/>
  <c r="C1477" i="4"/>
  <c r="C1476" i="4"/>
  <c r="C1475" i="4"/>
  <c r="J1475" i="4" s="1"/>
  <c r="C1474" i="4"/>
  <c r="C1473" i="4"/>
  <c r="C1472" i="4"/>
  <c r="J1472" i="4" s="1"/>
  <c r="C1471" i="4"/>
  <c r="J1471" i="4" s="1"/>
  <c r="C1470" i="4"/>
  <c r="C1469" i="4"/>
  <c r="C1468" i="4"/>
  <c r="C1467" i="4"/>
  <c r="D1467" i="4" s="1"/>
  <c r="I1467" i="4" s="1"/>
  <c r="C1466" i="4"/>
  <c r="C1465" i="4"/>
  <c r="J1465" i="4" s="1"/>
  <c r="C1464" i="4"/>
  <c r="J1464" i="4" s="1"/>
  <c r="C1463" i="4"/>
  <c r="J1463" i="4" s="1"/>
  <c r="C1462" i="4"/>
  <c r="C1461" i="4"/>
  <c r="C1460" i="4"/>
  <c r="C1459" i="4"/>
  <c r="J1459" i="4" s="1"/>
  <c r="C1458" i="4"/>
  <c r="C1457" i="4"/>
  <c r="J1457" i="4" s="1"/>
  <c r="C1456" i="4"/>
  <c r="C1455" i="4"/>
  <c r="J1455" i="4" s="1"/>
  <c r="C1454" i="4"/>
  <c r="C1453" i="4"/>
  <c r="D1453" i="4" s="1"/>
  <c r="C1452" i="4"/>
  <c r="C1451" i="4"/>
  <c r="J1451" i="4" s="1"/>
  <c r="C1450" i="4"/>
  <c r="J1450" i="4" s="1"/>
  <c r="C1449" i="4"/>
  <c r="J1449" i="4" s="1"/>
  <c r="C1448" i="4"/>
  <c r="J1448" i="4" s="1"/>
  <c r="C1447" i="4"/>
  <c r="J1447" i="4" s="1"/>
  <c r="C1446" i="4"/>
  <c r="C1445" i="4"/>
  <c r="C1444" i="4"/>
  <c r="D1444" i="4" s="1"/>
  <c r="C1443" i="4"/>
  <c r="J1443" i="4" s="1"/>
  <c r="C1442" i="4"/>
  <c r="J1442" i="4" s="1"/>
  <c r="C1441" i="4"/>
  <c r="C1440" i="4"/>
  <c r="J1440" i="4" s="1"/>
  <c r="C1439" i="4"/>
  <c r="C1438" i="4"/>
  <c r="C1437" i="4"/>
  <c r="C1436" i="4"/>
  <c r="D1436" i="4" s="1"/>
  <c r="C1435" i="4"/>
  <c r="C1434" i="4"/>
  <c r="C1433" i="4"/>
  <c r="C1432" i="4"/>
  <c r="C1431" i="4"/>
  <c r="C1430" i="4"/>
  <c r="J1430" i="4" s="1"/>
  <c r="C1429" i="4"/>
  <c r="J1429" i="4" s="1"/>
  <c r="C1428" i="4"/>
  <c r="C1427" i="4"/>
  <c r="C1426" i="4"/>
  <c r="D1426" i="4" s="1"/>
  <c r="C1425" i="4"/>
  <c r="C1424" i="4"/>
  <c r="J1424" i="4" s="1"/>
  <c r="C1423" i="4"/>
  <c r="C1422" i="4"/>
  <c r="C1421" i="4"/>
  <c r="J1421" i="4" s="1"/>
  <c r="C1420" i="4"/>
  <c r="D1420" i="4" s="1"/>
  <c r="C1419" i="4"/>
  <c r="J1419" i="4" s="1"/>
  <c r="C1418" i="4"/>
  <c r="C1417" i="4"/>
  <c r="C1416" i="4"/>
  <c r="J1416" i="4" s="1"/>
  <c r="C1415" i="4"/>
  <c r="J1415" i="4" s="1"/>
  <c r="C1414" i="4"/>
  <c r="C1413" i="4"/>
  <c r="J1413" i="4" s="1"/>
  <c r="C1412" i="4"/>
  <c r="J1412" i="4" s="1"/>
  <c r="C1411" i="4"/>
  <c r="C1410" i="4"/>
  <c r="C1409" i="4"/>
  <c r="J1409" i="4" s="1"/>
  <c r="C1408" i="4"/>
  <c r="C1407" i="4"/>
  <c r="J1407" i="4" s="1"/>
  <c r="C1406" i="4"/>
  <c r="J1406" i="4" s="1"/>
  <c r="C1405" i="4"/>
  <c r="C1404" i="4"/>
  <c r="J1404" i="4" s="1"/>
  <c r="C1403" i="4"/>
  <c r="C1402" i="4"/>
  <c r="C1401" i="4"/>
  <c r="J1401" i="4" s="1"/>
  <c r="C1400" i="4"/>
  <c r="J1400" i="4" s="1"/>
  <c r="C1399" i="4"/>
  <c r="C1398" i="4"/>
  <c r="J1398" i="4" s="1"/>
  <c r="C1397" i="4"/>
  <c r="C1396" i="4"/>
  <c r="J1396" i="4" s="1"/>
  <c r="C1395" i="4"/>
  <c r="C1394" i="4"/>
  <c r="C1393" i="4"/>
  <c r="C1392" i="4"/>
  <c r="J1392" i="4" s="1"/>
  <c r="C1391" i="4"/>
  <c r="C1390" i="4"/>
  <c r="J1390" i="4" s="1"/>
  <c r="C1389" i="4"/>
  <c r="J1389" i="4" s="1"/>
  <c r="C1388" i="4"/>
  <c r="C1387" i="4"/>
  <c r="C1386" i="4"/>
  <c r="C1385" i="4"/>
  <c r="C1384" i="4"/>
  <c r="J1384" i="4" s="1"/>
  <c r="C1383" i="4"/>
  <c r="J1383" i="4" s="1"/>
  <c r="C1382" i="4"/>
  <c r="C1381" i="4"/>
  <c r="J1381" i="4" s="1"/>
  <c r="C1380" i="4"/>
  <c r="J1380" i="4" s="1"/>
  <c r="C1379" i="4"/>
  <c r="C1378" i="4"/>
  <c r="J1378" i="4" s="1"/>
  <c r="C1377" i="4"/>
  <c r="J1377" i="4" s="1"/>
  <c r="C1376" i="4"/>
  <c r="C1375" i="4"/>
  <c r="J1375" i="4" s="1"/>
  <c r="C1374" i="4"/>
  <c r="J1374" i="4" s="1"/>
  <c r="C1373" i="4"/>
  <c r="C1372" i="4"/>
  <c r="J1372" i="4" s="1"/>
  <c r="C1371" i="4"/>
  <c r="C1370" i="4"/>
  <c r="J1370" i="4" s="1"/>
  <c r="C1369" i="4"/>
  <c r="J1369" i="4" s="1"/>
  <c r="C1368" i="4"/>
  <c r="J1368" i="4" s="1"/>
  <c r="C1367" i="4"/>
  <c r="C1366" i="4"/>
  <c r="J1366" i="4" s="1"/>
  <c r="C1365" i="4"/>
  <c r="C1364" i="4"/>
  <c r="J1364" i="4" s="1"/>
  <c r="C1363" i="4"/>
  <c r="C1362" i="4"/>
  <c r="J1362" i="4" s="1"/>
  <c r="C1361" i="4"/>
  <c r="C1360" i="4"/>
  <c r="J1360" i="4" s="1"/>
  <c r="C1359" i="4"/>
  <c r="C1358" i="4"/>
  <c r="J1358" i="4" s="1"/>
  <c r="C1357" i="4"/>
  <c r="J1357" i="4" s="1"/>
  <c r="C1356" i="4"/>
  <c r="C1355" i="4"/>
  <c r="C1354" i="4"/>
  <c r="C1353" i="4"/>
  <c r="C1352" i="4"/>
  <c r="J1352" i="4" s="1"/>
  <c r="C1351" i="4"/>
  <c r="J1351" i="4" s="1"/>
  <c r="C1350" i="4"/>
  <c r="C1349" i="4"/>
  <c r="J1349" i="4" s="1"/>
  <c r="C1348" i="4"/>
  <c r="J1348" i="4" s="1"/>
  <c r="C1347" i="4"/>
  <c r="C1346" i="4"/>
  <c r="D1346" i="4" s="1"/>
  <c r="C1345" i="4"/>
  <c r="J1345" i="4" s="1"/>
  <c r="C1344" i="4"/>
  <c r="C1343" i="4"/>
  <c r="J1343" i="4" s="1"/>
  <c r="C1342" i="4"/>
  <c r="J1342" i="4" s="1"/>
  <c r="C1341" i="4"/>
  <c r="C1340" i="4"/>
  <c r="J1340" i="4" s="1"/>
  <c r="C1339" i="4"/>
  <c r="C1338" i="4"/>
  <c r="J1338" i="4" s="1"/>
  <c r="C1337" i="4"/>
  <c r="J1337" i="4" s="1"/>
  <c r="C1336" i="4"/>
  <c r="J1336" i="4" s="1"/>
  <c r="C1335" i="4"/>
  <c r="C1334" i="4"/>
  <c r="J1334" i="4" s="1"/>
  <c r="C1333" i="4"/>
  <c r="C1332" i="4"/>
  <c r="J1332" i="4" s="1"/>
  <c r="C1331" i="4"/>
  <c r="C1330" i="4"/>
  <c r="J1330" i="4" s="1"/>
  <c r="C1329" i="4"/>
  <c r="C1328" i="4"/>
  <c r="J1328" i="4" s="1"/>
  <c r="C1327" i="4"/>
  <c r="C1326" i="4"/>
  <c r="J1326" i="4" s="1"/>
  <c r="C1325" i="4"/>
  <c r="J1325" i="4" s="1"/>
  <c r="C1324" i="4"/>
  <c r="D1324" i="4" s="1"/>
  <c r="C1323" i="4"/>
  <c r="C1322" i="4"/>
  <c r="J1322" i="4" s="1"/>
  <c r="C1321" i="4"/>
  <c r="C1320" i="4"/>
  <c r="C1319" i="4"/>
  <c r="J1319" i="4" s="1"/>
  <c r="C1318" i="4"/>
  <c r="J1318" i="4" s="1"/>
  <c r="C1317" i="4"/>
  <c r="C1316" i="4"/>
  <c r="C1315" i="4"/>
  <c r="C1314" i="4"/>
  <c r="C1313" i="4"/>
  <c r="D1313" i="4" s="1"/>
  <c r="C1312" i="4"/>
  <c r="C1311" i="4"/>
  <c r="J1311" i="4" s="1"/>
  <c r="C1310" i="4"/>
  <c r="D1310" i="4" s="1"/>
  <c r="I1310" i="4" s="1"/>
  <c r="C1309" i="4"/>
  <c r="C1308" i="4"/>
  <c r="J1308" i="4" s="1"/>
  <c r="C1307" i="4"/>
  <c r="C1306" i="4"/>
  <c r="C1305" i="4"/>
  <c r="D1305" i="4" s="1"/>
  <c r="C1304" i="4"/>
  <c r="J1304" i="4" s="1"/>
  <c r="C1303" i="4"/>
  <c r="C1302" i="4"/>
  <c r="J1302" i="4" s="1"/>
  <c r="C1301" i="4"/>
  <c r="C1300" i="4"/>
  <c r="C1299" i="4"/>
  <c r="J1299" i="4" s="1"/>
  <c r="C1298" i="4"/>
  <c r="D1298" i="4" s="1"/>
  <c r="I1298" i="4" s="1"/>
  <c r="C1297" i="4"/>
  <c r="C1296" i="4"/>
  <c r="J1296" i="4" s="1"/>
  <c r="C1295" i="4"/>
  <c r="J1295" i="4" s="1"/>
  <c r="C1294" i="4"/>
  <c r="C1293" i="4"/>
  <c r="C1292" i="4"/>
  <c r="C1291" i="4"/>
  <c r="J1291" i="4" s="1"/>
  <c r="C1290" i="4"/>
  <c r="J1290" i="4" s="1"/>
  <c r="C1289" i="4"/>
  <c r="C1288" i="4"/>
  <c r="D1288" i="4" s="1"/>
  <c r="C1287" i="4"/>
  <c r="J1287" i="4" s="1"/>
  <c r="C1286" i="4"/>
  <c r="D1286" i="4" s="1"/>
  <c r="I1286" i="4" s="1"/>
  <c r="C1285" i="4"/>
  <c r="C1284" i="4"/>
  <c r="C1283" i="4"/>
  <c r="J1283" i="4" s="1"/>
  <c r="C1282" i="4"/>
  <c r="D1282" i="4" s="1"/>
  <c r="C1281" i="4"/>
  <c r="D1281" i="4" s="1"/>
  <c r="C1280" i="4"/>
  <c r="J1280" i="4" s="1"/>
  <c r="C1279" i="4"/>
  <c r="C1278" i="4"/>
  <c r="J1278" i="4" s="1"/>
  <c r="C1277" i="4"/>
  <c r="C1276" i="4"/>
  <c r="C1275" i="4"/>
  <c r="J1275" i="4" s="1"/>
  <c r="C1274" i="4"/>
  <c r="C1273" i="4"/>
  <c r="D1273" i="4" s="1"/>
  <c r="C1272" i="4"/>
  <c r="J1272" i="4" s="1"/>
  <c r="C1271" i="4"/>
  <c r="J1271" i="4" s="1"/>
  <c r="C1270" i="4"/>
  <c r="J1270" i="4" s="1"/>
  <c r="C1269" i="4"/>
  <c r="C1268" i="4"/>
  <c r="C1267" i="4"/>
  <c r="J1267" i="4" s="1"/>
  <c r="C1266" i="4"/>
  <c r="C1265" i="4"/>
  <c r="C1264" i="4"/>
  <c r="J1264" i="4" s="1"/>
  <c r="C1263" i="4"/>
  <c r="J1263" i="4" s="1"/>
  <c r="C1262" i="4"/>
  <c r="C1261" i="4"/>
  <c r="C1260" i="4"/>
  <c r="C1259" i="4"/>
  <c r="J1259" i="4" s="1"/>
  <c r="C1258" i="4"/>
  <c r="J1258" i="4" s="1"/>
  <c r="C1257" i="4"/>
  <c r="C1256" i="4"/>
  <c r="D1256" i="4" s="1"/>
  <c r="C1255" i="4"/>
  <c r="J1255" i="4" s="1"/>
  <c r="C1254" i="4"/>
  <c r="D1254" i="4" s="1"/>
  <c r="I1254" i="4" s="1"/>
  <c r="C1253" i="4"/>
  <c r="C1252" i="4"/>
  <c r="C1251" i="4"/>
  <c r="J1251" i="4" s="1"/>
  <c r="C1250" i="4"/>
  <c r="J1250" i="4" s="1"/>
  <c r="C1249" i="4"/>
  <c r="D1249" i="4" s="1"/>
  <c r="C1248" i="4"/>
  <c r="J1248" i="4" s="1"/>
  <c r="C1247" i="4"/>
  <c r="J1247" i="4" s="1"/>
  <c r="C1246" i="4"/>
  <c r="J1246" i="4" s="1"/>
  <c r="C1245" i="4"/>
  <c r="C1244" i="4"/>
  <c r="C1243" i="4"/>
  <c r="C1242" i="4"/>
  <c r="J1242" i="4" s="1"/>
  <c r="C1241" i="4"/>
  <c r="C1240" i="4"/>
  <c r="C1239" i="4"/>
  <c r="J1239" i="4" s="1"/>
  <c r="C1238" i="4"/>
  <c r="J1238" i="4" s="1"/>
  <c r="C1237" i="4"/>
  <c r="C1236" i="4"/>
  <c r="C1235" i="4"/>
  <c r="J1235" i="4" s="1"/>
  <c r="C1234" i="4"/>
  <c r="C1233" i="4"/>
  <c r="J1233" i="4" s="1"/>
  <c r="C1232" i="4"/>
  <c r="D1232" i="4" s="1"/>
  <c r="C1231" i="4"/>
  <c r="C1230" i="4"/>
  <c r="J1230" i="4" s="1"/>
  <c r="C1229" i="4"/>
  <c r="J1229" i="4" s="1"/>
  <c r="C1228" i="4"/>
  <c r="C1227" i="4"/>
  <c r="C1226" i="4"/>
  <c r="J1226" i="4" s="1"/>
  <c r="C1225" i="4"/>
  <c r="D1225" i="4" s="1"/>
  <c r="C1224" i="4"/>
  <c r="C1223" i="4"/>
  <c r="J1223" i="4" s="1"/>
  <c r="C1222" i="4"/>
  <c r="J1222" i="4" s="1"/>
  <c r="C1221" i="4"/>
  <c r="C1220" i="4"/>
  <c r="C1219" i="4"/>
  <c r="C1218" i="4"/>
  <c r="C1217" i="4"/>
  <c r="J1217" i="4" s="1"/>
  <c r="C1216" i="4"/>
  <c r="D1216" i="4" s="1"/>
  <c r="C1215" i="4"/>
  <c r="J1215" i="4" s="1"/>
  <c r="C1214" i="4"/>
  <c r="J1214" i="4" s="1"/>
  <c r="C1213" i="4"/>
  <c r="C1212" i="4"/>
  <c r="C1211" i="4"/>
  <c r="J1211" i="4" s="1"/>
  <c r="C1210" i="4"/>
  <c r="J1210" i="4" s="1"/>
  <c r="C1209" i="4"/>
  <c r="C1208" i="4"/>
  <c r="C1207" i="4"/>
  <c r="C1206" i="4"/>
  <c r="J1206" i="4" s="1"/>
  <c r="C1205" i="4"/>
  <c r="J1205" i="4" s="1"/>
  <c r="C1204" i="4"/>
  <c r="C1203" i="4"/>
  <c r="J1203" i="4" s="1"/>
  <c r="C1202" i="4"/>
  <c r="C1201" i="4"/>
  <c r="J1201" i="4" s="1"/>
  <c r="C1200" i="4"/>
  <c r="D1200" i="4" s="1"/>
  <c r="C1199" i="4"/>
  <c r="J1199" i="4" s="1"/>
  <c r="C1198" i="4"/>
  <c r="J1198" i="4" s="1"/>
  <c r="C1197" i="4"/>
  <c r="J1197" i="4" s="1"/>
  <c r="C1196" i="4"/>
  <c r="C1195" i="4"/>
  <c r="J1195" i="4" s="1"/>
  <c r="C1194" i="4"/>
  <c r="J1194" i="4" s="1"/>
  <c r="C1193" i="4"/>
  <c r="D1193" i="4" s="1"/>
  <c r="C1192" i="4"/>
  <c r="C1191" i="4"/>
  <c r="J1191" i="4" s="1"/>
  <c r="C1190" i="4"/>
  <c r="C1189" i="4"/>
  <c r="D1189" i="4" s="1"/>
  <c r="C1188" i="4"/>
  <c r="C1187" i="4"/>
  <c r="C1186" i="4"/>
  <c r="C1185" i="4"/>
  <c r="J1185" i="4" s="1"/>
  <c r="C1184" i="4"/>
  <c r="C1183" i="4"/>
  <c r="J1183" i="4" s="1"/>
  <c r="C1182" i="4"/>
  <c r="C1181" i="4"/>
  <c r="D1181" i="4" s="1"/>
  <c r="C1180" i="4"/>
  <c r="C1179" i="4"/>
  <c r="C1178" i="4"/>
  <c r="J1178" i="4" s="1"/>
  <c r="C1177" i="4"/>
  <c r="D1177" i="4" s="1"/>
  <c r="C1176" i="4"/>
  <c r="C1175" i="4"/>
  <c r="J1175" i="4" s="1"/>
  <c r="C1174" i="4"/>
  <c r="J1174" i="4" s="1"/>
  <c r="C1173" i="4"/>
  <c r="J1173" i="4" s="1"/>
  <c r="C1172" i="4"/>
  <c r="C1171" i="4"/>
  <c r="C1170" i="4"/>
  <c r="C1169" i="4"/>
  <c r="J1169" i="4" s="1"/>
  <c r="C1168" i="4"/>
  <c r="C1167" i="4"/>
  <c r="J1167" i="4" s="1"/>
  <c r="C1166" i="4"/>
  <c r="J1166" i="4" s="1"/>
  <c r="C1165" i="4"/>
  <c r="C1164" i="4"/>
  <c r="C1163" i="4"/>
  <c r="J1163" i="4" s="1"/>
  <c r="C1162" i="4"/>
  <c r="J1162" i="4" s="1"/>
  <c r="C1161" i="4"/>
  <c r="C1160" i="4"/>
  <c r="C1159" i="4"/>
  <c r="J1159" i="4" s="1"/>
  <c r="C1158" i="4"/>
  <c r="J1158" i="4" s="1"/>
  <c r="C1157" i="4"/>
  <c r="J1157" i="4" s="1"/>
  <c r="C1156" i="4"/>
  <c r="C1155" i="4"/>
  <c r="J1155" i="4" s="1"/>
  <c r="C1154" i="4"/>
  <c r="C1153" i="4"/>
  <c r="J1153" i="4" s="1"/>
  <c r="C1152" i="4"/>
  <c r="C1151" i="4"/>
  <c r="J1151" i="4" s="1"/>
  <c r="C1150" i="4"/>
  <c r="J1150" i="4" s="1"/>
  <c r="C1149" i="4"/>
  <c r="J1149" i="4" s="1"/>
  <c r="C1148" i="4"/>
  <c r="C1147" i="4"/>
  <c r="J1147" i="4" s="1"/>
  <c r="C1146" i="4"/>
  <c r="J1146" i="4" s="1"/>
  <c r="C1145" i="4"/>
  <c r="D1145" i="4" s="1"/>
  <c r="C1144" i="4"/>
  <c r="C1143" i="4"/>
  <c r="C1142" i="4"/>
  <c r="C1141" i="4"/>
  <c r="J1141" i="4" s="1"/>
  <c r="C1140" i="4"/>
  <c r="C1139" i="4"/>
  <c r="C1138" i="4"/>
  <c r="C1137" i="4"/>
  <c r="J1137" i="4" s="1"/>
  <c r="C1136" i="4"/>
  <c r="D1136" i="4" s="1"/>
  <c r="C1135" i="4"/>
  <c r="J1135" i="4" s="1"/>
  <c r="C1134" i="4"/>
  <c r="J1134" i="4" s="1"/>
  <c r="C1133" i="4"/>
  <c r="C1132" i="4"/>
  <c r="C1131" i="4"/>
  <c r="C1130" i="4"/>
  <c r="J1130" i="4" s="1"/>
  <c r="C1129" i="4"/>
  <c r="C1128" i="4"/>
  <c r="C1127" i="4"/>
  <c r="J1127" i="4" s="1"/>
  <c r="C1126" i="4"/>
  <c r="J1126" i="4" s="1"/>
  <c r="C1125" i="4"/>
  <c r="C1124" i="4"/>
  <c r="C1123" i="4"/>
  <c r="D1123" i="4" s="1"/>
  <c r="C1122" i="4"/>
  <c r="C1121" i="4"/>
  <c r="C1120" i="4"/>
  <c r="D1120" i="4" s="1"/>
  <c r="C1119" i="4"/>
  <c r="C1118" i="4"/>
  <c r="J1118" i="4" s="1"/>
  <c r="C1117" i="4"/>
  <c r="C1116" i="4"/>
  <c r="C1115" i="4"/>
  <c r="C1114" i="4"/>
  <c r="C1113" i="4"/>
  <c r="C1112" i="4"/>
  <c r="C1111" i="4"/>
  <c r="C1110" i="4"/>
  <c r="C1109" i="4"/>
  <c r="J1109" i="4" s="1"/>
  <c r="C1108" i="4"/>
  <c r="C1107" i="4"/>
  <c r="C1106" i="4"/>
  <c r="C1105" i="4"/>
  <c r="C1104" i="4"/>
  <c r="C1103" i="4"/>
  <c r="J1103" i="4" s="1"/>
  <c r="C1102" i="4"/>
  <c r="J1102" i="4" s="1"/>
  <c r="C1101" i="4"/>
  <c r="C1100" i="4"/>
  <c r="C1099" i="4"/>
  <c r="C1098" i="4"/>
  <c r="C1097" i="4"/>
  <c r="C1096" i="4"/>
  <c r="C1095" i="4"/>
  <c r="J1095" i="4" s="1"/>
  <c r="C1094" i="4"/>
  <c r="C1093" i="4"/>
  <c r="D1093" i="4" s="1"/>
  <c r="C1092" i="4"/>
  <c r="C1091" i="4"/>
  <c r="C1090" i="4"/>
  <c r="C1089" i="4"/>
  <c r="C1088" i="4"/>
  <c r="D1088" i="4" s="1"/>
  <c r="C1087" i="4"/>
  <c r="J1087" i="4" s="1"/>
  <c r="C1086" i="4"/>
  <c r="J1086" i="4" s="1"/>
  <c r="C1085" i="4"/>
  <c r="J1085" i="4" s="1"/>
  <c r="C1084" i="4"/>
  <c r="C1083" i="4"/>
  <c r="C1082" i="4"/>
  <c r="C1081" i="4"/>
  <c r="C1080" i="4"/>
  <c r="C1079" i="4"/>
  <c r="J1079" i="4" s="1"/>
  <c r="C1078" i="4"/>
  <c r="J1078" i="4" s="1"/>
  <c r="C1077" i="4"/>
  <c r="C1076" i="4"/>
  <c r="C1075" i="4"/>
  <c r="J1075" i="4" s="1"/>
  <c r="C1074" i="4"/>
  <c r="C1073" i="4"/>
  <c r="C1072" i="4"/>
  <c r="C1071" i="4"/>
  <c r="C1070" i="4"/>
  <c r="J1070" i="4" s="1"/>
  <c r="C1069" i="4"/>
  <c r="C1068" i="4"/>
  <c r="C1067" i="4"/>
  <c r="D1067" i="4" s="1"/>
  <c r="I1067" i="4" s="1"/>
  <c r="C1066" i="4"/>
  <c r="C1065" i="4"/>
  <c r="D1065" i="4" s="1"/>
  <c r="C1064" i="4"/>
  <c r="C1063" i="4"/>
  <c r="C1062" i="4"/>
  <c r="J1062" i="4" s="1"/>
  <c r="C1061" i="4"/>
  <c r="C1060" i="4"/>
  <c r="C1059" i="4"/>
  <c r="D1059" i="4" s="1"/>
  <c r="I1059" i="4" s="1"/>
  <c r="C1058" i="4"/>
  <c r="J1058" i="4" s="1"/>
  <c r="C1057" i="4"/>
  <c r="D1057" i="4" s="1"/>
  <c r="C1056" i="4"/>
  <c r="D1056" i="4" s="1"/>
  <c r="C1055" i="4"/>
  <c r="D1055" i="4" s="1"/>
  <c r="C1054" i="4"/>
  <c r="C1053" i="4"/>
  <c r="J1053" i="4" s="1"/>
  <c r="C1052" i="4"/>
  <c r="C1051" i="4"/>
  <c r="J1051" i="4" s="1"/>
  <c r="C1050" i="4"/>
  <c r="J1050" i="4" s="1"/>
  <c r="C1049" i="4"/>
  <c r="C1048" i="4"/>
  <c r="C1047" i="4"/>
  <c r="D1047" i="4" s="1"/>
  <c r="C1046" i="4"/>
  <c r="C1045" i="4"/>
  <c r="J1045" i="4" s="1"/>
  <c r="C1044" i="4"/>
  <c r="C1043" i="4"/>
  <c r="C1042" i="4"/>
  <c r="C1041" i="4"/>
  <c r="J1041" i="4" s="1"/>
  <c r="C1040" i="4"/>
  <c r="D1040" i="4" s="1"/>
  <c r="C1039" i="4"/>
  <c r="C1038" i="4"/>
  <c r="J1038" i="4" s="1"/>
  <c r="C1037" i="4"/>
  <c r="C1036" i="4"/>
  <c r="C1035" i="4"/>
  <c r="C1034" i="4"/>
  <c r="J1034" i="4" s="1"/>
  <c r="C1033" i="4"/>
  <c r="D1033" i="4" s="1"/>
  <c r="C1032" i="4"/>
  <c r="C1031" i="4"/>
  <c r="D1031" i="4" s="1"/>
  <c r="C1030" i="4"/>
  <c r="C1029" i="4"/>
  <c r="D1029" i="4" s="1"/>
  <c r="C1028" i="4"/>
  <c r="C1027" i="4"/>
  <c r="C1026" i="4"/>
  <c r="C1025" i="4"/>
  <c r="J1025" i="4" s="1"/>
  <c r="C1024" i="4"/>
  <c r="D1024" i="4" s="1"/>
  <c r="C1023" i="4"/>
  <c r="D1023" i="4" s="1"/>
  <c r="C1022" i="4"/>
  <c r="J1022" i="4" s="1"/>
  <c r="C1021" i="4"/>
  <c r="C1020" i="4"/>
  <c r="C1019" i="4"/>
  <c r="D1019" i="4" s="1"/>
  <c r="C1018" i="4"/>
  <c r="J1018" i="4" s="1"/>
  <c r="C1017" i="4"/>
  <c r="C1016" i="4"/>
  <c r="J1016" i="4" s="1"/>
  <c r="C1015" i="4"/>
  <c r="D1015" i="4" s="1"/>
  <c r="C1014" i="4"/>
  <c r="C1013" i="4"/>
  <c r="J1013" i="4" s="1"/>
  <c r="C1012" i="4"/>
  <c r="C1011" i="4"/>
  <c r="C1010" i="4"/>
  <c r="C1009" i="4"/>
  <c r="J1009" i="4" s="1"/>
  <c r="C1008" i="4"/>
  <c r="C1007" i="4"/>
  <c r="C1006" i="4"/>
  <c r="J1006" i="4" s="1"/>
  <c r="C1005" i="4"/>
  <c r="C1004" i="4"/>
  <c r="C1003" i="4"/>
  <c r="D1003" i="4" s="1"/>
  <c r="C1002" i="4"/>
  <c r="C1001" i="4"/>
  <c r="D1001" i="4" s="1"/>
  <c r="C1000" i="4"/>
  <c r="J1000" i="4" s="1"/>
  <c r="C999" i="4"/>
  <c r="C998" i="4"/>
  <c r="J998" i="4" s="1"/>
  <c r="C997" i="4"/>
  <c r="J997" i="4" s="1"/>
  <c r="C996" i="4"/>
  <c r="C995" i="4"/>
  <c r="J995" i="4" s="1"/>
  <c r="C994" i="4"/>
  <c r="J994" i="4" s="1"/>
  <c r="C993" i="4"/>
  <c r="C992" i="4"/>
  <c r="D992" i="4" s="1"/>
  <c r="C991" i="4"/>
  <c r="D991" i="4" s="1"/>
  <c r="C990" i="4"/>
  <c r="J990" i="4" s="1"/>
  <c r="C989" i="4"/>
  <c r="C988" i="4"/>
  <c r="C987" i="4"/>
  <c r="J987" i="4" s="1"/>
  <c r="C986" i="4"/>
  <c r="J986" i="4" s="1"/>
  <c r="C985" i="4"/>
  <c r="C984" i="4"/>
  <c r="C983" i="4"/>
  <c r="C982" i="4"/>
  <c r="J982" i="4" s="1"/>
  <c r="C981" i="4"/>
  <c r="J981" i="4" s="1"/>
  <c r="C980" i="4"/>
  <c r="C979" i="4"/>
  <c r="J979" i="4" s="1"/>
  <c r="C978" i="4"/>
  <c r="J978" i="4" s="1"/>
  <c r="C977" i="4"/>
  <c r="J977" i="4" s="1"/>
  <c r="C976" i="4"/>
  <c r="C975" i="4"/>
  <c r="D975" i="4" s="1"/>
  <c r="C974" i="4"/>
  <c r="J974" i="4" s="1"/>
  <c r="C973" i="4"/>
  <c r="J973" i="4" s="1"/>
  <c r="C972" i="4"/>
  <c r="C971" i="4"/>
  <c r="C970" i="4"/>
  <c r="C969" i="4"/>
  <c r="D969" i="4" s="1"/>
  <c r="C968" i="4"/>
  <c r="C967" i="4"/>
  <c r="D967" i="4" s="1"/>
  <c r="C966" i="4"/>
  <c r="J966" i="4" s="1"/>
  <c r="C965" i="4"/>
  <c r="C964" i="4"/>
  <c r="C963" i="4"/>
  <c r="J963" i="4" s="1"/>
  <c r="C962" i="4"/>
  <c r="J962" i="4" s="1"/>
  <c r="C961" i="4"/>
  <c r="J961" i="4" s="1"/>
  <c r="C960" i="4"/>
  <c r="C959" i="4"/>
  <c r="D959" i="4" s="1"/>
  <c r="C958" i="4"/>
  <c r="C957" i="4"/>
  <c r="D957" i="4" s="1"/>
  <c r="C956" i="4"/>
  <c r="C955" i="4"/>
  <c r="C954" i="4"/>
  <c r="C953" i="4"/>
  <c r="C952" i="4"/>
  <c r="D952" i="4" s="1"/>
  <c r="C951" i="4"/>
  <c r="D951" i="4" s="1"/>
  <c r="C950" i="4"/>
  <c r="C949" i="4"/>
  <c r="J949" i="4" s="1"/>
  <c r="C948" i="4"/>
  <c r="C947" i="4"/>
  <c r="C946" i="4"/>
  <c r="J946" i="4" s="1"/>
  <c r="C945" i="4"/>
  <c r="J945" i="4" s="1"/>
  <c r="C944" i="4"/>
  <c r="J944" i="4" s="1"/>
  <c r="C943" i="4"/>
  <c r="C942" i="4"/>
  <c r="C941" i="4"/>
  <c r="J941" i="4" s="1"/>
  <c r="C940" i="4"/>
  <c r="C939" i="4"/>
  <c r="J939" i="4" s="1"/>
  <c r="C938" i="4"/>
  <c r="J938" i="4" s="1"/>
  <c r="C937" i="4"/>
  <c r="D937" i="4" s="1"/>
  <c r="C936" i="4"/>
  <c r="C935" i="4"/>
  <c r="D935" i="4" s="1"/>
  <c r="C934" i="4"/>
  <c r="J934" i="4" s="1"/>
  <c r="C933" i="4"/>
  <c r="C932" i="4"/>
  <c r="C931" i="4"/>
  <c r="J931" i="4" s="1"/>
  <c r="C930" i="4"/>
  <c r="J930" i="4" s="1"/>
  <c r="C929" i="4"/>
  <c r="J929" i="4" s="1"/>
  <c r="C928" i="4"/>
  <c r="C927" i="4"/>
  <c r="D927" i="4" s="1"/>
  <c r="C926" i="4"/>
  <c r="J926" i="4" s="1"/>
  <c r="C925" i="4"/>
  <c r="D925" i="4" s="1"/>
  <c r="I925" i="4" s="1"/>
  <c r="C924" i="4"/>
  <c r="C923" i="4"/>
  <c r="C922" i="4"/>
  <c r="J922" i="4" s="1"/>
  <c r="C921" i="4"/>
  <c r="D921" i="4" s="1"/>
  <c r="I921" i="4" s="1"/>
  <c r="C920" i="4"/>
  <c r="C919" i="4"/>
  <c r="C918" i="4"/>
  <c r="C917" i="4"/>
  <c r="J917" i="4" s="1"/>
  <c r="C916" i="4"/>
  <c r="C915" i="4"/>
  <c r="J915" i="4" s="1"/>
  <c r="C914" i="4"/>
  <c r="J914" i="4" s="1"/>
  <c r="C913" i="4"/>
  <c r="D913" i="4" s="1"/>
  <c r="C912" i="4"/>
  <c r="J912" i="4" s="1"/>
  <c r="C911" i="4"/>
  <c r="D911" i="4" s="1"/>
  <c r="C910" i="4"/>
  <c r="C909" i="4"/>
  <c r="J909" i="4" s="1"/>
  <c r="C908" i="4"/>
  <c r="C907" i="4"/>
  <c r="D907" i="4" s="1"/>
  <c r="I907" i="4" s="1"/>
  <c r="C906" i="4"/>
  <c r="C905" i="4"/>
  <c r="C904" i="4"/>
  <c r="C903" i="4"/>
  <c r="J903" i="4" s="1"/>
  <c r="C902" i="4"/>
  <c r="D902" i="4" s="1"/>
  <c r="I902" i="4" s="1"/>
  <c r="C901" i="4"/>
  <c r="D901" i="4" s="1"/>
  <c r="I901" i="4" s="1"/>
  <c r="C900" i="4"/>
  <c r="C899" i="4"/>
  <c r="J899" i="4" s="1"/>
  <c r="C898" i="4"/>
  <c r="C897" i="4"/>
  <c r="C896" i="4"/>
  <c r="C895" i="4"/>
  <c r="J895" i="4" s="1"/>
  <c r="C894" i="4"/>
  <c r="C893" i="4"/>
  <c r="D893" i="4" s="1"/>
  <c r="I893" i="4" s="1"/>
  <c r="C892" i="4"/>
  <c r="C891" i="4"/>
  <c r="D891" i="4" s="1"/>
  <c r="C890" i="4"/>
  <c r="C889" i="4"/>
  <c r="C888" i="4"/>
  <c r="C887" i="4"/>
  <c r="J887" i="4" s="1"/>
  <c r="C886" i="4"/>
  <c r="J886" i="4" s="1"/>
  <c r="C885" i="4"/>
  <c r="C884" i="4"/>
  <c r="C883" i="4"/>
  <c r="D883" i="4" s="1"/>
  <c r="I883" i="4" s="1"/>
  <c r="C882" i="4"/>
  <c r="C881" i="4"/>
  <c r="C880" i="4"/>
  <c r="C879" i="4"/>
  <c r="J879" i="4" s="1"/>
  <c r="C878" i="4"/>
  <c r="C877" i="4"/>
  <c r="J877" i="4" s="1"/>
  <c r="C876" i="4"/>
  <c r="C875" i="4"/>
  <c r="C874" i="4"/>
  <c r="C873" i="4"/>
  <c r="D873" i="4" s="1"/>
  <c r="C872" i="4"/>
  <c r="D872" i="4" s="1"/>
  <c r="C871" i="4"/>
  <c r="D871" i="4" s="1"/>
  <c r="C870" i="4"/>
  <c r="J870" i="4" s="1"/>
  <c r="C869" i="4"/>
  <c r="D869" i="4" s="1"/>
  <c r="I869" i="4" s="1"/>
  <c r="C868" i="4"/>
  <c r="C867" i="4"/>
  <c r="J867" i="4" s="1"/>
  <c r="C866" i="4"/>
  <c r="D866" i="4" s="1"/>
  <c r="C865" i="4"/>
  <c r="J865" i="4" s="1"/>
  <c r="C864" i="4"/>
  <c r="C863" i="4"/>
  <c r="D863" i="4" s="1"/>
  <c r="C862" i="4"/>
  <c r="C861" i="4"/>
  <c r="C860" i="4"/>
  <c r="C859" i="4"/>
  <c r="D859" i="4" s="1"/>
  <c r="C858" i="4"/>
  <c r="C857" i="4"/>
  <c r="C856" i="4"/>
  <c r="C855" i="4"/>
  <c r="C854" i="4"/>
  <c r="C853" i="4"/>
  <c r="C852" i="4"/>
  <c r="C851" i="4"/>
  <c r="C850" i="4"/>
  <c r="D850" i="4" s="1"/>
  <c r="C849" i="4"/>
  <c r="C848" i="4"/>
  <c r="J848" i="4" s="1"/>
  <c r="C847" i="4"/>
  <c r="C846" i="4"/>
  <c r="C845" i="4"/>
  <c r="J845" i="4" s="1"/>
  <c r="C844" i="4"/>
  <c r="C843" i="4"/>
  <c r="D843" i="4" s="1"/>
  <c r="C842" i="4"/>
  <c r="C841" i="4"/>
  <c r="C840" i="4"/>
  <c r="C839" i="4"/>
  <c r="D839" i="4" s="1"/>
  <c r="C838" i="4"/>
  <c r="C837" i="4"/>
  <c r="D837" i="4" s="1"/>
  <c r="I837" i="4" s="1"/>
  <c r="C836" i="4"/>
  <c r="C835" i="4"/>
  <c r="D835" i="4" s="1"/>
  <c r="C834" i="4"/>
  <c r="C833" i="4"/>
  <c r="C832" i="4"/>
  <c r="J832" i="4" s="1"/>
  <c r="C831" i="4"/>
  <c r="D831" i="4" s="1"/>
  <c r="C830" i="4"/>
  <c r="C829" i="4"/>
  <c r="D829" i="4" s="1"/>
  <c r="I829" i="4" s="1"/>
  <c r="C828" i="4"/>
  <c r="J828" i="4" s="1"/>
  <c r="C827" i="4"/>
  <c r="J827" i="4" s="1"/>
  <c r="C826" i="4"/>
  <c r="C825" i="4"/>
  <c r="C824" i="4"/>
  <c r="C823" i="4"/>
  <c r="D823" i="4" s="1"/>
  <c r="I823" i="4" s="1"/>
  <c r="C822" i="4"/>
  <c r="D822" i="4" s="1"/>
  <c r="I822" i="4" s="1"/>
  <c r="C821" i="4"/>
  <c r="D821" i="4" s="1"/>
  <c r="C820" i="4"/>
  <c r="C819" i="4"/>
  <c r="J819" i="4" s="1"/>
  <c r="C818" i="4"/>
  <c r="D818" i="4" s="1"/>
  <c r="C817" i="4"/>
  <c r="C816" i="4"/>
  <c r="C815" i="4"/>
  <c r="C814" i="4"/>
  <c r="J814" i="4" s="1"/>
  <c r="C813" i="4"/>
  <c r="J813" i="4" s="1"/>
  <c r="C812" i="4"/>
  <c r="J812" i="4" s="1"/>
  <c r="C811" i="4"/>
  <c r="C810" i="4"/>
  <c r="D810" i="4" s="1"/>
  <c r="C809" i="4"/>
  <c r="C808" i="4"/>
  <c r="C807" i="4"/>
  <c r="C806" i="4"/>
  <c r="D806" i="4" s="1"/>
  <c r="C805" i="4"/>
  <c r="D805" i="4" s="1"/>
  <c r="C804" i="4"/>
  <c r="C803" i="4"/>
  <c r="C802" i="4"/>
  <c r="D802" i="4" s="1"/>
  <c r="C801" i="4"/>
  <c r="J801" i="4" s="1"/>
  <c r="C800" i="4"/>
  <c r="D800" i="4" s="1"/>
  <c r="C799" i="4"/>
  <c r="C798" i="4"/>
  <c r="C797" i="4"/>
  <c r="J797" i="4" s="1"/>
  <c r="C796" i="4"/>
  <c r="J796" i="4" s="1"/>
  <c r="C795" i="4"/>
  <c r="J795" i="4" s="1"/>
  <c r="C794" i="4"/>
  <c r="D794" i="4" s="1"/>
  <c r="C793" i="4"/>
  <c r="C792" i="4"/>
  <c r="J792" i="4" s="1"/>
  <c r="C791" i="4"/>
  <c r="C790" i="4"/>
  <c r="D790" i="4" s="1"/>
  <c r="C789" i="4"/>
  <c r="C788" i="4"/>
  <c r="J788" i="4" s="1"/>
  <c r="C787" i="4"/>
  <c r="J787" i="4" s="1"/>
  <c r="C786" i="4"/>
  <c r="D786" i="4" s="1"/>
  <c r="C785" i="4"/>
  <c r="J785" i="4" s="1"/>
  <c r="C784" i="4"/>
  <c r="D784" i="4" s="1"/>
  <c r="C783" i="4"/>
  <c r="C782" i="4"/>
  <c r="C781" i="4"/>
  <c r="C780" i="4"/>
  <c r="C779" i="4"/>
  <c r="D779" i="4" s="1"/>
  <c r="C778" i="4"/>
  <c r="D778" i="4" s="1"/>
  <c r="C777" i="4"/>
  <c r="C776" i="4"/>
  <c r="D776" i="4" s="1"/>
  <c r="C775" i="4"/>
  <c r="J775" i="4" s="1"/>
  <c r="C774" i="4"/>
  <c r="C773" i="4"/>
  <c r="J773" i="4" s="1"/>
  <c r="C772" i="4"/>
  <c r="J772" i="4" s="1"/>
  <c r="C771" i="4"/>
  <c r="D771" i="4" s="1"/>
  <c r="I771" i="4" s="1"/>
  <c r="C770" i="4"/>
  <c r="D770" i="4" s="1"/>
  <c r="C769" i="4"/>
  <c r="J769" i="4" s="1"/>
  <c r="C768" i="4"/>
  <c r="D768" i="4" s="1"/>
  <c r="C767" i="4"/>
  <c r="J767" i="4" s="1"/>
  <c r="C766" i="4"/>
  <c r="D766" i="4" s="1"/>
  <c r="C765" i="4"/>
  <c r="J765" i="4" s="1"/>
  <c r="C764" i="4"/>
  <c r="J764" i="4" s="1"/>
  <c r="C763" i="4"/>
  <c r="C762" i="4"/>
  <c r="C761" i="4"/>
  <c r="J761" i="4" s="1"/>
  <c r="C760" i="4"/>
  <c r="C759" i="4"/>
  <c r="J759" i="4" s="1"/>
  <c r="C758" i="4"/>
  <c r="C757" i="4"/>
  <c r="J757" i="4" s="1"/>
  <c r="C756" i="4"/>
  <c r="J756" i="4" s="1"/>
  <c r="C755" i="4"/>
  <c r="J755" i="4" s="1"/>
  <c r="C754" i="4"/>
  <c r="D754" i="4" s="1"/>
  <c r="C753" i="4"/>
  <c r="J753" i="4" s="1"/>
  <c r="C752" i="4"/>
  <c r="D752" i="4" s="1"/>
  <c r="C751" i="4"/>
  <c r="J751" i="4" s="1"/>
  <c r="C750" i="4"/>
  <c r="D750" i="4" s="1"/>
  <c r="C749" i="4"/>
  <c r="D749" i="4" s="1"/>
  <c r="I749" i="4" s="1"/>
  <c r="C748" i="4"/>
  <c r="J748" i="4" s="1"/>
  <c r="C747" i="4"/>
  <c r="J747" i="4" s="1"/>
  <c r="C746" i="4"/>
  <c r="C745" i="4"/>
  <c r="J745" i="4" s="1"/>
  <c r="C744" i="4"/>
  <c r="C743" i="4"/>
  <c r="J743" i="4" s="1"/>
  <c r="C742" i="4"/>
  <c r="C741" i="4"/>
  <c r="C740" i="4"/>
  <c r="J740" i="4" s="1"/>
  <c r="C739" i="4"/>
  <c r="D739" i="4" s="1"/>
  <c r="C738" i="4"/>
  <c r="C737" i="4"/>
  <c r="C736" i="4"/>
  <c r="D736" i="4" s="1"/>
  <c r="C735" i="4"/>
  <c r="J735" i="4" s="1"/>
  <c r="C734" i="4"/>
  <c r="D734" i="4" s="1"/>
  <c r="C733" i="4"/>
  <c r="J733" i="4" s="1"/>
  <c r="C732" i="4"/>
  <c r="J732" i="4" s="1"/>
  <c r="C731" i="4"/>
  <c r="J731" i="4" s="1"/>
  <c r="C730" i="4"/>
  <c r="D730" i="4" s="1"/>
  <c r="C729" i="4"/>
  <c r="C728" i="4"/>
  <c r="D728" i="4" s="1"/>
  <c r="I728" i="4" s="1"/>
  <c r="C727" i="4"/>
  <c r="C726" i="4"/>
  <c r="D726" i="4" s="1"/>
  <c r="C725" i="4"/>
  <c r="C724" i="4"/>
  <c r="C723" i="4"/>
  <c r="C722" i="4"/>
  <c r="D722" i="4" s="1"/>
  <c r="C721" i="4"/>
  <c r="J721" i="4" s="1"/>
  <c r="C720" i="4"/>
  <c r="D720" i="4" s="1"/>
  <c r="I720" i="4" s="1"/>
  <c r="C719" i="4"/>
  <c r="J719" i="4" s="1"/>
  <c r="C718" i="4"/>
  <c r="C717" i="4"/>
  <c r="J717" i="4" s="1"/>
  <c r="C716" i="4"/>
  <c r="C715" i="4"/>
  <c r="D715" i="4" s="1"/>
  <c r="C714" i="4"/>
  <c r="C713" i="4"/>
  <c r="J713" i="4" s="1"/>
  <c r="C712" i="4"/>
  <c r="D712" i="4" s="1"/>
  <c r="I712" i="4" s="1"/>
  <c r="C711" i="4"/>
  <c r="C710" i="4"/>
  <c r="C709" i="4"/>
  <c r="C708" i="4"/>
  <c r="C707" i="4"/>
  <c r="C706" i="4"/>
  <c r="C705" i="4"/>
  <c r="C704" i="4"/>
  <c r="C703" i="4"/>
  <c r="C702" i="4"/>
  <c r="D702" i="4" s="1"/>
  <c r="I702" i="4" s="1"/>
  <c r="C701" i="4"/>
  <c r="C700" i="4"/>
  <c r="J700" i="4" s="1"/>
  <c r="C699" i="4"/>
  <c r="C698" i="4"/>
  <c r="D698" i="4" s="1"/>
  <c r="C697" i="4"/>
  <c r="J697" i="4" s="1"/>
  <c r="C696" i="4"/>
  <c r="D696" i="4" s="1"/>
  <c r="C695" i="4"/>
  <c r="C694" i="4"/>
  <c r="C693" i="4"/>
  <c r="D693" i="4" s="1"/>
  <c r="C692" i="4"/>
  <c r="J692" i="4" s="1"/>
  <c r="C691" i="4"/>
  <c r="C690" i="4"/>
  <c r="C689" i="4"/>
  <c r="D689" i="4" s="1"/>
  <c r="C688" i="4"/>
  <c r="J688" i="4" s="1"/>
  <c r="C687" i="4"/>
  <c r="J687" i="4" s="1"/>
  <c r="C686" i="4"/>
  <c r="C685" i="4"/>
  <c r="C684" i="4"/>
  <c r="J684" i="4" s="1"/>
  <c r="C683" i="4"/>
  <c r="C682" i="4"/>
  <c r="C681" i="4"/>
  <c r="J681" i="4" s="1"/>
  <c r="C680" i="4"/>
  <c r="D680" i="4" s="1"/>
  <c r="I680" i="4" s="1"/>
  <c r="C679" i="4"/>
  <c r="J679" i="4" s="1"/>
  <c r="C678" i="4"/>
  <c r="C677" i="4"/>
  <c r="J677" i="4" s="1"/>
  <c r="C676" i="4"/>
  <c r="C675" i="4"/>
  <c r="D675" i="4" s="1"/>
  <c r="C674" i="4"/>
  <c r="C673" i="4"/>
  <c r="J673" i="4" s="1"/>
  <c r="C672" i="4"/>
  <c r="C671" i="4"/>
  <c r="J671" i="4" s="1"/>
  <c r="C670" i="4"/>
  <c r="C669" i="4"/>
  <c r="J669" i="4" s="1"/>
  <c r="C668" i="4"/>
  <c r="J668" i="4" s="1"/>
  <c r="C667" i="4"/>
  <c r="J667" i="4" s="1"/>
  <c r="C666" i="4"/>
  <c r="D666" i="4" s="1"/>
  <c r="C665" i="4"/>
  <c r="C664" i="4"/>
  <c r="D664" i="4" s="1"/>
  <c r="I664" i="4" s="1"/>
  <c r="C663" i="4"/>
  <c r="C662" i="4"/>
  <c r="D662" i="4" s="1"/>
  <c r="I662" i="4" s="1"/>
  <c r="C661" i="4"/>
  <c r="D661" i="4" s="1"/>
  <c r="I661" i="4" s="1"/>
  <c r="C660" i="4"/>
  <c r="C659" i="4"/>
  <c r="J659" i="4" s="1"/>
  <c r="C658" i="4"/>
  <c r="D658" i="4" s="1"/>
  <c r="C657" i="4"/>
  <c r="D657" i="4" s="1"/>
  <c r="I657" i="4" s="1"/>
  <c r="C656" i="4"/>
  <c r="D656" i="4" s="1"/>
  <c r="I656" i="4" s="1"/>
  <c r="C655" i="4"/>
  <c r="J655" i="4" s="1"/>
  <c r="C654" i="4"/>
  <c r="C653" i="4"/>
  <c r="D653" i="4" s="1"/>
  <c r="I653" i="4" s="1"/>
  <c r="C652" i="4"/>
  <c r="C651" i="4"/>
  <c r="J651" i="4" s="1"/>
  <c r="C650" i="4"/>
  <c r="C649" i="4"/>
  <c r="D649" i="4" s="1"/>
  <c r="I649" i="4" s="1"/>
  <c r="C648" i="4"/>
  <c r="C647" i="4"/>
  <c r="C646" i="4"/>
  <c r="C645" i="4"/>
  <c r="D645" i="4" s="1"/>
  <c r="C644" i="4"/>
  <c r="C643" i="4"/>
  <c r="C642" i="4"/>
  <c r="C641" i="4"/>
  <c r="J641" i="4" s="1"/>
  <c r="C640" i="4"/>
  <c r="D640" i="4" s="1"/>
  <c r="I640" i="4" s="1"/>
  <c r="C639" i="4"/>
  <c r="C638" i="4"/>
  <c r="D638" i="4" s="1"/>
  <c r="I638" i="4" s="1"/>
  <c r="C637" i="4"/>
  <c r="C636" i="4"/>
  <c r="J636" i="4" s="1"/>
  <c r="C635" i="4"/>
  <c r="C634" i="4"/>
  <c r="D634" i="4" s="1"/>
  <c r="C633" i="4"/>
  <c r="D633" i="4" s="1"/>
  <c r="C632" i="4"/>
  <c r="J632" i="4" s="1"/>
  <c r="C631" i="4"/>
  <c r="C630" i="4"/>
  <c r="C629" i="4"/>
  <c r="J629" i="4" s="1"/>
  <c r="C628" i="4"/>
  <c r="J628" i="4" s="1"/>
  <c r="C627" i="4"/>
  <c r="D627" i="4" s="1"/>
  <c r="C626" i="4"/>
  <c r="C625" i="4"/>
  <c r="C624" i="4"/>
  <c r="C623" i="4"/>
  <c r="J623" i="4" s="1"/>
  <c r="C622" i="4"/>
  <c r="D622" i="4" s="1"/>
  <c r="C621" i="4"/>
  <c r="D621" i="4" s="1"/>
  <c r="I621" i="4" s="1"/>
  <c r="C620" i="4"/>
  <c r="J620" i="4" s="1"/>
  <c r="C619" i="4"/>
  <c r="J619" i="4" s="1"/>
  <c r="C618" i="4"/>
  <c r="C617" i="4"/>
  <c r="D617" i="4" s="1"/>
  <c r="C616" i="4"/>
  <c r="D616" i="4" s="1"/>
  <c r="I616" i="4" s="1"/>
  <c r="C615" i="4"/>
  <c r="J615" i="4" s="1"/>
  <c r="C614" i="4"/>
  <c r="C613" i="4"/>
  <c r="D613" i="4" s="1"/>
  <c r="I613" i="4" s="1"/>
  <c r="C612" i="4"/>
  <c r="J612" i="4" s="1"/>
  <c r="C611" i="4"/>
  <c r="J611" i="4" s="1"/>
  <c r="C610" i="4"/>
  <c r="C609" i="4"/>
  <c r="D609" i="4" s="1"/>
  <c r="I609" i="4" s="1"/>
  <c r="C608" i="4"/>
  <c r="C607" i="4"/>
  <c r="J607" i="4" s="1"/>
  <c r="C606" i="4"/>
  <c r="D606" i="4" s="1"/>
  <c r="C605" i="4"/>
  <c r="D605" i="4" s="1"/>
  <c r="I605" i="4" s="1"/>
  <c r="C604" i="4"/>
  <c r="J604" i="4" s="1"/>
  <c r="C603" i="4"/>
  <c r="J603" i="4" s="1"/>
  <c r="C602" i="4"/>
  <c r="D602" i="4" s="1"/>
  <c r="C601" i="4"/>
  <c r="D601" i="4" s="1"/>
  <c r="I601" i="4" s="1"/>
  <c r="C600" i="4"/>
  <c r="C599" i="4"/>
  <c r="C598" i="4"/>
  <c r="C597" i="4"/>
  <c r="C596" i="4"/>
  <c r="C595" i="4"/>
  <c r="J595" i="4" s="1"/>
  <c r="C594" i="4"/>
  <c r="D594" i="4" s="1"/>
  <c r="C593" i="4"/>
  <c r="C592" i="4"/>
  <c r="D592" i="4" s="1"/>
  <c r="I592" i="4" s="1"/>
  <c r="C591" i="4"/>
  <c r="J591" i="4" s="1"/>
  <c r="C590" i="4"/>
  <c r="C589" i="4"/>
  <c r="J589" i="4" s="1"/>
  <c r="C588" i="4"/>
  <c r="C587" i="4"/>
  <c r="D587" i="4" s="1"/>
  <c r="C586" i="4"/>
  <c r="C585" i="4"/>
  <c r="D585" i="4" s="1"/>
  <c r="I585" i="4" s="1"/>
  <c r="C584" i="4"/>
  <c r="D584" i="4" s="1"/>
  <c r="C583" i="4"/>
  <c r="C582" i="4"/>
  <c r="C581" i="4"/>
  <c r="D581" i="4" s="1"/>
  <c r="C580" i="4"/>
  <c r="C579" i="4"/>
  <c r="C578" i="4"/>
  <c r="C577" i="4"/>
  <c r="C576" i="4"/>
  <c r="D576" i="4" s="1"/>
  <c r="I576" i="4" s="1"/>
  <c r="C575" i="4"/>
  <c r="C574" i="4"/>
  <c r="D574" i="4" s="1"/>
  <c r="I574" i="4" s="1"/>
  <c r="C573" i="4"/>
  <c r="D573" i="4" s="1"/>
  <c r="C572" i="4"/>
  <c r="J572" i="4" s="1"/>
  <c r="C571" i="4"/>
  <c r="C570" i="4"/>
  <c r="D570" i="4" s="1"/>
  <c r="C569" i="4"/>
  <c r="D569" i="4" s="1"/>
  <c r="C568" i="4"/>
  <c r="D568" i="4" s="1"/>
  <c r="C567" i="4"/>
  <c r="C566" i="4"/>
  <c r="C565" i="4"/>
  <c r="J565" i="4" s="1"/>
  <c r="C564" i="4"/>
  <c r="J564" i="4" s="1"/>
  <c r="C563" i="4"/>
  <c r="J563" i="4" s="1"/>
  <c r="C562" i="4"/>
  <c r="C561" i="4"/>
  <c r="C560" i="4"/>
  <c r="D560" i="4" s="1"/>
  <c r="C559" i="4"/>
  <c r="J559" i="4" s="1"/>
  <c r="C558" i="4"/>
  <c r="D558" i="4" s="1"/>
  <c r="C557" i="4"/>
  <c r="J557" i="4" s="1"/>
  <c r="C556" i="4"/>
  <c r="J556" i="4" s="1"/>
  <c r="C555" i="4"/>
  <c r="J555" i="4" s="1"/>
  <c r="C554" i="4"/>
  <c r="C553" i="4"/>
  <c r="D553" i="4" s="1"/>
  <c r="C552" i="4"/>
  <c r="D552" i="4" s="1"/>
  <c r="I552" i="4" s="1"/>
  <c r="C551" i="4"/>
  <c r="J551" i="4" s="1"/>
  <c r="C550" i="4"/>
  <c r="C549" i="4"/>
  <c r="J549" i="4" s="1"/>
  <c r="C548" i="4"/>
  <c r="J548" i="4" s="1"/>
  <c r="C547" i="4"/>
  <c r="C546" i="4"/>
  <c r="C545" i="4"/>
  <c r="C544" i="4"/>
  <c r="D544" i="4" s="1"/>
  <c r="C543" i="4"/>
  <c r="J543" i="4" s="1"/>
  <c r="C542" i="4"/>
  <c r="C541" i="4"/>
  <c r="C540" i="4"/>
  <c r="J540" i="4" s="1"/>
  <c r="C539" i="4"/>
  <c r="J539" i="4" s="1"/>
  <c r="C538" i="4"/>
  <c r="D538" i="4" s="1"/>
  <c r="C537" i="4"/>
  <c r="C536" i="4"/>
  <c r="D536" i="4" s="1"/>
  <c r="I536" i="4" s="1"/>
  <c r="C535" i="4"/>
  <c r="C534" i="4"/>
  <c r="C533" i="4"/>
  <c r="C532" i="4"/>
  <c r="C531" i="4"/>
  <c r="J531" i="4" s="1"/>
  <c r="C530" i="4"/>
  <c r="D530" i="4" s="1"/>
  <c r="C529" i="4"/>
  <c r="C528" i="4"/>
  <c r="D528" i="4" s="1"/>
  <c r="I528" i="4" s="1"/>
  <c r="C527" i="4"/>
  <c r="J527" i="4" s="1"/>
  <c r="C526" i="4"/>
  <c r="C525" i="4"/>
  <c r="J525" i="4" s="1"/>
  <c r="C524" i="4"/>
  <c r="C523" i="4"/>
  <c r="J523" i="4" s="1"/>
  <c r="C522" i="4"/>
  <c r="C521" i="4"/>
  <c r="J521" i="4" s="1"/>
  <c r="C520" i="4"/>
  <c r="D520" i="4" s="1"/>
  <c r="C519" i="4"/>
  <c r="C518" i="4"/>
  <c r="C517" i="4"/>
  <c r="D517" i="4" s="1"/>
  <c r="C516" i="4"/>
  <c r="C515" i="4"/>
  <c r="C514" i="4"/>
  <c r="C513" i="4"/>
  <c r="C512" i="4"/>
  <c r="D512" i="4" s="1"/>
  <c r="I512" i="4" s="1"/>
  <c r="C511" i="4"/>
  <c r="C510" i="4"/>
  <c r="D510" i="4" s="1"/>
  <c r="I510" i="4" s="1"/>
  <c r="C509" i="4"/>
  <c r="C508" i="4"/>
  <c r="J508" i="4" s="1"/>
  <c r="C507" i="4"/>
  <c r="C506" i="4"/>
  <c r="D506" i="4" s="1"/>
  <c r="C505" i="4"/>
  <c r="C504" i="4"/>
  <c r="D504" i="4" s="1"/>
  <c r="C503" i="4"/>
  <c r="C502" i="4"/>
  <c r="C501" i="4"/>
  <c r="J501" i="4" s="1"/>
  <c r="C500" i="4"/>
  <c r="J500" i="4" s="1"/>
  <c r="C499" i="4"/>
  <c r="J499" i="4" s="1"/>
  <c r="C498" i="4"/>
  <c r="C497" i="4"/>
  <c r="J497" i="4" s="1"/>
  <c r="C496" i="4"/>
  <c r="D496" i="4" s="1"/>
  <c r="C495" i="4"/>
  <c r="J495" i="4" s="1"/>
  <c r="C494" i="4"/>
  <c r="C493" i="4"/>
  <c r="J493" i="4" s="1"/>
  <c r="C492" i="4"/>
  <c r="J492" i="4" s="1"/>
  <c r="C491" i="4"/>
  <c r="J491" i="4" s="1"/>
  <c r="C490" i="4"/>
  <c r="C489" i="4"/>
  <c r="J489" i="4" s="1"/>
  <c r="C488" i="4"/>
  <c r="D488" i="4" s="1"/>
  <c r="I488" i="4" s="1"/>
  <c r="C487" i="4"/>
  <c r="J487" i="4" s="1"/>
  <c r="C486" i="4"/>
  <c r="C485" i="4"/>
  <c r="C484" i="4"/>
  <c r="J484" i="4" s="1"/>
  <c r="C483" i="4"/>
  <c r="J483" i="4" s="1"/>
  <c r="C482" i="4"/>
  <c r="C481" i="4"/>
  <c r="C480" i="4"/>
  <c r="C479" i="4"/>
  <c r="J479" i="4" s="1"/>
  <c r="C478" i="4"/>
  <c r="C477" i="4"/>
  <c r="J477" i="4" s="1"/>
  <c r="C476" i="4"/>
  <c r="J476" i="4" s="1"/>
  <c r="C475" i="4"/>
  <c r="J475" i="4" s="1"/>
  <c r="C474" i="4"/>
  <c r="D474" i="4" s="1"/>
  <c r="C473" i="4"/>
  <c r="J473" i="4" s="1"/>
  <c r="C472" i="4"/>
  <c r="D472" i="4" s="1"/>
  <c r="I472" i="4" s="1"/>
  <c r="C471" i="4"/>
  <c r="C470" i="4"/>
  <c r="C469" i="4"/>
  <c r="D469" i="4" s="1"/>
  <c r="I469" i="4" s="1"/>
  <c r="C468" i="4"/>
  <c r="C467" i="4"/>
  <c r="J467" i="4" s="1"/>
  <c r="C466" i="4"/>
  <c r="D466" i="4" s="1"/>
  <c r="C465" i="4"/>
  <c r="J465" i="4" s="1"/>
  <c r="C464" i="4"/>
  <c r="J464" i="4" s="1"/>
  <c r="C463" i="4"/>
  <c r="C462" i="4"/>
  <c r="D462" i="4" s="1"/>
  <c r="I462" i="4" s="1"/>
  <c r="C461" i="4"/>
  <c r="C460" i="4"/>
  <c r="J460" i="4" s="1"/>
  <c r="C459" i="4"/>
  <c r="J459" i="4" s="1"/>
  <c r="C458" i="4"/>
  <c r="D458" i="4" s="1"/>
  <c r="C457" i="4"/>
  <c r="C456" i="4"/>
  <c r="J456" i="4" s="1"/>
  <c r="C455" i="4"/>
  <c r="C454" i="4"/>
  <c r="D454" i="4" s="1"/>
  <c r="I454" i="4" s="1"/>
  <c r="C453" i="4"/>
  <c r="J453" i="4" s="1"/>
  <c r="C452" i="4"/>
  <c r="J452" i="4" s="1"/>
  <c r="C451" i="4"/>
  <c r="J451" i="4" s="1"/>
  <c r="C450" i="4"/>
  <c r="C449" i="4"/>
  <c r="C448" i="4"/>
  <c r="C447" i="4"/>
  <c r="C446" i="4"/>
  <c r="D446" i="4" s="1"/>
  <c r="I446" i="4" s="1"/>
  <c r="C445" i="4"/>
  <c r="J445" i="4" s="1"/>
  <c r="C444" i="4"/>
  <c r="J444" i="4" s="1"/>
  <c r="C443" i="4"/>
  <c r="C442" i="4"/>
  <c r="J442" i="4" s="1"/>
  <c r="C441" i="4"/>
  <c r="D441" i="4" s="1"/>
  <c r="C440" i="4"/>
  <c r="J440" i="4" s="1"/>
  <c r="C439" i="4"/>
  <c r="C438" i="4"/>
  <c r="D438" i="4" s="1"/>
  <c r="I438" i="4" s="1"/>
  <c r="C437" i="4"/>
  <c r="J437" i="4" s="1"/>
  <c r="C436" i="4"/>
  <c r="J436" i="4" s="1"/>
  <c r="C435" i="4"/>
  <c r="J435" i="4" s="1"/>
  <c r="C434" i="4"/>
  <c r="J434" i="4" s="1"/>
  <c r="C433" i="4"/>
  <c r="C432" i="4"/>
  <c r="C431" i="4"/>
  <c r="C430" i="4"/>
  <c r="D430" i="4" s="1"/>
  <c r="I430" i="4" s="1"/>
  <c r="C429" i="4"/>
  <c r="J429" i="4" s="1"/>
  <c r="C428" i="4"/>
  <c r="J428" i="4" s="1"/>
  <c r="C427" i="4"/>
  <c r="J427" i="4" s="1"/>
  <c r="C426" i="4"/>
  <c r="J426" i="4" s="1"/>
  <c r="C425" i="4"/>
  <c r="D425" i="4" s="1"/>
  <c r="C424" i="4"/>
  <c r="C423" i="4"/>
  <c r="C422" i="4"/>
  <c r="D422" i="4" s="1"/>
  <c r="C421" i="4"/>
  <c r="C420" i="4"/>
  <c r="C419" i="4"/>
  <c r="C418" i="4"/>
  <c r="C417" i="4"/>
  <c r="C416" i="4"/>
  <c r="D416" i="4" s="1"/>
  <c r="C415" i="4"/>
  <c r="C414" i="4"/>
  <c r="C413" i="4"/>
  <c r="D413" i="4" s="1"/>
  <c r="I413" i="4" s="1"/>
  <c r="C412" i="4"/>
  <c r="C411" i="4"/>
  <c r="C410" i="4"/>
  <c r="C409" i="4"/>
  <c r="C408" i="4"/>
  <c r="D408" i="4" s="1"/>
  <c r="C407" i="4"/>
  <c r="C406" i="4"/>
  <c r="C405" i="4"/>
  <c r="J405" i="4" s="1"/>
  <c r="C404" i="4"/>
  <c r="C403" i="4"/>
  <c r="C402" i="4"/>
  <c r="C401" i="4"/>
  <c r="C400" i="4"/>
  <c r="C399" i="4"/>
  <c r="C398" i="4"/>
  <c r="D398" i="4" s="1"/>
  <c r="C397" i="4"/>
  <c r="C396" i="4"/>
  <c r="C395" i="4"/>
  <c r="C394" i="4"/>
  <c r="D394" i="4" s="1"/>
  <c r="C393" i="4"/>
  <c r="C392" i="4"/>
  <c r="C391" i="4"/>
  <c r="C390" i="4"/>
  <c r="D390" i="4" s="1"/>
  <c r="C389" i="4"/>
  <c r="J389" i="4" s="1"/>
  <c r="C388" i="4"/>
  <c r="C387" i="4"/>
  <c r="C386" i="4"/>
  <c r="D386" i="4" s="1"/>
  <c r="C385" i="4"/>
  <c r="C384" i="4"/>
  <c r="C383" i="4"/>
  <c r="C382" i="4"/>
  <c r="D382" i="4" s="1"/>
  <c r="C381" i="4"/>
  <c r="D381" i="4" s="1"/>
  <c r="I381" i="4" s="1"/>
  <c r="C380" i="4"/>
  <c r="C379" i="4"/>
  <c r="C378" i="4"/>
  <c r="D378" i="4" s="1"/>
  <c r="C377" i="4"/>
  <c r="C376" i="4"/>
  <c r="C375" i="4"/>
  <c r="C374" i="4"/>
  <c r="D374" i="4" s="1"/>
  <c r="C373" i="4"/>
  <c r="J373" i="4" s="1"/>
  <c r="C372" i="4"/>
  <c r="C371" i="4"/>
  <c r="D371" i="4" s="1"/>
  <c r="C370" i="4"/>
  <c r="D370" i="4" s="1"/>
  <c r="C369" i="4"/>
  <c r="C368" i="4"/>
  <c r="C367" i="4"/>
  <c r="C366" i="4"/>
  <c r="D366" i="4" s="1"/>
  <c r="C365" i="4"/>
  <c r="J365" i="4" s="1"/>
  <c r="C364" i="4"/>
  <c r="C363" i="4"/>
  <c r="D363" i="4" s="1"/>
  <c r="C362" i="4"/>
  <c r="C361" i="4"/>
  <c r="C360" i="4"/>
  <c r="C359" i="4"/>
  <c r="C358" i="4"/>
  <c r="D358" i="4" s="1"/>
  <c r="C357" i="4"/>
  <c r="J357" i="4" s="1"/>
  <c r="C356" i="4"/>
  <c r="C355" i="4"/>
  <c r="D355" i="4" s="1"/>
  <c r="C354" i="4"/>
  <c r="C353" i="4"/>
  <c r="C352" i="4"/>
  <c r="C351" i="4"/>
  <c r="C350" i="4"/>
  <c r="D350" i="4" s="1"/>
  <c r="C349" i="4"/>
  <c r="D349" i="4" s="1"/>
  <c r="I349" i="4" s="1"/>
  <c r="C348" i="4"/>
  <c r="C347" i="4"/>
  <c r="D347" i="4" s="1"/>
  <c r="C346" i="4"/>
  <c r="C345" i="4"/>
  <c r="C344" i="4"/>
  <c r="C343" i="4"/>
  <c r="C342" i="4"/>
  <c r="D342" i="4" s="1"/>
  <c r="C341" i="4"/>
  <c r="D341" i="4" s="1"/>
  <c r="I341" i="4" s="1"/>
  <c r="C340" i="4"/>
  <c r="C339" i="4"/>
  <c r="D339" i="4" s="1"/>
  <c r="C338" i="4"/>
  <c r="C337" i="4"/>
  <c r="C336" i="4"/>
  <c r="C335" i="4"/>
  <c r="C334" i="4"/>
  <c r="D334" i="4" s="1"/>
  <c r="C333" i="4"/>
  <c r="J333" i="4" s="1"/>
  <c r="C332" i="4"/>
  <c r="C331" i="4"/>
  <c r="D331" i="4" s="1"/>
  <c r="C330" i="4"/>
  <c r="C329" i="4"/>
  <c r="C328" i="4"/>
  <c r="C327" i="4"/>
  <c r="C326" i="4"/>
  <c r="D326" i="4" s="1"/>
  <c r="C325" i="4"/>
  <c r="J325" i="4" s="1"/>
  <c r="C324" i="4"/>
  <c r="C323" i="4"/>
  <c r="D323" i="4" s="1"/>
  <c r="C322" i="4"/>
  <c r="C321" i="4"/>
  <c r="C320" i="4"/>
  <c r="C319" i="4"/>
  <c r="C318" i="4"/>
  <c r="D318" i="4" s="1"/>
  <c r="C317" i="4"/>
  <c r="J317" i="4" s="1"/>
  <c r="C316" i="4"/>
  <c r="C315" i="4"/>
  <c r="C314" i="4"/>
  <c r="C313" i="4"/>
  <c r="C312" i="4"/>
  <c r="C311" i="4"/>
  <c r="C310" i="4"/>
  <c r="D310" i="4" s="1"/>
  <c r="C309" i="4"/>
  <c r="J309" i="4" s="1"/>
  <c r="C308" i="4"/>
  <c r="C307" i="4"/>
  <c r="D307" i="4" s="1"/>
  <c r="C306" i="4"/>
  <c r="C305" i="4"/>
  <c r="C304" i="4"/>
  <c r="C303" i="4"/>
  <c r="C302" i="4"/>
  <c r="D302" i="4" s="1"/>
  <c r="C301" i="4"/>
  <c r="J301" i="4" s="1"/>
  <c r="C300" i="4"/>
  <c r="C299" i="4"/>
  <c r="D299" i="4" s="1"/>
  <c r="C298" i="4"/>
  <c r="C297" i="4"/>
  <c r="C296" i="4"/>
  <c r="C295" i="4"/>
  <c r="C294" i="4"/>
  <c r="D294" i="4" s="1"/>
  <c r="C293" i="4"/>
  <c r="C292" i="4"/>
  <c r="C291" i="4"/>
  <c r="D291" i="4" s="1"/>
  <c r="C290" i="4"/>
  <c r="C289" i="4"/>
  <c r="C288" i="4"/>
  <c r="C287" i="4"/>
  <c r="C286" i="4"/>
  <c r="D286" i="4" s="1"/>
  <c r="C285" i="4"/>
  <c r="J285" i="4" s="1"/>
  <c r="C284" i="4"/>
  <c r="C283" i="4"/>
  <c r="C282" i="4"/>
  <c r="C281" i="4"/>
  <c r="C280" i="4"/>
  <c r="C279" i="4"/>
  <c r="C278" i="4"/>
  <c r="D278" i="4" s="1"/>
  <c r="C277" i="4"/>
  <c r="C276" i="4"/>
  <c r="C275" i="4"/>
  <c r="D275" i="4" s="1"/>
  <c r="C274" i="4"/>
  <c r="C273" i="4"/>
  <c r="C272" i="4"/>
  <c r="C271" i="4"/>
  <c r="C270" i="4"/>
  <c r="D270" i="4" s="1"/>
  <c r="C269" i="4"/>
  <c r="C268" i="4"/>
  <c r="J268" i="4" s="1"/>
  <c r="C267" i="4"/>
  <c r="D267" i="4" s="1"/>
  <c r="I267" i="4" s="1"/>
  <c r="C266" i="4"/>
  <c r="J266" i="4" s="1"/>
  <c r="C265" i="4"/>
  <c r="D265" i="4" s="1"/>
  <c r="C264" i="4"/>
  <c r="J264" i="4" s="1"/>
  <c r="C263" i="4"/>
  <c r="J263" i="4" s="1"/>
  <c r="C262" i="4"/>
  <c r="J262" i="4" s="1"/>
  <c r="C261" i="4"/>
  <c r="C260" i="4"/>
  <c r="C259" i="4"/>
  <c r="D259" i="4" s="1"/>
  <c r="I259" i="4" s="1"/>
  <c r="C258" i="4"/>
  <c r="J258" i="4" s="1"/>
  <c r="C257" i="4"/>
  <c r="D257" i="4" s="1"/>
  <c r="C256" i="4"/>
  <c r="J256" i="4" s="1"/>
  <c r="C255" i="4"/>
  <c r="J255" i="4" s="1"/>
  <c r="C254" i="4"/>
  <c r="D254" i="4" s="1"/>
  <c r="C253" i="4"/>
  <c r="C252" i="4"/>
  <c r="C251" i="4"/>
  <c r="J251" i="4" s="1"/>
  <c r="C250" i="4"/>
  <c r="J250" i="4" s="1"/>
  <c r="C249" i="4"/>
  <c r="D249" i="4" s="1"/>
  <c r="C248" i="4"/>
  <c r="C247" i="4"/>
  <c r="J247" i="4" s="1"/>
  <c r="C246" i="4"/>
  <c r="D246" i="4" s="1"/>
  <c r="C245" i="4"/>
  <c r="C244" i="4"/>
  <c r="C243" i="4"/>
  <c r="J243" i="4" s="1"/>
  <c r="C242" i="4"/>
  <c r="J242" i="4" s="1"/>
  <c r="C241" i="4"/>
  <c r="D241" i="4" s="1"/>
  <c r="C240" i="4"/>
  <c r="J240" i="4" s="1"/>
  <c r="C239" i="4"/>
  <c r="J239" i="4" s="1"/>
  <c r="C238" i="4"/>
  <c r="D238" i="4" s="1"/>
  <c r="C237" i="4"/>
  <c r="C236" i="4"/>
  <c r="C235" i="4"/>
  <c r="J235" i="4" s="1"/>
  <c r="C234" i="4"/>
  <c r="J234" i="4" s="1"/>
  <c r="C233" i="4"/>
  <c r="C232" i="4"/>
  <c r="J232" i="4" s="1"/>
  <c r="C231" i="4"/>
  <c r="J231" i="4" s="1"/>
  <c r="C230" i="4"/>
  <c r="D230" i="4" s="1"/>
  <c r="C229" i="4"/>
  <c r="C228" i="4"/>
  <c r="C227" i="4"/>
  <c r="J227" i="4" s="1"/>
  <c r="C226" i="4"/>
  <c r="J226" i="4" s="1"/>
  <c r="C225" i="4"/>
  <c r="C224" i="4"/>
  <c r="D224" i="4" s="1"/>
  <c r="I224" i="4" s="1"/>
  <c r="C223" i="4"/>
  <c r="J223" i="4" s="1"/>
  <c r="C222" i="4"/>
  <c r="D222" i="4" s="1"/>
  <c r="C221" i="4"/>
  <c r="C220" i="4"/>
  <c r="C219" i="4"/>
  <c r="J219" i="4" s="1"/>
  <c r="C218" i="4"/>
  <c r="J218" i="4" s="1"/>
  <c r="C217" i="4"/>
  <c r="D217" i="4" s="1"/>
  <c r="C216" i="4"/>
  <c r="J216" i="4" s="1"/>
  <c r="C215" i="4"/>
  <c r="J215" i="4" s="1"/>
  <c r="C214" i="4"/>
  <c r="D214" i="4" s="1"/>
  <c r="C213" i="4"/>
  <c r="C212" i="4"/>
  <c r="C211" i="4"/>
  <c r="J211" i="4" s="1"/>
  <c r="C210" i="4"/>
  <c r="J210" i="4" s="1"/>
  <c r="C209" i="4"/>
  <c r="C208" i="4"/>
  <c r="J208" i="4" s="1"/>
  <c r="C207" i="4"/>
  <c r="J207" i="4" s="1"/>
  <c r="C206" i="4"/>
  <c r="C205" i="4"/>
  <c r="C204" i="4"/>
  <c r="C203" i="4"/>
  <c r="D203" i="4" s="1"/>
  <c r="I203" i="4" s="1"/>
  <c r="C202" i="4"/>
  <c r="J202" i="4" s="1"/>
  <c r="C201" i="4"/>
  <c r="D201" i="4" s="1"/>
  <c r="C200" i="4"/>
  <c r="J200" i="4" s="1"/>
  <c r="C199" i="4"/>
  <c r="J199" i="4" s="1"/>
  <c r="C198" i="4"/>
  <c r="C197" i="4"/>
  <c r="C196" i="4"/>
  <c r="D196" i="4" s="1"/>
  <c r="C195" i="4"/>
  <c r="J195" i="4" s="1"/>
  <c r="C194" i="4"/>
  <c r="J194" i="4" s="1"/>
  <c r="C193" i="4"/>
  <c r="D193" i="4" s="1"/>
  <c r="C192" i="4"/>
  <c r="J192" i="4" s="1"/>
  <c r="C191" i="4"/>
  <c r="J191" i="4" s="1"/>
  <c r="C190" i="4"/>
  <c r="C189" i="4"/>
  <c r="C188" i="4"/>
  <c r="C187" i="4"/>
  <c r="J187" i="4" s="1"/>
  <c r="C186" i="4"/>
  <c r="J186" i="4" s="1"/>
  <c r="C185" i="4"/>
  <c r="D185" i="4" s="1"/>
  <c r="C184" i="4"/>
  <c r="C183" i="4"/>
  <c r="J183" i="4" s="1"/>
  <c r="C182" i="4"/>
  <c r="C181" i="4"/>
  <c r="C180" i="4"/>
  <c r="C179" i="4"/>
  <c r="J179" i="4" s="1"/>
  <c r="C178" i="4"/>
  <c r="J178" i="4" s="1"/>
  <c r="C177" i="4"/>
  <c r="D177" i="4" s="1"/>
  <c r="I177" i="4" s="1"/>
  <c r="C176" i="4"/>
  <c r="J176" i="4" s="1"/>
  <c r="C175" i="4"/>
  <c r="J175" i="4" s="1"/>
  <c r="C174" i="4"/>
  <c r="C173" i="4"/>
  <c r="C172" i="4"/>
  <c r="C171" i="4"/>
  <c r="D171" i="4" s="1"/>
  <c r="I171" i="4" s="1"/>
  <c r="C170" i="4"/>
  <c r="J170" i="4" s="1"/>
  <c r="C169" i="4"/>
  <c r="C168" i="4"/>
  <c r="D168" i="4" s="1"/>
  <c r="C167" i="4"/>
  <c r="J167" i="4" s="1"/>
  <c r="C166" i="4"/>
  <c r="D166" i="4" s="1"/>
  <c r="C165" i="4"/>
  <c r="C164" i="4"/>
  <c r="C163" i="4"/>
  <c r="D163" i="4" s="1"/>
  <c r="C162" i="4"/>
  <c r="J162" i="4" s="1"/>
  <c r="C161" i="4"/>
  <c r="D161" i="4" s="1"/>
  <c r="I161" i="4" s="1"/>
  <c r="C160" i="4"/>
  <c r="J160" i="4" s="1"/>
  <c r="C159" i="4"/>
  <c r="J159" i="4" s="1"/>
  <c r="C158" i="4"/>
  <c r="D158" i="4" s="1"/>
  <c r="C157" i="4"/>
  <c r="C156" i="4"/>
  <c r="C155" i="4"/>
  <c r="J155" i="4" s="1"/>
  <c r="C154" i="4"/>
  <c r="J154" i="4" s="1"/>
  <c r="C153" i="4"/>
  <c r="D153" i="4" s="1"/>
  <c r="I153" i="4" s="1"/>
  <c r="C152" i="4"/>
  <c r="J152" i="4" s="1"/>
  <c r="C151" i="4"/>
  <c r="J151" i="4" s="1"/>
  <c r="C150" i="4"/>
  <c r="D150" i="4" s="1"/>
  <c r="C149" i="4"/>
  <c r="C148" i="4"/>
  <c r="C147" i="4"/>
  <c r="D147" i="4" s="1"/>
  <c r="I147" i="4" s="1"/>
  <c r="C146" i="4"/>
  <c r="J146" i="4" s="1"/>
  <c r="C145" i="4"/>
  <c r="D145" i="4" s="1"/>
  <c r="C144" i="4"/>
  <c r="D144" i="4" s="1"/>
  <c r="C143" i="4"/>
  <c r="J143" i="4" s="1"/>
  <c r="C142" i="4"/>
  <c r="D142" i="4" s="1"/>
  <c r="C141" i="4"/>
  <c r="C140" i="4"/>
  <c r="C139" i="4"/>
  <c r="C138" i="4"/>
  <c r="J138" i="4" s="1"/>
  <c r="C137" i="4"/>
  <c r="D137" i="4" s="1"/>
  <c r="I137" i="4" s="1"/>
  <c r="C136" i="4"/>
  <c r="D136" i="4" s="1"/>
  <c r="I136" i="4" s="1"/>
  <c r="C135" i="4"/>
  <c r="C134" i="4"/>
  <c r="D134" i="4" s="1"/>
  <c r="C133" i="4"/>
  <c r="C132" i="4"/>
  <c r="C131" i="4"/>
  <c r="D131" i="4" s="1"/>
  <c r="C130" i="4"/>
  <c r="J130" i="4" s="1"/>
  <c r="C129" i="4"/>
  <c r="D129" i="4" s="1"/>
  <c r="I129" i="4" s="1"/>
  <c r="C128" i="4"/>
  <c r="C127" i="4"/>
  <c r="C126" i="4"/>
  <c r="D126" i="4" s="1"/>
  <c r="C125" i="4"/>
  <c r="C124" i="4"/>
  <c r="D124" i="4" s="1"/>
  <c r="I124" i="4" s="1"/>
  <c r="C123" i="4"/>
  <c r="J123" i="4" s="1"/>
  <c r="C122" i="4"/>
  <c r="J122" i="4" s="1"/>
  <c r="C121" i="4"/>
  <c r="D121" i="4" s="1"/>
  <c r="C120" i="4"/>
  <c r="J120" i="4" s="1"/>
  <c r="C119" i="4"/>
  <c r="C118" i="4"/>
  <c r="C117" i="4"/>
  <c r="C116" i="4"/>
  <c r="C115" i="4"/>
  <c r="J115" i="4" s="1"/>
  <c r="C114" i="4"/>
  <c r="J114" i="4" s="1"/>
  <c r="C113" i="4"/>
  <c r="D113" i="4" s="1"/>
  <c r="C112" i="4"/>
  <c r="J112" i="4" s="1"/>
  <c r="C111" i="4"/>
  <c r="C110" i="4"/>
  <c r="C109" i="4"/>
  <c r="C108" i="4"/>
  <c r="C107" i="4"/>
  <c r="J107" i="4" s="1"/>
  <c r="C106" i="4"/>
  <c r="J106" i="4" s="1"/>
  <c r="C105" i="4"/>
  <c r="D105" i="4" s="1"/>
  <c r="C104" i="4"/>
  <c r="J104" i="4" s="1"/>
  <c r="C103" i="4"/>
  <c r="C102" i="4"/>
  <c r="D102" i="4" s="1"/>
  <c r="C101" i="4"/>
  <c r="C100" i="4"/>
  <c r="D100" i="4" s="1"/>
  <c r="I100" i="4" s="1"/>
  <c r="C99" i="4"/>
  <c r="J99" i="4" s="1"/>
  <c r="C98" i="4"/>
  <c r="J98" i="4" s="1"/>
  <c r="C97" i="4"/>
  <c r="D97" i="4" s="1"/>
  <c r="C96" i="4"/>
  <c r="J96" i="4" s="1"/>
  <c r="C95" i="4"/>
  <c r="C94" i="4"/>
  <c r="D94" i="4" s="1"/>
  <c r="C93" i="4"/>
  <c r="C92" i="4"/>
  <c r="D92" i="4" s="1"/>
  <c r="I92" i="4" s="1"/>
  <c r="C91" i="4"/>
  <c r="J91" i="4" s="1"/>
  <c r="C90" i="4"/>
  <c r="J90" i="4" s="1"/>
  <c r="C89" i="4"/>
  <c r="D89" i="4" s="1"/>
  <c r="I89" i="4" s="1"/>
  <c r="C88" i="4"/>
  <c r="J88" i="4" s="1"/>
  <c r="C87" i="4"/>
  <c r="C86" i="4"/>
  <c r="C85" i="4"/>
  <c r="C84" i="4"/>
  <c r="C83" i="4"/>
  <c r="C82" i="4"/>
  <c r="J82" i="4" s="1"/>
  <c r="C81" i="4"/>
  <c r="D81" i="4" s="1"/>
  <c r="I81" i="4" s="1"/>
  <c r="C80" i="4"/>
  <c r="J80" i="4" s="1"/>
  <c r="C79" i="4"/>
  <c r="C78" i="4"/>
  <c r="C77" i="4"/>
  <c r="C76" i="4"/>
  <c r="C75" i="4"/>
  <c r="D75" i="4" s="1"/>
  <c r="C74" i="4"/>
  <c r="J74" i="4" s="1"/>
  <c r="C73" i="4"/>
  <c r="C72" i="4"/>
  <c r="C71" i="4"/>
  <c r="C70" i="4"/>
  <c r="C69" i="4"/>
  <c r="C68" i="4"/>
  <c r="C67" i="4"/>
  <c r="J67" i="4" s="1"/>
  <c r="C66" i="4"/>
  <c r="J66" i="4" s="1"/>
  <c r="C65" i="4"/>
  <c r="D65" i="4" s="1"/>
  <c r="I65" i="4" s="1"/>
  <c r="C64" i="4"/>
  <c r="J64" i="4" s="1"/>
  <c r="C63" i="4"/>
  <c r="C62" i="4"/>
  <c r="D62" i="4" s="1"/>
  <c r="C61" i="4"/>
  <c r="C60" i="4"/>
  <c r="C59" i="4"/>
  <c r="J59" i="4" s="1"/>
  <c r="C58" i="4"/>
  <c r="J58" i="4" s="1"/>
  <c r="C57" i="4"/>
  <c r="J57" i="4" s="1"/>
  <c r="C56" i="4"/>
  <c r="C55" i="4"/>
  <c r="D55" i="4" s="1"/>
  <c r="C54" i="4"/>
  <c r="J54" i="4" s="1"/>
  <c r="C53" i="4"/>
  <c r="J53" i="4" s="1"/>
  <c r="C52" i="4"/>
  <c r="J52" i="4" s="1"/>
  <c r="C51" i="4"/>
  <c r="J51" i="4" s="1"/>
  <c r="C50" i="4"/>
  <c r="J50" i="4" s="1"/>
  <c r="C49" i="4"/>
  <c r="C48" i="4"/>
  <c r="D48" i="4" s="1"/>
  <c r="C47" i="4"/>
  <c r="C46" i="4"/>
  <c r="J46" i="4" s="1"/>
  <c r="C45" i="4"/>
  <c r="D45" i="4" s="1"/>
  <c r="I45" i="4" s="1"/>
  <c r="C44" i="4"/>
  <c r="J44" i="4" s="1"/>
  <c r="C43" i="4"/>
  <c r="J43" i="4" s="1"/>
  <c r="C42" i="4"/>
  <c r="J42" i="4" s="1"/>
  <c r="C41" i="4"/>
  <c r="C40" i="4"/>
  <c r="J40" i="4" s="1"/>
  <c r="C39" i="4"/>
  <c r="D39" i="4" s="1"/>
  <c r="C38" i="4"/>
  <c r="J38" i="4" s="1"/>
  <c r="C37" i="4"/>
  <c r="D37" i="4" s="1"/>
  <c r="I37" i="4" s="1"/>
  <c r="C36" i="4"/>
  <c r="J36" i="4" s="1"/>
  <c r="C35" i="4"/>
  <c r="J35" i="4" s="1"/>
  <c r="C34" i="4"/>
  <c r="J34" i="4" s="1"/>
  <c r="C33" i="4"/>
  <c r="J33" i="4" s="1"/>
  <c r="C32" i="4"/>
  <c r="J32" i="4" s="1"/>
  <c r="C31" i="4"/>
  <c r="D31" i="4" s="1"/>
  <c r="C30" i="4"/>
  <c r="J30" i="4" s="1"/>
  <c r="C29" i="4"/>
  <c r="D29" i="4" s="1"/>
  <c r="C28" i="4"/>
  <c r="J28" i="4" s="1"/>
  <c r="C27" i="4"/>
  <c r="J27" i="4" s="1"/>
  <c r="C26" i="4"/>
  <c r="J26" i="4" s="1"/>
  <c r="C25" i="4"/>
  <c r="J25" i="4" s="1"/>
  <c r="C24" i="4"/>
  <c r="J24" i="4" s="1"/>
  <c r="C23" i="4"/>
  <c r="C22" i="4"/>
  <c r="J22" i="4" s="1"/>
  <c r="C21" i="4"/>
  <c r="J21" i="4" s="1"/>
  <c r="C20" i="4"/>
  <c r="J20" i="4" s="1"/>
  <c r="C19" i="4"/>
  <c r="J19" i="4" s="1"/>
  <c r="C18" i="4"/>
  <c r="J18" i="4" s="1"/>
  <c r="B13" i="4"/>
  <c r="B12" i="4"/>
  <c r="B11" i="4"/>
  <c r="B10" i="4"/>
  <c r="B9" i="4"/>
  <c r="B7" i="4"/>
  <c r="B5" i="4"/>
  <c r="B6" i="4" s="1"/>
  <c r="B4" i="4"/>
  <c r="E27" i="3"/>
  <c r="G24" i="3"/>
  <c r="E24" i="3"/>
  <c r="E23" i="3"/>
  <c r="E25" i="3" s="1"/>
  <c r="E22" i="3"/>
  <c r="E26" i="3" s="1"/>
  <c r="E12" i="3"/>
  <c r="G9" i="3"/>
  <c r="E9" i="3"/>
  <c r="B5" i="5" s="1"/>
  <c r="E8" i="3"/>
  <c r="E10" i="3" s="1"/>
  <c r="E7" i="3"/>
  <c r="E11" i="3" s="1"/>
  <c r="D1909" i="4" l="1"/>
  <c r="I1909" i="4" s="1"/>
  <c r="D357" i="4"/>
  <c r="I357" i="4" s="1"/>
  <c r="D88" i="4"/>
  <c r="I88" i="4" s="1"/>
  <c r="J749" i="4"/>
  <c r="D788" i="4"/>
  <c r="I788" i="4" s="1"/>
  <c r="D998" i="4"/>
  <c r="I998" i="4" s="1"/>
  <c r="D848" i="4"/>
  <c r="I848" i="4" s="1"/>
  <c r="J168" i="4"/>
  <c r="D1000" i="4"/>
  <c r="D2109" i="4"/>
  <c r="D2124" i="4"/>
  <c r="I2124" i="4" s="1"/>
  <c r="D832" i="4"/>
  <c r="I832" i="4" s="1"/>
  <c r="D2368" i="4"/>
  <c r="I2590" i="4"/>
  <c r="J1346" i="4"/>
  <c r="I569" i="4"/>
  <c r="J728" i="4"/>
  <c r="D1230" i="4"/>
  <c r="I1230" i="4" s="1"/>
  <c r="D1587" i="4"/>
  <c r="I1587" i="4" s="1"/>
  <c r="J907" i="4"/>
  <c r="D1147" i="4"/>
  <c r="I1147" i="4" s="1"/>
  <c r="J2488" i="4"/>
  <c r="J163" i="4"/>
  <c r="J585" i="4"/>
  <c r="D1135" i="4"/>
  <c r="J2333" i="4"/>
  <c r="D525" i="4"/>
  <c r="I525" i="4" s="1"/>
  <c r="J657" i="4"/>
  <c r="J1019" i="4"/>
  <c r="D2548" i="4"/>
  <c r="I2548" i="4" s="1"/>
  <c r="J544" i="4"/>
  <c r="J224" i="4"/>
  <c r="D325" i="4"/>
  <c r="I325" i="4" s="1"/>
  <c r="D435" i="4"/>
  <c r="I435" i="4" s="1"/>
  <c r="D442" i="4"/>
  <c r="I442" i="4" s="1"/>
  <c r="D456" i="4"/>
  <c r="I456" i="4" s="1"/>
  <c r="I693" i="4"/>
  <c r="J821" i="4"/>
  <c r="D979" i="4"/>
  <c r="I979" i="4" s="1"/>
  <c r="D1440" i="4"/>
  <c r="I1440" i="4" s="1"/>
  <c r="D1515" i="4"/>
  <c r="I1515" i="4" s="1"/>
  <c r="J1973" i="4"/>
  <c r="D2313" i="4"/>
  <c r="I2475" i="4"/>
  <c r="D405" i="4"/>
  <c r="I405" i="4" s="1"/>
  <c r="J605" i="4"/>
  <c r="J680" i="4"/>
  <c r="I891" i="4"/>
  <c r="D1419" i="4"/>
  <c r="I1419" i="4" s="1"/>
  <c r="J1571" i="4"/>
  <c r="J2154" i="4"/>
  <c r="D152" i="4"/>
  <c r="I152" i="4" s="1"/>
  <c r="D54" i="4"/>
  <c r="I54" i="4" s="1"/>
  <c r="J891" i="4"/>
  <c r="J1672" i="4"/>
  <c r="J1990" i="4"/>
  <c r="D192" i="4"/>
  <c r="I192" i="4" s="1"/>
  <c r="J381" i="4"/>
  <c r="D483" i="4"/>
  <c r="I483" i="4" s="1"/>
  <c r="I496" i="4"/>
  <c r="D549" i="4"/>
  <c r="I549" i="4" s="1"/>
  <c r="I736" i="4"/>
  <c r="J1003" i="4"/>
  <c r="D1195" i="4"/>
  <c r="I1195" i="4" s="1"/>
  <c r="D1712" i="4"/>
  <c r="D2156" i="4"/>
  <c r="I2156" i="4" s="1"/>
  <c r="D2186" i="4"/>
  <c r="I2186" i="4" s="1"/>
  <c r="D2303" i="4"/>
  <c r="I2303" i="4" s="1"/>
  <c r="I617" i="4"/>
  <c r="D2341" i="4"/>
  <c r="I2341" i="4" s="1"/>
  <c r="G5" i="5"/>
  <c r="B12" i="15" s="1"/>
  <c r="J715" i="4"/>
  <c r="J805" i="4"/>
  <c r="J1467" i="4"/>
  <c r="D2149" i="4"/>
  <c r="J2392" i="4"/>
  <c r="J2398" i="4"/>
  <c r="D2412" i="4"/>
  <c r="I2412" i="4" s="1"/>
  <c r="D2459" i="4"/>
  <c r="I2459" i="4" s="1"/>
  <c r="I1738" i="4"/>
  <c r="D240" i="4"/>
  <c r="I240" i="4" s="1"/>
  <c r="D589" i="4"/>
  <c r="I589" i="4" s="1"/>
  <c r="J609" i="4"/>
  <c r="J621" i="4"/>
  <c r="D917" i="4"/>
  <c r="I917" i="4" s="1"/>
  <c r="D939" i="4"/>
  <c r="I939" i="4" s="1"/>
  <c r="D1247" i="4"/>
  <c r="I1247" i="4" s="1"/>
  <c r="J1298" i="4"/>
  <c r="J1313" i="4"/>
  <c r="D1450" i="4"/>
  <c r="I1450" i="4" s="1"/>
  <c r="D1507" i="4"/>
  <c r="I1507" i="4" s="1"/>
  <c r="D1558" i="4"/>
  <c r="J1609" i="4"/>
  <c r="D1706" i="4"/>
  <c r="I1706" i="4" s="1"/>
  <c r="D1733" i="4"/>
  <c r="I1733" i="4" s="1"/>
  <c r="I1794" i="4"/>
  <c r="J1861" i="4"/>
  <c r="J1996" i="4"/>
  <c r="I2400" i="4"/>
  <c r="D2456" i="4"/>
  <c r="I2456" i="4" s="1"/>
  <c r="D2504" i="4"/>
  <c r="I2504" i="4" s="1"/>
  <c r="I163" i="4"/>
  <c r="D465" i="4"/>
  <c r="I465" i="4" s="1"/>
  <c r="D521" i="4"/>
  <c r="I521" i="4" s="1"/>
  <c r="J569" i="4"/>
  <c r="I726" i="4"/>
  <c r="D747" i="4"/>
  <c r="I747" i="4" s="1"/>
  <c r="D797" i="4"/>
  <c r="I797" i="4" s="1"/>
  <c r="D845" i="4"/>
  <c r="I845" i="4" s="1"/>
  <c r="D1009" i="4"/>
  <c r="I1009" i="4" s="1"/>
  <c r="D1159" i="4"/>
  <c r="I1159" i="4" s="1"/>
  <c r="D1173" i="4"/>
  <c r="I1173" i="4" s="1"/>
  <c r="J1286" i="4"/>
  <c r="D1322" i="4"/>
  <c r="I1322" i="4" s="1"/>
  <c r="J1765" i="4"/>
  <c r="D2331" i="4"/>
  <c r="I2331" i="4" s="1"/>
  <c r="D2390" i="4"/>
  <c r="I2390" i="4" s="1"/>
  <c r="D216" i="4"/>
  <c r="I216" i="4" s="1"/>
  <c r="D333" i="4"/>
  <c r="I333" i="4" s="1"/>
  <c r="J413" i="4"/>
  <c r="D619" i="4"/>
  <c r="J640" i="4"/>
  <c r="J869" i="4"/>
  <c r="D1041" i="4"/>
  <c r="I1041" i="4" s="1"/>
  <c r="D1103" i="4"/>
  <c r="I1103" i="4" s="1"/>
  <c r="D1118" i="4"/>
  <c r="I1118" i="4" s="1"/>
  <c r="D1229" i="4"/>
  <c r="I1229" i="4" s="1"/>
  <c r="D1250" i="4"/>
  <c r="I1250" i="4" s="1"/>
  <c r="D1287" i="4"/>
  <c r="D1805" i="4"/>
  <c r="I1805" i="4" s="1"/>
  <c r="J2212" i="4"/>
  <c r="J2432" i="4"/>
  <c r="J2590" i="4"/>
  <c r="J485" i="4"/>
  <c r="D485" i="4"/>
  <c r="I485" i="4" s="1"/>
  <c r="J709" i="4"/>
  <c r="D709" i="4"/>
  <c r="I709" i="4" s="1"/>
  <c r="D741" i="4"/>
  <c r="I741" i="4" s="1"/>
  <c r="J741" i="4"/>
  <c r="D803" i="4"/>
  <c r="I803" i="4" s="1"/>
  <c r="J803" i="4"/>
  <c r="J816" i="4"/>
  <c r="D816" i="4"/>
  <c r="I816" i="4" s="1"/>
  <c r="D864" i="4"/>
  <c r="I864" i="4" s="1"/>
  <c r="J864" i="4"/>
  <c r="J1063" i="4"/>
  <c r="D1063" i="4"/>
  <c r="I1063" i="4" s="1"/>
  <c r="D1714" i="4"/>
  <c r="I1714" i="4" s="1"/>
  <c r="J1714" i="4"/>
  <c r="J1542" i="4"/>
  <c r="D1542" i="4"/>
  <c r="I1542" i="4" s="1"/>
  <c r="J1696" i="4"/>
  <c r="J1781" i="4"/>
  <c r="D1781" i="4"/>
  <c r="I1781" i="4" s="1"/>
  <c r="D2200" i="4"/>
  <c r="I2200" i="4" s="1"/>
  <c r="J2200" i="4"/>
  <c r="J2371" i="4"/>
  <c r="D2371" i="4"/>
  <c r="I2371" i="4" s="1"/>
  <c r="J2427" i="4"/>
  <c r="D2427" i="4"/>
  <c r="I2427" i="4" s="1"/>
  <c r="J2526" i="4"/>
  <c r="D2526" i="4"/>
  <c r="I2526" i="4" s="1"/>
  <c r="J993" i="4"/>
  <c r="D993" i="4"/>
  <c r="I993" i="4" s="1"/>
  <c r="D1035" i="4"/>
  <c r="I1035" i="4" s="1"/>
  <c r="J1035" i="4"/>
  <c r="J293" i="4"/>
  <c r="D293" i="4"/>
  <c r="I293" i="4" s="1"/>
  <c r="J779" i="4"/>
  <c r="J443" i="4"/>
  <c r="D443" i="4"/>
  <c r="I443" i="4" s="1"/>
  <c r="J450" i="4"/>
  <c r="D450" i="4"/>
  <c r="I450" i="4" s="1"/>
  <c r="J683" i="4"/>
  <c r="D683" i="4"/>
  <c r="I683" i="4" s="1"/>
  <c r="J705" i="4"/>
  <c r="D705" i="4"/>
  <c r="I705" i="4" s="1"/>
  <c r="D812" i="4"/>
  <c r="I812" i="4" s="1"/>
  <c r="J825" i="4"/>
  <c r="D825" i="4"/>
  <c r="I825" i="4" s="1"/>
  <c r="D896" i="4"/>
  <c r="I896" i="4" s="1"/>
  <c r="J989" i="4"/>
  <c r="D989" i="4"/>
  <c r="I989" i="4" s="1"/>
  <c r="D1149" i="4"/>
  <c r="I1149" i="4" s="1"/>
  <c r="I1717" i="4"/>
  <c r="J1834" i="4"/>
  <c r="D1877" i="4"/>
  <c r="I1877" i="4" s="1"/>
  <c r="J1877" i="4"/>
  <c r="J472" i="4"/>
  <c r="D2300" i="4"/>
  <c r="I2300" i="4" s="1"/>
  <c r="J2519" i="4"/>
  <c r="D2519" i="4"/>
  <c r="I2519" i="4" s="1"/>
  <c r="J461" i="4"/>
  <c r="D461" i="4"/>
  <c r="I461" i="4" s="1"/>
  <c r="J729" i="4"/>
  <c r="D729" i="4"/>
  <c r="I729" i="4" s="1"/>
  <c r="J818" i="4"/>
  <c r="J1478" i="4"/>
  <c r="D1478" i="4"/>
  <c r="I1478" i="4" s="1"/>
  <c r="J2028" i="4"/>
  <c r="D2028" i="4"/>
  <c r="I2028" i="4" s="1"/>
  <c r="D2389" i="4"/>
  <c r="I2389" i="4" s="1"/>
  <c r="J2389" i="4"/>
  <c r="J139" i="4"/>
  <c r="J553" i="4"/>
  <c r="J601" i="4"/>
  <c r="D717" i="4"/>
  <c r="I717" i="4" s="1"/>
  <c r="J737" i="4"/>
  <c r="D737" i="4"/>
  <c r="I737" i="4" s="1"/>
  <c r="J72" i="4"/>
  <c r="D72" i="4"/>
  <c r="I72" i="4" s="1"/>
  <c r="J248" i="4"/>
  <c r="D248" i="4"/>
  <c r="I248" i="4" s="1"/>
  <c r="J469" i="4"/>
  <c r="J488" i="4"/>
  <c r="D713" i="4"/>
  <c r="I713" i="4" s="1"/>
  <c r="D745" i="4"/>
  <c r="I745" i="4" s="1"/>
  <c r="J781" i="4"/>
  <c r="D781" i="4"/>
  <c r="D826" i="4"/>
  <c r="I826" i="4" s="1"/>
  <c r="J826" i="4"/>
  <c r="J883" i="4"/>
  <c r="J969" i="4"/>
  <c r="D1266" i="4"/>
  <c r="I1266" i="4" s="1"/>
  <c r="J1266" i="4"/>
  <c r="D1422" i="4"/>
  <c r="I1422" i="4" s="1"/>
  <c r="J1422" i="4"/>
  <c r="D1438" i="4"/>
  <c r="I1438" i="4" s="1"/>
  <c r="J1438" i="4"/>
  <c r="D1829" i="4"/>
  <c r="I1829" i="4" s="1"/>
  <c r="D688" i="4"/>
  <c r="I688" i="4" s="1"/>
  <c r="D480" i="4"/>
  <c r="I480" i="4" s="1"/>
  <c r="J480" i="4"/>
  <c r="D681" i="4"/>
  <c r="I681" i="4" s="1"/>
  <c r="D1174" i="4"/>
  <c r="I1174" i="4" s="1"/>
  <c r="J1227" i="4"/>
  <c r="D1227" i="4"/>
  <c r="I1227" i="4" s="1"/>
  <c r="J1279" i="4"/>
  <c r="D1279" i="4"/>
  <c r="I1279" i="4" s="1"/>
  <c r="D1550" i="4"/>
  <c r="I1550" i="4" s="1"/>
  <c r="J1550" i="4"/>
  <c r="J1898" i="4"/>
  <c r="D1898" i="4"/>
  <c r="I1898" i="4" s="1"/>
  <c r="D139" i="4"/>
  <c r="I139" i="4" s="1"/>
  <c r="J277" i="4"/>
  <c r="D277" i="4"/>
  <c r="I277" i="4" s="1"/>
  <c r="I520" i="4"/>
  <c r="J593" i="4"/>
  <c r="D593" i="4"/>
  <c r="I593" i="4" s="1"/>
  <c r="D824" i="4"/>
  <c r="I824" i="4" s="1"/>
  <c r="J824" i="4"/>
  <c r="J1021" i="4"/>
  <c r="D1021" i="4"/>
  <c r="I1021" i="4" s="1"/>
  <c r="D608" i="4"/>
  <c r="I608" i="4" s="1"/>
  <c r="J1032" i="4"/>
  <c r="D1032" i="4"/>
  <c r="I1032" i="4" s="1"/>
  <c r="J1431" i="4"/>
  <c r="D1431" i="4"/>
  <c r="I1431" i="4" s="1"/>
  <c r="D2132" i="4"/>
  <c r="I2132" i="4" s="1"/>
  <c r="J2132" i="4"/>
  <c r="J421" i="4"/>
  <c r="D421" i="4"/>
  <c r="I421" i="4" s="1"/>
  <c r="J75" i="4"/>
  <c r="J448" i="4"/>
  <c r="D448" i="4"/>
  <c r="I448" i="4" s="1"/>
  <c r="J545" i="4"/>
  <c r="D545" i="4"/>
  <c r="I545" i="4" s="1"/>
  <c r="J481" i="4"/>
  <c r="D481" i="4"/>
  <c r="I481" i="4" s="1"/>
  <c r="D128" i="4"/>
  <c r="I128" i="4" s="1"/>
  <c r="J128" i="4"/>
  <c r="D80" i="4"/>
  <c r="I80" i="4" s="1"/>
  <c r="D200" i="4"/>
  <c r="I200" i="4" s="1"/>
  <c r="J432" i="4"/>
  <c r="D432" i="4"/>
  <c r="I432" i="4" s="1"/>
  <c r="D445" i="4"/>
  <c r="I445" i="4" s="1"/>
  <c r="J517" i="4"/>
  <c r="D529" i="4"/>
  <c r="I529" i="4" s="1"/>
  <c r="J529" i="4"/>
  <c r="J584" i="4"/>
  <c r="D597" i="4"/>
  <c r="I597" i="4" s="1"/>
  <c r="J597" i="4"/>
  <c r="J608" i="4"/>
  <c r="D672" i="4"/>
  <c r="I672" i="4" s="1"/>
  <c r="J672" i="4"/>
  <c r="D760" i="4"/>
  <c r="I760" i="4" s="1"/>
  <c r="J760" i="4"/>
  <c r="D827" i="4"/>
  <c r="I827" i="4" s="1"/>
  <c r="D885" i="4"/>
  <c r="I885" i="4" s="1"/>
  <c r="J885" i="4"/>
  <c r="J942" i="4"/>
  <c r="D942" i="4"/>
  <c r="I942" i="4" s="1"/>
  <c r="J971" i="4"/>
  <c r="D971" i="4"/>
  <c r="I971" i="4" s="1"/>
  <c r="J1402" i="4"/>
  <c r="D1402" i="4"/>
  <c r="I1402" i="4" s="1"/>
  <c r="D1582" i="4"/>
  <c r="I1582" i="4" s="1"/>
  <c r="J1582" i="4"/>
  <c r="D1701" i="4"/>
  <c r="I1701" i="4" s="1"/>
  <c r="D1802" i="4"/>
  <c r="I1802" i="4" s="1"/>
  <c r="J1802" i="4"/>
  <c r="J2404" i="4"/>
  <c r="D2404" i="4"/>
  <c r="I2404" i="4" s="1"/>
  <c r="J2540" i="4"/>
  <c r="D2540" i="4"/>
  <c r="I2540" i="4" s="1"/>
  <c r="J1693" i="4"/>
  <c r="D1770" i="4"/>
  <c r="I1770" i="4" s="1"/>
  <c r="J2092" i="4"/>
  <c r="I2199" i="4"/>
  <c r="D2325" i="4"/>
  <c r="I2325" i="4" s="1"/>
  <c r="D2357" i="4"/>
  <c r="I2357" i="4" s="1"/>
  <c r="D2387" i="4"/>
  <c r="I2387" i="4" s="1"/>
  <c r="D2443" i="4"/>
  <c r="I2443" i="4" s="1"/>
  <c r="D2518" i="4"/>
  <c r="I2518" i="4" s="1"/>
  <c r="D2542" i="4"/>
  <c r="I2542" i="4" s="1"/>
  <c r="J1937" i="4"/>
  <c r="J2115" i="4"/>
  <c r="D2194" i="4"/>
  <c r="I2194" i="4" s="1"/>
  <c r="J2199" i="4"/>
  <c r="I2212" i="4"/>
  <c r="D2338" i="4"/>
  <c r="I2338" i="4" s="1"/>
  <c r="J2574" i="4"/>
  <c r="D2594" i="4"/>
  <c r="I2594" i="4" s="1"/>
  <c r="J2196" i="4"/>
  <c r="D2367" i="4"/>
  <c r="I2367" i="4" s="1"/>
  <c r="D2384" i="4"/>
  <c r="I2384" i="4" s="1"/>
  <c r="D2411" i="4"/>
  <c r="I2411" i="4" s="1"/>
  <c r="D2444" i="4"/>
  <c r="I2444" i="4" s="1"/>
  <c r="D2476" i="4"/>
  <c r="I2476" i="4" s="1"/>
  <c r="I2496" i="4"/>
  <c r="J2507" i="4"/>
  <c r="D2596" i="4"/>
  <c r="I2596" i="4" s="1"/>
  <c r="J2496" i="4"/>
  <c r="J736" i="4"/>
  <c r="D1797" i="4"/>
  <c r="I1797" i="4" s="1"/>
  <c r="I1973" i="4"/>
  <c r="J2067" i="4"/>
  <c r="D2133" i="4"/>
  <c r="I2133" i="4" s="1"/>
  <c r="I2154" i="4"/>
  <c r="J2464" i="4"/>
  <c r="I2541" i="4"/>
  <c r="D2592" i="4"/>
  <c r="I2592" i="4" s="1"/>
  <c r="D648" i="4"/>
  <c r="I648" i="4" s="1"/>
  <c r="J648" i="4"/>
  <c r="D184" i="4"/>
  <c r="I184" i="4" s="1"/>
  <c r="D477" i="4"/>
  <c r="I477" i="4" s="1"/>
  <c r="J547" i="4"/>
  <c r="D547" i="4"/>
  <c r="D565" i="4"/>
  <c r="I565" i="4" s="1"/>
  <c r="D641" i="4"/>
  <c r="I641" i="4" s="1"/>
  <c r="J1917" i="4"/>
  <c r="D1917" i="4"/>
  <c r="I1917" i="4" s="1"/>
  <c r="G6" i="5"/>
  <c r="F7" i="15" s="1"/>
  <c r="I29" i="4"/>
  <c r="D64" i="4"/>
  <c r="I64" i="4" s="1"/>
  <c r="D73" i="4"/>
  <c r="I73" i="4" s="1"/>
  <c r="I131" i="4"/>
  <c r="J136" i="4"/>
  <c r="J144" i="4"/>
  <c r="J184" i="4"/>
  <c r="D227" i="4"/>
  <c r="I227" i="4" s="1"/>
  <c r="D251" i="4"/>
  <c r="I251" i="4" s="1"/>
  <c r="J341" i="4"/>
  <c r="D453" i="4"/>
  <c r="I453" i="4" s="1"/>
  <c r="D473" i="4"/>
  <c r="I473" i="4" s="1"/>
  <c r="J513" i="4"/>
  <c r="D513" i="4"/>
  <c r="I513" i="4" s="1"/>
  <c r="J536" i="4"/>
  <c r="J561" i="4"/>
  <c r="D629" i="4"/>
  <c r="I629" i="4" s="1"/>
  <c r="J701" i="4"/>
  <c r="D817" i="4"/>
  <c r="I817" i="4" s="1"/>
  <c r="J817" i="4"/>
  <c r="J1083" i="4"/>
  <c r="D1083" i="4"/>
  <c r="I1083" i="4" s="1"/>
  <c r="J1213" i="4"/>
  <c r="D1213" i="4"/>
  <c r="I1213" i="4" s="1"/>
  <c r="D1255" i="4"/>
  <c r="I1255" i="4" s="1"/>
  <c r="D1386" i="4"/>
  <c r="I1386" i="4" s="1"/>
  <c r="J1386" i="4"/>
  <c r="D1518" i="4"/>
  <c r="I1518" i="4" s="1"/>
  <c r="J1925" i="4"/>
  <c r="J976" i="4"/>
  <c r="D976" i="4"/>
  <c r="I976" i="4" s="1"/>
  <c r="D1354" i="4"/>
  <c r="I1354" i="4" s="1"/>
  <c r="D67" i="4"/>
  <c r="I67" i="4" s="1"/>
  <c r="I217" i="4"/>
  <c r="D301" i="4"/>
  <c r="I301" i="4" s="1"/>
  <c r="D397" i="4"/>
  <c r="I397" i="4" s="1"/>
  <c r="J397" i="4"/>
  <c r="J541" i="4"/>
  <c r="D541" i="4"/>
  <c r="I541" i="4" s="1"/>
  <c r="D1151" i="4"/>
  <c r="I1151" i="4" s="1"/>
  <c r="D1563" i="4"/>
  <c r="I1563" i="4" s="1"/>
  <c r="J2305" i="4"/>
  <c r="D2305" i="4"/>
  <c r="I2305" i="4" s="1"/>
  <c r="J2420" i="4"/>
  <c r="D2420" i="4"/>
  <c r="I2420" i="4" s="1"/>
  <c r="J29" i="4"/>
  <c r="D53" i="4"/>
  <c r="I53" i="4" s="1"/>
  <c r="D91" i="4"/>
  <c r="I91" i="4" s="1"/>
  <c r="I97" i="4"/>
  <c r="J131" i="4"/>
  <c r="I145" i="4"/>
  <c r="D169" i="4"/>
  <c r="I169" i="4" s="1"/>
  <c r="I185" i="4"/>
  <c r="D208" i="4"/>
  <c r="I208" i="4" s="1"/>
  <c r="D232" i="4"/>
  <c r="I232" i="4" s="1"/>
  <c r="D256" i="4"/>
  <c r="I256" i="4" s="1"/>
  <c r="D309" i="4"/>
  <c r="I309" i="4" s="1"/>
  <c r="J349" i="4"/>
  <c r="D440" i="4"/>
  <c r="I440" i="4" s="1"/>
  <c r="J458" i="4"/>
  <c r="D537" i="4"/>
  <c r="I537" i="4" s="1"/>
  <c r="J537" i="4"/>
  <c r="D561" i="4"/>
  <c r="I561" i="4" s="1"/>
  <c r="D637" i="4"/>
  <c r="I637" i="4" s="1"/>
  <c r="J665" i="4"/>
  <c r="D665" i="4"/>
  <c r="I665" i="4" s="1"/>
  <c r="D701" i="4"/>
  <c r="I701" i="4" s="1"/>
  <c r="J853" i="4"/>
  <c r="D853" i="4"/>
  <c r="I853" i="4" s="1"/>
  <c r="J985" i="4"/>
  <c r="D985" i="4"/>
  <c r="I985" i="4" s="1"/>
  <c r="J1054" i="4"/>
  <c r="D1054" i="4"/>
  <c r="I1054" i="4" s="1"/>
  <c r="J1165" i="4"/>
  <c r="D1165" i="4"/>
  <c r="I1165" i="4" s="1"/>
  <c r="D1321" i="4"/>
  <c r="I1321" i="4" s="1"/>
  <c r="J1321" i="4"/>
  <c r="D1475" i="4"/>
  <c r="I1475" i="4" s="1"/>
  <c r="D1810" i="4"/>
  <c r="I1810" i="4" s="1"/>
  <c r="J1893" i="4"/>
  <c r="D1893" i="4"/>
  <c r="I1893" i="4" s="1"/>
  <c r="D2043" i="4"/>
  <c r="I2043" i="4" s="1"/>
  <c r="J2043" i="4"/>
  <c r="D2059" i="4"/>
  <c r="I2059" i="4" s="1"/>
  <c r="J2059" i="4"/>
  <c r="J2285" i="4"/>
  <c r="D2285" i="4"/>
  <c r="I2285" i="4" s="1"/>
  <c r="I193" i="4"/>
  <c r="J2448" i="4"/>
  <c r="D2448" i="4"/>
  <c r="I2448" i="4" s="1"/>
  <c r="D22" i="4"/>
  <c r="I22" i="4" s="1"/>
  <c r="D968" i="4"/>
  <c r="I968" i="4" s="1"/>
  <c r="J968" i="4"/>
  <c r="D21" i="4"/>
  <c r="I21" i="4" s="1"/>
  <c r="D83" i="4"/>
  <c r="I83" i="4" s="1"/>
  <c r="I105" i="4"/>
  <c r="D176" i="4"/>
  <c r="I176" i="4" s="1"/>
  <c r="D195" i="4"/>
  <c r="I195" i="4" s="1"/>
  <c r="D209" i="4"/>
  <c r="I209" i="4" s="1"/>
  <c r="D233" i="4"/>
  <c r="I233" i="4" s="1"/>
  <c r="D426" i="4"/>
  <c r="I426" i="4" s="1"/>
  <c r="D470" i="4"/>
  <c r="I470" i="4" s="1"/>
  <c r="I581" i="4"/>
  <c r="J689" i="4"/>
  <c r="D725" i="4"/>
  <c r="I725" i="4" s="1"/>
  <c r="J725" i="4"/>
  <c r="D1049" i="4"/>
  <c r="I1049" i="4" s="1"/>
  <c r="J1049" i="4"/>
  <c r="J2604" i="4"/>
  <c r="D2604" i="4"/>
  <c r="I2604" i="4" s="1"/>
  <c r="I144" i="4"/>
  <c r="I201" i="4"/>
  <c r="J918" i="4"/>
  <c r="D918" i="4"/>
  <c r="I918" i="4" s="1"/>
  <c r="D1219" i="4"/>
  <c r="I1219" i="4" s="1"/>
  <c r="J1219" i="4"/>
  <c r="I241" i="4"/>
  <c r="J509" i="4"/>
  <c r="D509" i="4"/>
  <c r="I509" i="4" s="1"/>
  <c r="J840" i="4"/>
  <c r="D840" i="4"/>
  <c r="I840" i="4" s="1"/>
  <c r="J1101" i="4"/>
  <c r="D1101" i="4"/>
  <c r="I1101" i="4" s="1"/>
  <c r="D1778" i="4"/>
  <c r="I1778" i="4" s="1"/>
  <c r="J1778" i="4"/>
  <c r="I75" i="4"/>
  <c r="J83" i="4"/>
  <c r="I249" i="4"/>
  <c r="J505" i="4"/>
  <c r="D505" i="4"/>
  <c r="I505" i="4" s="1"/>
  <c r="J533" i="4"/>
  <c r="D533" i="4"/>
  <c r="I533" i="4" s="1"/>
  <c r="J653" i="4"/>
  <c r="D673" i="4"/>
  <c r="I673" i="4" s="1"/>
  <c r="D685" i="4"/>
  <c r="I685" i="4" s="1"/>
  <c r="J685" i="4"/>
  <c r="J923" i="4"/>
  <c r="D923" i="4"/>
  <c r="I923" i="4" s="1"/>
  <c r="J1071" i="4"/>
  <c r="D1071" i="4"/>
  <c r="I1071" i="4" s="1"/>
  <c r="J1131" i="4"/>
  <c r="D1131" i="4"/>
  <c r="I1131" i="4" s="1"/>
  <c r="I1981" i="4"/>
  <c r="J2472" i="4"/>
  <c r="D2472" i="4"/>
  <c r="I2472" i="4" s="1"/>
  <c r="J577" i="4"/>
  <c r="D577" i="4"/>
  <c r="I577" i="4" s="1"/>
  <c r="J804" i="4"/>
  <c r="D804" i="4"/>
  <c r="I804" i="4" s="1"/>
  <c r="J1119" i="4"/>
  <c r="D1119" i="4"/>
  <c r="I1119" i="4" s="1"/>
  <c r="I121" i="4"/>
  <c r="J789" i="4"/>
  <c r="D789" i="4"/>
  <c r="I789" i="4" s="1"/>
  <c r="J1077" i="4"/>
  <c r="D1077" i="4"/>
  <c r="I1077" i="4" s="1"/>
  <c r="J1207" i="4"/>
  <c r="D1207" i="4"/>
  <c r="I1207" i="4" s="1"/>
  <c r="I113" i="4"/>
  <c r="I168" i="4"/>
  <c r="I517" i="4"/>
  <c r="J780" i="4"/>
  <c r="D780" i="4"/>
  <c r="I780" i="4" s="1"/>
  <c r="J808" i="4"/>
  <c r="D808" i="4"/>
  <c r="I808" i="4" s="1"/>
  <c r="I1282" i="4"/>
  <c r="J1282" i="4"/>
  <c r="J1445" i="4"/>
  <c r="D1445" i="4"/>
  <c r="I1445" i="4" s="1"/>
  <c r="D1617" i="4"/>
  <c r="I1617" i="4" s="1"/>
  <c r="J1617" i="4"/>
  <c r="J2561" i="4"/>
  <c r="I2561" i="4"/>
  <c r="J1394" i="4"/>
  <c r="D1394" i="4"/>
  <c r="I1394" i="4" s="1"/>
  <c r="J1434" i="4"/>
  <c r="J1526" i="4"/>
  <c r="D1526" i="4"/>
  <c r="I1526" i="4" s="1"/>
  <c r="J1661" i="4"/>
  <c r="D1661" i="4"/>
  <c r="I1661" i="4" s="1"/>
  <c r="J1688" i="4"/>
  <c r="D1688" i="4"/>
  <c r="I1688" i="4" s="1"/>
  <c r="J1874" i="4"/>
  <c r="D1874" i="4"/>
  <c r="D1964" i="4"/>
  <c r="I1964" i="4" s="1"/>
  <c r="J1964" i="4"/>
  <c r="D2167" i="4"/>
  <c r="I2167" i="4" s="1"/>
  <c r="J2167" i="4"/>
  <c r="J2491" i="4"/>
  <c r="J2589" i="4"/>
  <c r="D2589" i="4"/>
  <c r="I2589" i="4" s="1"/>
  <c r="I257" i="4"/>
  <c r="D721" i="4"/>
  <c r="I721" i="4" s="1"/>
  <c r="J739" i="4"/>
  <c r="J754" i="4"/>
  <c r="J770" i="4"/>
  <c r="D795" i="4"/>
  <c r="I795" i="4" s="1"/>
  <c r="D813" i="4"/>
  <c r="I813" i="4" s="1"/>
  <c r="J822" i="4"/>
  <c r="J829" i="4"/>
  <c r="D867" i="4"/>
  <c r="I867" i="4" s="1"/>
  <c r="J871" i="4"/>
  <c r="D877" i="4"/>
  <c r="I877" i="4" s="1"/>
  <c r="D887" i="4"/>
  <c r="I887" i="4" s="1"/>
  <c r="D903" i="4"/>
  <c r="I903" i="4" s="1"/>
  <c r="D909" i="4"/>
  <c r="I909" i="4" s="1"/>
  <c r="D915" i="4"/>
  <c r="I915" i="4" s="1"/>
  <c r="D929" i="4"/>
  <c r="D944" i="4"/>
  <c r="I944" i="4" s="1"/>
  <c r="D973" i="4"/>
  <c r="I973" i="4" s="1"/>
  <c r="D981" i="4"/>
  <c r="I981" i="4" s="1"/>
  <c r="D995" i="4"/>
  <c r="I995" i="4" s="1"/>
  <c r="I1019" i="4"/>
  <c r="D1022" i="4"/>
  <c r="I1022" i="4" s="1"/>
  <c r="J1059" i="4"/>
  <c r="D1157" i="4"/>
  <c r="D1248" i="4"/>
  <c r="I1248" i="4" s="1"/>
  <c r="J1256" i="4"/>
  <c r="D1280" i="4"/>
  <c r="I1280" i="4" s="1"/>
  <c r="J1288" i="4"/>
  <c r="D1316" i="4"/>
  <c r="I1316" i="4" s="1"/>
  <c r="J1316" i="4"/>
  <c r="D1434" i="4"/>
  <c r="I1434" i="4" s="1"/>
  <c r="D1547" i="4"/>
  <c r="D1625" i="4"/>
  <c r="I1625" i="4" s="1"/>
  <c r="D1746" i="4"/>
  <c r="I1746" i="4" s="1"/>
  <c r="D1976" i="4"/>
  <c r="I1976" i="4" s="1"/>
  <c r="D2060" i="4"/>
  <c r="I2060" i="4" s="1"/>
  <c r="J2060" i="4"/>
  <c r="J2248" i="4"/>
  <c r="D2248" i="4"/>
  <c r="I2248" i="4" s="1"/>
  <c r="D2327" i="4"/>
  <c r="J2416" i="4"/>
  <c r="D2416" i="4"/>
  <c r="I2416" i="4" s="1"/>
  <c r="D2491" i="4"/>
  <c r="I2491" i="4" s="1"/>
  <c r="J1303" i="4"/>
  <c r="D1303" i="4"/>
  <c r="I1303" i="4" s="1"/>
  <c r="J1612" i="4"/>
  <c r="D1612" i="4"/>
  <c r="I1612" i="4" s="1"/>
  <c r="J2004" i="4"/>
  <c r="D2004" i="4"/>
  <c r="I2004" i="4" s="1"/>
  <c r="J2025" i="4"/>
  <c r="J2534" i="4"/>
  <c r="D2534" i="4"/>
  <c r="I2534" i="4" s="1"/>
  <c r="J2558" i="4"/>
  <c r="D2558" i="4"/>
  <c r="I2558" i="4" s="1"/>
  <c r="J552" i="4"/>
  <c r="J587" i="4"/>
  <c r="J592" i="4"/>
  <c r="D611" i="4"/>
  <c r="I611" i="4" s="1"/>
  <c r="J616" i="4"/>
  <c r="J649" i="4"/>
  <c r="D697" i="4"/>
  <c r="I697" i="4" s="1"/>
  <c r="D755" i="4"/>
  <c r="I755" i="4" s="1"/>
  <c r="J766" i="4"/>
  <c r="J771" i="4"/>
  <c r="D796" i="4"/>
  <c r="I796" i="4" s="1"/>
  <c r="J823" i="4"/>
  <c r="J837" i="4"/>
  <c r="J863" i="4"/>
  <c r="J872" i="4"/>
  <c r="D899" i="4"/>
  <c r="I899" i="4" s="1"/>
  <c r="D941" i="4"/>
  <c r="I941" i="4" s="1"/>
  <c r="J1067" i="4"/>
  <c r="D1079" i="4"/>
  <c r="I1079" i="4" s="1"/>
  <c r="D1102" i="4"/>
  <c r="I1102" i="4" s="1"/>
  <c r="D1127" i="4"/>
  <c r="I1127" i="4" s="1"/>
  <c r="D1166" i="4"/>
  <c r="I1166" i="4" s="1"/>
  <c r="D1171" i="4"/>
  <c r="I1171" i="4" s="1"/>
  <c r="D1198" i="4"/>
  <c r="I1198" i="4" s="1"/>
  <c r="D1215" i="4"/>
  <c r="I1215" i="4" s="1"/>
  <c r="D1370" i="4"/>
  <c r="I1370" i="4" s="1"/>
  <c r="D1459" i="4"/>
  <c r="I1459" i="4" s="1"/>
  <c r="J1510" i="4"/>
  <c r="D1510" i="4"/>
  <c r="I1510" i="4" s="1"/>
  <c r="J1741" i="4"/>
  <c r="D1741" i="4"/>
  <c r="I1741" i="4" s="1"/>
  <c r="D1789" i="4"/>
  <c r="I1789" i="4" s="1"/>
  <c r="J1820" i="4"/>
  <c r="D1858" i="4"/>
  <c r="I1858" i="4" s="1"/>
  <c r="J1922" i="4"/>
  <c r="D1922" i="4"/>
  <c r="I1922" i="4" s="1"/>
  <c r="D1966" i="4"/>
  <c r="I1966" i="4" s="1"/>
  <c r="D2025" i="4"/>
  <c r="I2025" i="4" s="1"/>
  <c r="D2352" i="4"/>
  <c r="I2352" i="4" s="1"/>
  <c r="J2452" i="4"/>
  <c r="D2452" i="4"/>
  <c r="I2452" i="4" s="1"/>
  <c r="J2475" i="4"/>
  <c r="D2508" i="4"/>
  <c r="I2508" i="4" s="1"/>
  <c r="J2527" i="4"/>
  <c r="D2527" i="4"/>
  <c r="I2527" i="4" s="1"/>
  <c r="J2576" i="4"/>
  <c r="D2576" i="4"/>
  <c r="I2576" i="4" s="1"/>
  <c r="J2616" i="4"/>
  <c r="D365" i="4"/>
  <c r="I365" i="4" s="1"/>
  <c r="D429" i="4"/>
  <c r="I429" i="4" s="1"/>
  <c r="D489" i="4"/>
  <c r="I489" i="4" s="1"/>
  <c r="I553" i="4"/>
  <c r="I584" i="4"/>
  <c r="J656" i="4"/>
  <c r="D677" i="4"/>
  <c r="I677" i="4" s="1"/>
  <c r="I779" i="4"/>
  <c r="D787" i="4"/>
  <c r="I787" i="4" s="1"/>
  <c r="D811" i="4"/>
  <c r="I811" i="4" s="1"/>
  <c r="D879" i="4"/>
  <c r="I879" i="4" s="1"/>
  <c r="D895" i="4"/>
  <c r="I895" i="4" s="1"/>
  <c r="J911" i="4"/>
  <c r="J921" i="4"/>
  <c r="D926" i="4"/>
  <c r="I926" i="4" s="1"/>
  <c r="D931" i="4"/>
  <c r="I931" i="4" s="1"/>
  <c r="J952" i="4"/>
  <c r="D966" i="4"/>
  <c r="I966" i="4" s="1"/>
  <c r="D974" i="4"/>
  <c r="I974" i="4" s="1"/>
  <c r="D982" i="4"/>
  <c r="I982" i="4" s="1"/>
  <c r="D997" i="4"/>
  <c r="I997" i="4" s="1"/>
  <c r="D1051" i="4"/>
  <c r="I1051" i="4" s="1"/>
  <c r="D1099" i="4"/>
  <c r="I1099" i="4" s="1"/>
  <c r="D1158" i="4"/>
  <c r="I1158" i="4" s="1"/>
  <c r="D1163" i="4"/>
  <c r="I1163" i="4" s="1"/>
  <c r="J1171" i="4"/>
  <c r="D1175" i="4"/>
  <c r="I1175" i="4" s="1"/>
  <c r="I1249" i="4"/>
  <c r="D1258" i="4"/>
  <c r="I1258" i="4" s="1"/>
  <c r="D1278" i="4"/>
  <c r="I1278" i="4" s="1"/>
  <c r="I1281" i="4"/>
  <c r="D1290" i="4"/>
  <c r="I1290" i="4" s="1"/>
  <c r="D1304" i="4"/>
  <c r="I1304" i="4" s="1"/>
  <c r="D1318" i="4"/>
  <c r="D1338" i="4"/>
  <c r="I1338" i="4" s="1"/>
  <c r="D1454" i="4"/>
  <c r="I1454" i="4" s="1"/>
  <c r="J1454" i="4"/>
  <c r="J1483" i="4"/>
  <c r="J1635" i="4"/>
  <c r="J1643" i="4"/>
  <c r="D1643" i="4"/>
  <c r="I1643" i="4" s="1"/>
  <c r="J1821" i="4"/>
  <c r="D1821" i="4"/>
  <c r="I1821" i="4" s="1"/>
  <c r="J1858" i="4"/>
  <c r="J1885" i="4"/>
  <c r="D1885" i="4"/>
  <c r="I1885" i="4" s="1"/>
  <c r="J2376" i="4"/>
  <c r="D2376" i="4"/>
  <c r="I2376" i="4" s="1"/>
  <c r="J2553" i="4"/>
  <c r="D2553" i="4"/>
  <c r="I2553" i="4" s="1"/>
  <c r="J811" i="4"/>
  <c r="D1086" i="4"/>
  <c r="I1086" i="4" s="1"/>
  <c r="J1099" i="4"/>
  <c r="D1150" i="4"/>
  <c r="I1150" i="4" s="1"/>
  <c r="D1155" i="4"/>
  <c r="I1155" i="4" s="1"/>
  <c r="D1167" i="4"/>
  <c r="I1167" i="4" s="1"/>
  <c r="D1205" i="4"/>
  <c r="I1205" i="4" s="1"/>
  <c r="D1239" i="4"/>
  <c r="I1239" i="4" s="1"/>
  <c r="D1246" i="4"/>
  <c r="I1246" i="4" s="1"/>
  <c r="J1249" i="4"/>
  <c r="J1254" i="4"/>
  <c r="D1272" i="4"/>
  <c r="I1272" i="4" s="1"/>
  <c r="J1281" i="4"/>
  <c r="J1636" i="4"/>
  <c r="D1636" i="4"/>
  <c r="I1636" i="4" s="1"/>
  <c r="J1730" i="4"/>
  <c r="D1730" i="4"/>
  <c r="I1730" i="4" s="1"/>
  <c r="J1986" i="4"/>
  <c r="J2014" i="4"/>
  <c r="D2014" i="4"/>
  <c r="I2014" i="4" s="1"/>
  <c r="D2077" i="4"/>
  <c r="I2077" i="4" s="1"/>
  <c r="J2084" i="4"/>
  <c r="J2140" i="4"/>
  <c r="D2140" i="4"/>
  <c r="I2140" i="4" s="1"/>
  <c r="D2236" i="4"/>
  <c r="I2236" i="4" s="1"/>
  <c r="J2236" i="4"/>
  <c r="D2257" i="4"/>
  <c r="I2257" i="4" s="1"/>
  <c r="I2269" i="4"/>
  <c r="D2311" i="4"/>
  <c r="I2311" i="4" s="1"/>
  <c r="J2317" i="4"/>
  <c r="D2317" i="4"/>
  <c r="I2317" i="4" s="1"/>
  <c r="J2403" i="4"/>
  <c r="D2403" i="4"/>
  <c r="I2403" i="4" s="1"/>
  <c r="D2499" i="4"/>
  <c r="I2499" i="4" s="1"/>
  <c r="D1534" i="4"/>
  <c r="I1534" i="4" s="1"/>
  <c r="D1539" i="4"/>
  <c r="I1539" i="4" s="1"/>
  <c r="D1595" i="4"/>
  <c r="I1595" i="4" s="1"/>
  <c r="D1674" i="4"/>
  <c r="I1674" i="4" s="1"/>
  <c r="D1704" i="4"/>
  <c r="I1704" i="4" s="1"/>
  <c r="D1762" i="4"/>
  <c r="I1762" i="4" s="1"/>
  <c r="J1828" i="4"/>
  <c r="D1837" i="4"/>
  <c r="I1837" i="4" s="1"/>
  <c r="J1890" i="4"/>
  <c r="J1901" i="4"/>
  <c r="D1952" i="4"/>
  <c r="I1952" i="4" s="1"/>
  <c r="D1968" i="4"/>
  <c r="I1968" i="4" s="1"/>
  <c r="D1984" i="4"/>
  <c r="I1984" i="4" s="1"/>
  <c r="D2032" i="4"/>
  <c r="I2032" i="4" s="1"/>
  <c r="J2051" i="4"/>
  <c r="D2125" i="4"/>
  <c r="I2125" i="4" s="1"/>
  <c r="J2131" i="4"/>
  <c r="I2179" i="4"/>
  <c r="D2184" i="4"/>
  <c r="I2184" i="4" s="1"/>
  <c r="D2220" i="4"/>
  <c r="I2220" i="4" s="1"/>
  <c r="D2225" i="4"/>
  <c r="I2225" i="4" s="1"/>
  <c r="D2232" i="4"/>
  <c r="I2232" i="4" s="1"/>
  <c r="D2237" i="4"/>
  <c r="I2237" i="4" s="1"/>
  <c r="D2360" i="4"/>
  <c r="D2365" i="4"/>
  <c r="I2365" i="4" s="1"/>
  <c r="D2373" i="4"/>
  <c r="I2373" i="4" s="1"/>
  <c r="D1486" i="4"/>
  <c r="I1486" i="4" s="1"/>
  <c r="D1579" i="4"/>
  <c r="I1579" i="4" s="1"/>
  <c r="D1590" i="4"/>
  <c r="I1590" i="4" s="1"/>
  <c r="D1627" i="4"/>
  <c r="I1627" i="4" s="1"/>
  <c r="D1651" i="4"/>
  <c r="I1651" i="4" s="1"/>
  <c r="D1680" i="4"/>
  <c r="I1680" i="4" s="1"/>
  <c r="D1685" i="4"/>
  <c r="I1685" i="4" s="1"/>
  <c r="D1690" i="4"/>
  <c r="I1690" i="4" s="1"/>
  <c r="D1709" i="4"/>
  <c r="I1709" i="4" s="1"/>
  <c r="D1722" i="4"/>
  <c r="I1722" i="4" s="1"/>
  <c r="J1775" i="4"/>
  <c r="D1786" i="4"/>
  <c r="I1786" i="4" s="1"/>
  <c r="D1791" i="4"/>
  <c r="I1791" i="4" s="1"/>
  <c r="D1813" i="4"/>
  <c r="I1813" i="4" s="1"/>
  <c r="D1882" i="4"/>
  <c r="I1882" i="4" s="1"/>
  <c r="D1933" i="4"/>
  <c r="I1933" i="4" s="1"/>
  <c r="D1938" i="4"/>
  <c r="I1938" i="4" s="1"/>
  <c r="I1965" i="4"/>
  <c r="D2068" i="4"/>
  <c r="I2068" i="4" s="1"/>
  <c r="D2093" i="4"/>
  <c r="I2093" i="4" s="1"/>
  <c r="D2100" i="4"/>
  <c r="I2100" i="4" s="1"/>
  <c r="D2141" i="4"/>
  <c r="I2141" i="4" s="1"/>
  <c r="D2176" i="4"/>
  <c r="I2176" i="4" s="1"/>
  <c r="J2179" i="4"/>
  <c r="J2204" i="4"/>
  <c r="D2260" i="4"/>
  <c r="I2260" i="4" s="1"/>
  <c r="D2272" i="4"/>
  <c r="I2272" i="4" s="1"/>
  <c r="D2276" i="4"/>
  <c r="I2276" i="4" s="1"/>
  <c r="D2329" i="4"/>
  <c r="I2329" i="4" s="1"/>
  <c r="D2383" i="4"/>
  <c r="I2383" i="4" s="1"/>
  <c r="J2400" i="4"/>
  <c r="D2535" i="4"/>
  <c r="I2535" i="4" s="1"/>
  <c r="D2545" i="4"/>
  <c r="I2545" i="4" s="1"/>
  <c r="D2569" i="4"/>
  <c r="I2569" i="4" s="1"/>
  <c r="J1965" i="4"/>
  <c r="J2011" i="4"/>
  <c r="J2046" i="4"/>
  <c r="D2052" i="4"/>
  <c r="I2052" i="4" s="1"/>
  <c r="I2196" i="4"/>
  <c r="D2216" i="4"/>
  <c r="I2216" i="4" s="1"/>
  <c r="I2334" i="4"/>
  <c r="D2351" i="4"/>
  <c r="I2351" i="4" s="1"/>
  <c r="D2379" i="4"/>
  <c r="I2379" i="4" s="1"/>
  <c r="I2392" i="4"/>
  <c r="D2556" i="4"/>
  <c r="I2556" i="4" s="1"/>
  <c r="J2564" i="4"/>
  <c r="J2586" i="4"/>
  <c r="J2607" i="4"/>
  <c r="J815" i="4"/>
  <c r="D815" i="4"/>
  <c r="I815" i="4" s="1"/>
  <c r="D1043" i="4"/>
  <c r="I1043" i="4" s="1"/>
  <c r="J1043" i="4"/>
  <c r="J1641" i="4"/>
  <c r="D1641" i="4"/>
  <c r="I1641" i="4" s="1"/>
  <c r="J1665" i="4"/>
  <c r="D1665" i="4"/>
  <c r="I1665" i="4" s="1"/>
  <c r="J1845" i="4"/>
  <c r="D1845" i="4"/>
  <c r="I1845" i="4" s="1"/>
  <c r="J1866" i="4"/>
  <c r="D1866" i="4"/>
  <c r="I1866" i="4" s="1"/>
  <c r="J2076" i="4"/>
  <c r="D2076" i="4"/>
  <c r="I2076" i="4" s="1"/>
  <c r="D2083" i="4"/>
  <c r="I2083" i="4" s="1"/>
  <c r="J2083" i="4"/>
  <c r="D2406" i="4"/>
  <c r="I2406" i="4" s="1"/>
  <c r="J2406" i="4"/>
  <c r="F6" i="5"/>
  <c r="F6" i="15" s="1"/>
  <c r="D30" i="4"/>
  <c r="I30" i="4" s="1"/>
  <c r="J37" i="4"/>
  <c r="J45" i="4"/>
  <c r="J147" i="4"/>
  <c r="D155" i="4"/>
  <c r="I155" i="4" s="1"/>
  <c r="J171" i="4"/>
  <c r="D179" i="4"/>
  <c r="I179" i="4" s="1"/>
  <c r="J203" i="4"/>
  <c r="D211" i="4"/>
  <c r="I211" i="4" s="1"/>
  <c r="D225" i="4"/>
  <c r="I225" i="4" s="1"/>
  <c r="D235" i="4"/>
  <c r="I235" i="4" s="1"/>
  <c r="J259" i="4"/>
  <c r="D264" i="4"/>
  <c r="I264" i="4" s="1"/>
  <c r="J267" i="4"/>
  <c r="D317" i="4"/>
  <c r="I317" i="4" s="1"/>
  <c r="D427" i="4"/>
  <c r="I427" i="4" s="1"/>
  <c r="D434" i="4"/>
  <c r="I434" i="4" s="1"/>
  <c r="D437" i="4"/>
  <c r="I437" i="4" s="1"/>
  <c r="J496" i="4"/>
  <c r="I504" i="4"/>
  <c r="D523" i="4"/>
  <c r="I523" i="4" s="1"/>
  <c r="D534" i="4"/>
  <c r="I534" i="4" s="1"/>
  <c r="I560" i="4"/>
  <c r="I568" i="4"/>
  <c r="J576" i="4"/>
  <c r="I645" i="4"/>
  <c r="J664" i="4"/>
  <c r="D762" i="4"/>
  <c r="I762" i="4" s="1"/>
  <c r="J762" i="4"/>
  <c r="J776" i="4"/>
  <c r="I784" i="4"/>
  <c r="D819" i="4"/>
  <c r="I819" i="4" s="1"/>
  <c r="I859" i="4"/>
  <c r="J873" i="4"/>
  <c r="J893" i="4"/>
  <c r="D898" i="4"/>
  <c r="I898" i="4" s="1"/>
  <c r="J898" i="4"/>
  <c r="I957" i="4"/>
  <c r="J957" i="4"/>
  <c r="I1003" i="4"/>
  <c r="I1029" i="4"/>
  <c r="J1029" i="4"/>
  <c r="I1093" i="4"/>
  <c r="J1093" i="4"/>
  <c r="D1115" i="4"/>
  <c r="I1115" i="4" s="1"/>
  <c r="J1182" i="4"/>
  <c r="D1182" i="4"/>
  <c r="I1182" i="4" s="1"/>
  <c r="I1189" i="4"/>
  <c r="J1189" i="4"/>
  <c r="J1221" i="4"/>
  <c r="D1221" i="4"/>
  <c r="I1221" i="4" s="1"/>
  <c r="D1271" i="4"/>
  <c r="I1271" i="4" s="1"/>
  <c r="J1294" i="4"/>
  <c r="D1294" i="4"/>
  <c r="I1294" i="4" s="1"/>
  <c r="J1310" i="4"/>
  <c r="D1494" i="4"/>
  <c r="I1494" i="4" s="1"/>
  <c r="J1494" i="4"/>
  <c r="J1531" i="4"/>
  <c r="D1531" i="4"/>
  <c r="I1531" i="4" s="1"/>
  <c r="J1037" i="4"/>
  <c r="D1037" i="4"/>
  <c r="I1037" i="4" s="1"/>
  <c r="J560" i="4"/>
  <c r="J568" i="4"/>
  <c r="J645" i="4"/>
  <c r="D704" i="4"/>
  <c r="I704" i="4" s="1"/>
  <c r="J704" i="4"/>
  <c r="D763" i="4"/>
  <c r="I763" i="4" s="1"/>
  <c r="D777" i="4"/>
  <c r="I777" i="4" s="1"/>
  <c r="J791" i="4"/>
  <c r="D791" i="4"/>
  <c r="I791" i="4" s="1"/>
  <c r="J798" i="4"/>
  <c r="D809" i="4"/>
  <c r="I809" i="4" s="1"/>
  <c r="D947" i="4"/>
  <c r="I947" i="4" s="1"/>
  <c r="J947" i="4"/>
  <c r="J1014" i="4"/>
  <c r="D1014" i="4"/>
  <c r="I1014" i="4" s="1"/>
  <c r="J1069" i="4"/>
  <c r="D1069" i="4"/>
  <c r="I1069" i="4" s="1"/>
  <c r="J1115" i="4"/>
  <c r="J1231" i="4"/>
  <c r="D1231" i="4"/>
  <c r="I1231" i="4" s="1"/>
  <c r="D1289" i="4"/>
  <c r="I1289" i="4" s="1"/>
  <c r="J1427" i="4"/>
  <c r="D1427" i="4"/>
  <c r="I1427" i="4" s="1"/>
  <c r="D2036" i="4"/>
  <c r="I2036" i="4" s="1"/>
  <c r="J2036" i="4"/>
  <c r="I790" i="4"/>
  <c r="J790" i="4"/>
  <c r="D1265" i="4"/>
  <c r="I1265" i="4" s="1"/>
  <c r="J1265" i="4"/>
  <c r="J504" i="4"/>
  <c r="F5" i="5"/>
  <c r="B11" i="15" s="1"/>
  <c r="D24" i="4"/>
  <c r="I24" i="4" s="1"/>
  <c r="D38" i="4"/>
  <c r="I38" i="4" s="1"/>
  <c r="D46" i="4"/>
  <c r="I46" i="4" s="1"/>
  <c r="D96" i="4"/>
  <c r="I96" i="4" s="1"/>
  <c r="D99" i="4"/>
  <c r="I99" i="4" s="1"/>
  <c r="D104" i="4"/>
  <c r="I104" i="4" s="1"/>
  <c r="D107" i="4"/>
  <c r="I107" i="4" s="1"/>
  <c r="D112" i="4"/>
  <c r="I112" i="4" s="1"/>
  <c r="D115" i="4"/>
  <c r="I115" i="4" s="1"/>
  <c r="D120" i="4"/>
  <c r="I120" i="4" s="1"/>
  <c r="D123" i="4"/>
  <c r="I123" i="4" s="1"/>
  <c r="D160" i="4"/>
  <c r="I160" i="4" s="1"/>
  <c r="D187" i="4"/>
  <c r="I187" i="4" s="1"/>
  <c r="D219" i="4"/>
  <c r="I219" i="4" s="1"/>
  <c r="D243" i="4"/>
  <c r="I243" i="4" s="1"/>
  <c r="D268" i="4"/>
  <c r="I268" i="4" s="1"/>
  <c r="D285" i="4"/>
  <c r="I285" i="4" s="1"/>
  <c r="D373" i="4"/>
  <c r="I373" i="4" s="1"/>
  <c r="D389" i="4"/>
  <c r="I389" i="4" s="1"/>
  <c r="D451" i="4"/>
  <c r="I451" i="4" s="1"/>
  <c r="D464" i="4"/>
  <c r="I464" i="4" s="1"/>
  <c r="D478" i="4"/>
  <c r="I478" i="4" s="1"/>
  <c r="D493" i="4"/>
  <c r="I493" i="4" s="1"/>
  <c r="D497" i="4"/>
  <c r="I497" i="4" s="1"/>
  <c r="D501" i="4"/>
  <c r="I501" i="4" s="1"/>
  <c r="J512" i="4"/>
  <c r="J520" i="4"/>
  <c r="J528" i="4"/>
  <c r="D542" i="4"/>
  <c r="I542" i="4" s="1"/>
  <c r="D557" i="4"/>
  <c r="I557" i="4" s="1"/>
  <c r="I573" i="4"/>
  <c r="J581" i="4"/>
  <c r="D598" i="4"/>
  <c r="I598" i="4" s="1"/>
  <c r="D624" i="4"/>
  <c r="I624" i="4" s="1"/>
  <c r="J624" i="4"/>
  <c r="I633" i="4"/>
  <c r="J637" i="4"/>
  <c r="D651" i="4"/>
  <c r="I651" i="4" s="1"/>
  <c r="J661" i="4"/>
  <c r="D669" i="4"/>
  <c r="I669" i="4" s="1"/>
  <c r="I696" i="4"/>
  <c r="D744" i="4"/>
  <c r="I744" i="4" s="1"/>
  <c r="J744" i="4"/>
  <c r="D758" i="4"/>
  <c r="I758" i="4" s="1"/>
  <c r="J758" i="4"/>
  <c r="J763" i="4"/>
  <c r="J768" i="4"/>
  <c r="J777" i="4"/>
  <c r="J784" i="4"/>
  <c r="D798" i="4"/>
  <c r="I798" i="4" s="1"/>
  <c r="J809" i="4"/>
  <c r="J820" i="4"/>
  <c r="D820" i="4"/>
  <c r="I820" i="4" s="1"/>
  <c r="J861" i="4"/>
  <c r="D861" i="4"/>
  <c r="I861" i="4" s="1"/>
  <c r="I866" i="4"/>
  <c r="D875" i="4"/>
  <c r="I875" i="4" s="1"/>
  <c r="J958" i="4"/>
  <c r="D958" i="4"/>
  <c r="I958" i="4" s="1"/>
  <c r="D965" i="4"/>
  <c r="I965" i="4" s="1"/>
  <c r="J1030" i="4"/>
  <c r="D1030" i="4"/>
  <c r="I1030" i="4" s="1"/>
  <c r="J1094" i="4"/>
  <c r="D1094" i="4"/>
  <c r="I1094" i="4" s="1"/>
  <c r="J1110" i="4"/>
  <c r="D1110" i="4"/>
  <c r="I1110" i="4" s="1"/>
  <c r="D1126" i="4"/>
  <c r="I1126" i="4" s="1"/>
  <c r="J1142" i="4"/>
  <c r="D1142" i="4"/>
  <c r="I1142" i="4" s="1"/>
  <c r="J1190" i="4"/>
  <c r="D1190" i="4"/>
  <c r="I1190" i="4" s="1"/>
  <c r="D1243" i="4"/>
  <c r="I1243" i="4" s="1"/>
  <c r="J1289" i="4"/>
  <c r="D1306" i="4"/>
  <c r="I1306" i="4" s="1"/>
  <c r="J1631" i="4"/>
  <c r="D1631" i="4"/>
  <c r="I1631" i="4" s="1"/>
  <c r="D632" i="4"/>
  <c r="I632" i="4" s="1"/>
  <c r="J783" i="4"/>
  <c r="D783" i="4"/>
  <c r="I783" i="4" s="1"/>
  <c r="D801" i="4"/>
  <c r="I801" i="4" s="1"/>
  <c r="J878" i="4"/>
  <c r="D878" i="4"/>
  <c r="I878" i="4" s="1"/>
  <c r="D1053" i="4"/>
  <c r="I1053" i="4" s="1"/>
  <c r="J573" i="4"/>
  <c r="J633" i="4"/>
  <c r="J696" i="4"/>
  <c r="D785" i="4"/>
  <c r="I785" i="4" s="1"/>
  <c r="D792" i="4"/>
  <c r="I792" i="4" s="1"/>
  <c r="J799" i="4"/>
  <c r="D799" i="4"/>
  <c r="I799" i="4" s="1"/>
  <c r="I806" i="4"/>
  <c r="J806" i="4"/>
  <c r="J875" i="4"/>
  <c r="J933" i="4"/>
  <c r="D933" i="4"/>
  <c r="I933" i="4" s="1"/>
  <c r="J965" i="4"/>
  <c r="J1040" i="4"/>
  <c r="J1111" i="4"/>
  <c r="D1111" i="4"/>
  <c r="I1111" i="4" s="1"/>
  <c r="J1143" i="4"/>
  <c r="D1143" i="4"/>
  <c r="I1143" i="4" s="1"/>
  <c r="D1223" i="4"/>
  <c r="I1223" i="4" s="1"/>
  <c r="D1238" i="4"/>
  <c r="I1238" i="4" s="1"/>
  <c r="J1243" i="4"/>
  <c r="J1262" i="4"/>
  <c r="D1262" i="4"/>
  <c r="I1262" i="4" s="1"/>
  <c r="D1296" i="4"/>
  <c r="I1296" i="4" s="1"/>
  <c r="J1306" i="4"/>
  <c r="J1470" i="4"/>
  <c r="D1470" i="4"/>
  <c r="I1470" i="4" s="1"/>
  <c r="D600" i="4"/>
  <c r="I600" i="4" s="1"/>
  <c r="J600" i="4"/>
  <c r="D670" i="4"/>
  <c r="I670" i="4" s="1"/>
  <c r="D774" i="4"/>
  <c r="I774" i="4" s="1"/>
  <c r="J774" i="4"/>
  <c r="I800" i="4"/>
  <c r="J856" i="4"/>
  <c r="D856" i="4"/>
  <c r="I856" i="4" s="1"/>
  <c r="J881" i="4"/>
  <c r="D881" i="4"/>
  <c r="I881" i="4" s="1"/>
  <c r="J920" i="4"/>
  <c r="D920" i="4"/>
  <c r="I920" i="4" s="1"/>
  <c r="D1011" i="4"/>
  <c r="I1011" i="4" s="1"/>
  <c r="J1011" i="4"/>
  <c r="J1046" i="4"/>
  <c r="D1046" i="4"/>
  <c r="I1046" i="4" s="1"/>
  <c r="I1123" i="4"/>
  <c r="J1179" i="4"/>
  <c r="D1179" i="4"/>
  <c r="I1179" i="4" s="1"/>
  <c r="D1197" i="4"/>
  <c r="I1197" i="4" s="1"/>
  <c r="D1257" i="4"/>
  <c r="I1257" i="4" s="1"/>
  <c r="D1297" i="4"/>
  <c r="I1297" i="4" s="1"/>
  <c r="J1297" i="4"/>
  <c r="D1418" i="4"/>
  <c r="I1418" i="4" s="1"/>
  <c r="J1418" i="4"/>
  <c r="J1644" i="4"/>
  <c r="D1644" i="4"/>
  <c r="I1644" i="4" s="1"/>
  <c r="J1670" i="4"/>
  <c r="D1670" i="4"/>
  <c r="I1670" i="4" s="1"/>
  <c r="D1989" i="4"/>
  <c r="I1989" i="4" s="1"/>
  <c r="J1989" i="4"/>
  <c r="D625" i="4"/>
  <c r="I625" i="4" s="1"/>
  <c r="J782" i="4"/>
  <c r="D793" i="4"/>
  <c r="I793" i="4" s="1"/>
  <c r="J807" i="4"/>
  <c r="D807" i="4"/>
  <c r="I807" i="4" s="1"/>
  <c r="D1107" i="4"/>
  <c r="I1107" i="4" s="1"/>
  <c r="J1107" i="4"/>
  <c r="D1139" i="4"/>
  <c r="I1139" i="4" s="1"/>
  <c r="J1139" i="4"/>
  <c r="J1257" i="4"/>
  <c r="D1274" i="4"/>
  <c r="I1274" i="4" s="1"/>
  <c r="D1314" i="4"/>
  <c r="I1314" i="4" s="1"/>
  <c r="J1314" i="4"/>
  <c r="J1622" i="4"/>
  <c r="D1622" i="4"/>
  <c r="I1622" i="4" s="1"/>
  <c r="J1960" i="4"/>
  <c r="D1960" i="4"/>
  <c r="I1960" i="4" s="1"/>
  <c r="D459" i="4"/>
  <c r="I459" i="4" s="1"/>
  <c r="D491" i="4"/>
  <c r="I491" i="4" s="1"/>
  <c r="I544" i="4"/>
  <c r="D555" i="4"/>
  <c r="I555" i="4" s="1"/>
  <c r="J613" i="4"/>
  <c r="J617" i="4"/>
  <c r="J625" i="4"/>
  <c r="J675" i="4"/>
  <c r="I689" i="4"/>
  <c r="J693" i="4"/>
  <c r="J712" i="4"/>
  <c r="J720" i="4"/>
  <c r="D733" i="4"/>
  <c r="I733" i="4" s="1"/>
  <c r="D782" i="4"/>
  <c r="I782" i="4" s="1"/>
  <c r="J793" i="4"/>
  <c r="J800" i="4"/>
  <c r="D814" i="4"/>
  <c r="I814" i="4" s="1"/>
  <c r="D851" i="4"/>
  <c r="I851" i="4" s="1"/>
  <c r="J901" i="4"/>
  <c r="J925" i="4"/>
  <c r="J950" i="4"/>
  <c r="D950" i="4"/>
  <c r="I950" i="4" s="1"/>
  <c r="J955" i="4"/>
  <c r="D955" i="4"/>
  <c r="I955" i="4" s="1"/>
  <c r="D961" i="4"/>
  <c r="I961" i="4" s="1"/>
  <c r="D1006" i="4"/>
  <c r="I1006" i="4" s="1"/>
  <c r="J1027" i="4"/>
  <c r="D1027" i="4"/>
  <c r="I1027" i="4" s="1"/>
  <c r="J1061" i="4"/>
  <c r="D1061" i="4"/>
  <c r="I1061" i="4" s="1"/>
  <c r="D1085" i="4"/>
  <c r="I1085" i="4" s="1"/>
  <c r="J1091" i="4"/>
  <c r="D1091" i="4"/>
  <c r="I1091" i="4" s="1"/>
  <c r="J1123" i="4"/>
  <c r="D1134" i="4"/>
  <c r="I1134" i="4" s="1"/>
  <c r="I1181" i="4"/>
  <c r="J1181" i="4"/>
  <c r="J1187" i="4"/>
  <c r="D1187" i="4"/>
  <c r="I1187" i="4" s="1"/>
  <c r="D1235" i="4"/>
  <c r="I1235" i="4" s="1"/>
  <c r="D1264" i="4"/>
  <c r="I1264" i="4" s="1"/>
  <c r="J1274" i="4"/>
  <c r="J1603" i="4"/>
  <c r="D1603" i="4"/>
  <c r="I1603" i="4" s="1"/>
  <c r="D1914" i="4"/>
  <c r="I1914" i="4" s="1"/>
  <c r="J1914" i="4"/>
  <c r="I606" i="4"/>
  <c r="I929" i="4"/>
  <c r="J1354" i="4"/>
  <c r="I1547" i="4"/>
  <c r="D1772" i="4"/>
  <c r="I1772" i="4" s="1"/>
  <c r="J1772" i="4"/>
  <c r="D1804" i="4"/>
  <c r="I1804" i="4" s="1"/>
  <c r="J1804" i="4"/>
  <c r="J2070" i="4"/>
  <c r="D2070" i="4"/>
  <c r="I2070" i="4" s="1"/>
  <c r="J1462" i="4"/>
  <c r="D1462" i="4"/>
  <c r="I1462" i="4" s="1"/>
  <c r="J1853" i="4"/>
  <c r="D1853" i="4"/>
  <c r="I1853" i="4" s="1"/>
  <c r="D2342" i="4"/>
  <c r="I2342" i="4" s="1"/>
  <c r="D2347" i="4"/>
  <c r="I2347" i="4" s="1"/>
  <c r="J2347" i="4"/>
  <c r="D945" i="4"/>
  <c r="I945" i="4" s="1"/>
  <c r="D963" i="4"/>
  <c r="I963" i="4" s="1"/>
  <c r="D987" i="4"/>
  <c r="I987" i="4" s="1"/>
  <c r="D990" i="4"/>
  <c r="I990" i="4" s="1"/>
  <c r="D1005" i="4"/>
  <c r="I1005" i="4" s="1"/>
  <c r="D1075" i="4"/>
  <c r="I1075" i="4" s="1"/>
  <c r="D1078" i="4"/>
  <c r="I1078" i="4" s="1"/>
  <c r="D1095" i="4"/>
  <c r="I1095" i="4" s="1"/>
  <c r="D1117" i="4"/>
  <c r="I1117" i="4" s="1"/>
  <c r="D1125" i="4"/>
  <c r="I1125" i="4" s="1"/>
  <c r="D1133" i="4"/>
  <c r="I1133" i="4" s="1"/>
  <c r="D1183" i="4"/>
  <c r="I1183" i="4" s="1"/>
  <c r="D1191" i="4"/>
  <c r="I1191" i="4" s="1"/>
  <c r="D1203" i="4"/>
  <c r="I1203" i="4" s="1"/>
  <c r="D1206" i="4"/>
  <c r="I1206" i="4" s="1"/>
  <c r="D1211" i="4"/>
  <c r="I1211" i="4" s="1"/>
  <c r="D1214" i="4"/>
  <c r="I1214" i="4" s="1"/>
  <c r="D1237" i="4"/>
  <c r="I1237" i="4" s="1"/>
  <c r="D1245" i="4"/>
  <c r="I1245" i="4" s="1"/>
  <c r="D1270" i="4"/>
  <c r="I1270" i="4" s="1"/>
  <c r="I1273" i="4"/>
  <c r="D1302" i="4"/>
  <c r="I1302" i="4" s="1"/>
  <c r="I1305" i="4"/>
  <c r="D1308" i="4"/>
  <c r="I1308" i="4" s="1"/>
  <c r="D1362" i="4"/>
  <c r="I1362" i="4" s="1"/>
  <c r="D1410" i="4"/>
  <c r="I1410" i="4" s="1"/>
  <c r="D1424" i="4"/>
  <c r="I1424" i="4" s="1"/>
  <c r="D1442" i="4"/>
  <c r="I1442" i="4" s="1"/>
  <c r="J1523" i="4"/>
  <c r="D1523" i="4"/>
  <c r="I1523" i="4" s="1"/>
  <c r="D1567" i="4"/>
  <c r="I1567" i="4" s="1"/>
  <c r="D1599" i="4"/>
  <c r="I1599" i="4" s="1"/>
  <c r="J1604" i="4"/>
  <c r="D1604" i="4"/>
  <c r="I1604" i="4" s="1"/>
  <c r="D1619" i="4"/>
  <c r="I1619" i="4" s="1"/>
  <c r="D1671" i="4"/>
  <c r="I1671" i="4" s="1"/>
  <c r="D1748" i="4"/>
  <c r="I1748" i="4" s="1"/>
  <c r="J1748" i="4"/>
  <c r="J1941" i="4"/>
  <c r="J2016" i="4"/>
  <c r="D2016" i="4"/>
  <c r="I2016" i="4" s="1"/>
  <c r="J2044" i="4"/>
  <c r="J752" i="4"/>
  <c r="J778" i="4"/>
  <c r="J786" i="4"/>
  <c r="J794" i="4"/>
  <c r="J802" i="4"/>
  <c r="J810" i="4"/>
  <c r="I818" i="4"/>
  <c r="D828" i="4"/>
  <c r="I828" i="4" s="1"/>
  <c r="I872" i="4"/>
  <c r="D886" i="4"/>
  <c r="I886" i="4" s="1"/>
  <c r="D934" i="4"/>
  <c r="I934" i="4" s="1"/>
  <c r="D949" i="4"/>
  <c r="I949" i="4" s="1"/>
  <c r="J1005" i="4"/>
  <c r="D1013" i="4"/>
  <c r="I1013" i="4" s="1"/>
  <c r="D1038" i="4"/>
  <c r="I1038" i="4" s="1"/>
  <c r="D1045" i="4"/>
  <c r="I1045" i="4" s="1"/>
  <c r="D1062" i="4"/>
  <c r="I1062" i="4" s="1"/>
  <c r="D1070" i="4"/>
  <c r="I1070" i="4" s="1"/>
  <c r="D1087" i="4"/>
  <c r="I1087" i="4" s="1"/>
  <c r="D1109" i="4"/>
  <c r="I1109" i="4" s="1"/>
  <c r="J1117" i="4"/>
  <c r="J1125" i="4"/>
  <c r="J1133" i="4"/>
  <c r="D1141" i="4"/>
  <c r="I1141" i="4" s="1"/>
  <c r="I1157" i="4"/>
  <c r="D1199" i="4"/>
  <c r="I1199" i="4" s="1"/>
  <c r="D1222" i="4"/>
  <c r="I1222" i="4" s="1"/>
  <c r="J1237" i="4"/>
  <c r="J1245" i="4"/>
  <c r="D1263" i="4"/>
  <c r="I1263" i="4" s="1"/>
  <c r="J1273" i="4"/>
  <c r="D1295" i="4"/>
  <c r="I1295" i="4" s="1"/>
  <c r="J1305" i="4"/>
  <c r="I1313" i="4"/>
  <c r="J1324" i="4"/>
  <c r="D1330" i="4"/>
  <c r="I1330" i="4" s="1"/>
  <c r="I1346" i="4"/>
  <c r="D1378" i="4"/>
  <c r="I1378" i="4" s="1"/>
  <c r="J1410" i="4"/>
  <c r="D1429" i="4"/>
  <c r="I1429" i="4" s="1"/>
  <c r="D1491" i="4"/>
  <c r="I1491" i="4" s="1"/>
  <c r="J1502" i="4"/>
  <c r="J1568" i="4"/>
  <c r="D1568" i="4"/>
  <c r="I1568" i="4" s="1"/>
  <c r="J1580" i="4"/>
  <c r="D1580" i="4"/>
  <c r="I1580" i="4" s="1"/>
  <c r="D1588" i="4"/>
  <c r="I1588" i="4" s="1"/>
  <c r="J1619" i="4"/>
  <c r="D1628" i="4"/>
  <c r="I1628" i="4" s="1"/>
  <c r="D1633" i="4"/>
  <c r="I1633" i="4" s="1"/>
  <c r="D1667" i="4"/>
  <c r="I1667" i="4" s="1"/>
  <c r="D1728" i="4"/>
  <c r="I1728" i="4" s="1"/>
  <c r="J1749" i="4"/>
  <c r="D1749" i="4"/>
  <c r="I1749" i="4" s="1"/>
  <c r="D1756" i="4"/>
  <c r="I1756" i="4" s="1"/>
  <c r="J1756" i="4"/>
  <c r="I1818" i="4"/>
  <c r="J1818" i="4"/>
  <c r="J1869" i="4"/>
  <c r="D2027" i="4"/>
  <c r="I2027" i="4" s="1"/>
  <c r="J2027" i="4"/>
  <c r="D2044" i="4"/>
  <c r="I2044" i="4" s="1"/>
  <c r="D2293" i="4"/>
  <c r="I2293" i="4" s="1"/>
  <c r="J2293" i="4"/>
  <c r="J1577" i="4"/>
  <c r="D1577" i="4"/>
  <c r="I1577" i="4" s="1"/>
  <c r="J1596" i="4"/>
  <c r="D1596" i="4"/>
  <c r="I1596" i="4" s="1"/>
  <c r="J1652" i="4"/>
  <c r="D1652" i="4"/>
  <c r="I1652" i="4" s="1"/>
  <c r="D1698" i="4"/>
  <c r="I1698" i="4" s="1"/>
  <c r="J1698" i="4"/>
  <c r="J1720" i="4"/>
  <c r="D1757" i="4"/>
  <c r="I1757" i="4" s="1"/>
  <c r="J1757" i="4"/>
  <c r="D1764" i="4"/>
  <c r="I1764" i="4" s="1"/>
  <c r="J1764" i="4"/>
  <c r="D1780" i="4"/>
  <c r="I1780" i="4" s="1"/>
  <c r="J1780" i="4"/>
  <c r="J1972" i="4"/>
  <c r="D1972" i="4"/>
  <c r="I1972" i="4" s="1"/>
  <c r="J2012" i="4"/>
  <c r="D2012" i="4"/>
  <c r="I2012" i="4" s="1"/>
  <c r="D2023" i="4"/>
  <c r="I2023" i="4" s="1"/>
  <c r="J2023" i="4"/>
  <c r="D2215" i="4"/>
  <c r="I2215" i="4" s="1"/>
  <c r="J2215" i="4"/>
  <c r="I1426" i="4"/>
  <c r="D1443" i="4"/>
  <c r="I1443" i="4" s="1"/>
  <c r="D1447" i="4"/>
  <c r="I1447" i="4" s="1"/>
  <c r="D1555" i="4"/>
  <c r="I1555" i="4" s="1"/>
  <c r="D1569" i="4"/>
  <c r="I1569" i="4" s="1"/>
  <c r="J1572" i="4"/>
  <c r="D1593" i="4"/>
  <c r="I1593" i="4" s="1"/>
  <c r="J1601" i="4"/>
  <c r="D1601" i="4"/>
  <c r="I1601" i="4" s="1"/>
  <c r="J1611" i="4"/>
  <c r="D1611" i="4"/>
  <c r="I1611" i="4" s="1"/>
  <c r="D1668" i="4"/>
  <c r="I1668" i="4" s="1"/>
  <c r="D1720" i="4"/>
  <c r="I1720" i="4" s="1"/>
  <c r="I1318" i="4"/>
  <c r="J1426" i="4"/>
  <c r="J1435" i="4"/>
  <c r="D1435" i="4"/>
  <c r="I1435" i="4" s="1"/>
  <c r="D1451" i="4"/>
  <c r="I1451" i="4" s="1"/>
  <c r="D1499" i="4"/>
  <c r="I1499" i="4" s="1"/>
  <c r="J1564" i="4"/>
  <c r="D1564" i="4"/>
  <c r="I1564" i="4" s="1"/>
  <c r="D1572" i="4"/>
  <c r="I1572" i="4" s="1"/>
  <c r="J1593" i="4"/>
  <c r="J1649" i="4"/>
  <c r="D1664" i="4"/>
  <c r="I1664" i="4" s="1"/>
  <c r="J1669" i="4"/>
  <c r="D1669" i="4"/>
  <c r="I1669" i="4" s="1"/>
  <c r="D1677" i="4"/>
  <c r="I1677" i="4" s="1"/>
  <c r="D1682" i="4"/>
  <c r="I1682" i="4" s="1"/>
  <c r="D1725" i="4"/>
  <c r="I1725" i="4" s="1"/>
  <c r="D1850" i="4"/>
  <c r="I1850" i="4" s="1"/>
  <c r="J1850" i="4"/>
  <c r="D1992" i="4"/>
  <c r="I1992" i="4" s="1"/>
  <c r="D2035" i="4"/>
  <c r="I2035" i="4" s="1"/>
  <c r="J2035" i="4"/>
  <c r="J2041" i="4"/>
  <c r="D2041" i="4"/>
  <c r="I2041" i="4" s="1"/>
  <c r="J1717" i="4"/>
  <c r="J1738" i="4"/>
  <c r="J1794" i="4"/>
  <c r="D1906" i="4"/>
  <c r="I1906" i="4" s="1"/>
  <c r="J1962" i="4"/>
  <c r="D1962" i="4"/>
  <c r="I1962" i="4" s="1"/>
  <c r="J1981" i="4"/>
  <c r="D2252" i="4"/>
  <c r="I2252" i="4" s="1"/>
  <c r="J2252" i="4"/>
  <c r="J2268" i="4"/>
  <c r="D2268" i="4"/>
  <c r="I2268" i="4" s="1"/>
  <c r="I2333" i="4"/>
  <c r="D2375" i="4"/>
  <c r="I2375" i="4" s="1"/>
  <c r="J2375" i="4"/>
  <c r="D2419" i="4"/>
  <c r="I2419" i="4" s="1"/>
  <c r="J2419" i="4"/>
  <c r="J2520" i="4"/>
  <c r="D2520" i="4"/>
  <c r="I2520" i="4" s="1"/>
  <c r="J2581" i="4"/>
  <c r="D2581" i="4"/>
  <c r="I2581" i="4" s="1"/>
  <c r="J2101" i="4"/>
  <c r="D2101" i="4"/>
  <c r="I2101" i="4" s="1"/>
  <c r="D2244" i="4"/>
  <c r="I2244" i="4" s="1"/>
  <c r="J2244" i="4"/>
  <c r="D2253" i="4"/>
  <c r="I2253" i="4" s="1"/>
  <c r="D2319" i="4"/>
  <c r="I2319" i="4" s="1"/>
  <c r="J2359" i="4"/>
  <c r="D2359" i="4"/>
  <c r="I2359" i="4" s="1"/>
  <c r="J2408" i="4"/>
  <c r="D2408" i="4"/>
  <c r="I2408" i="4" s="1"/>
  <c r="D2516" i="4"/>
  <c r="I2516" i="4" s="1"/>
  <c r="J2516" i="4"/>
  <c r="I1773" i="4"/>
  <c r="D1796" i="4"/>
  <c r="I1796" i="4" s="1"/>
  <c r="J1796" i="4"/>
  <c r="I1842" i="4"/>
  <c r="D1930" i="4"/>
  <c r="I1930" i="4" s="1"/>
  <c r="J1944" i="4"/>
  <c r="D1944" i="4"/>
  <c r="I1944" i="4" s="1"/>
  <c r="J1982" i="4"/>
  <c r="D2019" i="4"/>
  <c r="I2019" i="4" s="1"/>
  <c r="J2019" i="4"/>
  <c r="J2108" i="4"/>
  <c r="D2108" i="4"/>
  <c r="I2108" i="4" s="1"/>
  <c r="D2168" i="4"/>
  <c r="I2168" i="4" s="1"/>
  <c r="J2168" i="4"/>
  <c r="J2192" i="4"/>
  <c r="D2207" i="4"/>
  <c r="I2207" i="4" s="1"/>
  <c r="J2207" i="4"/>
  <c r="J2273" i="4"/>
  <c r="D2273" i="4"/>
  <c r="I2273" i="4" s="1"/>
  <c r="J2309" i="4"/>
  <c r="D2309" i="4"/>
  <c r="I2309" i="4" s="1"/>
  <c r="J2319" i="4"/>
  <c r="J2344" i="4"/>
  <c r="D2344" i="4"/>
  <c r="I2344" i="4" s="1"/>
  <c r="J2349" i="4"/>
  <c r="D2349" i="4"/>
  <c r="I2349" i="4" s="1"/>
  <c r="D1620" i="4"/>
  <c r="I1620" i="4" s="1"/>
  <c r="I1663" i="4"/>
  <c r="D1666" i="4"/>
  <c r="I1666" i="4" s="1"/>
  <c r="D1754" i="4"/>
  <c r="I1754" i="4" s="1"/>
  <c r="J1773" i="4"/>
  <c r="J1788" i="4"/>
  <c r="J1812" i="4"/>
  <c r="D1826" i="4"/>
  <c r="I1826" i="4" s="1"/>
  <c r="I1834" i="4"/>
  <c r="J1842" i="4"/>
  <c r="I1890" i="4"/>
  <c r="D1970" i="4"/>
  <c r="I1970" i="4" s="1"/>
  <c r="D1974" i="4"/>
  <c r="I1974" i="4" s="1"/>
  <c r="J1978" i="4"/>
  <c r="J2020" i="4"/>
  <c r="D2020" i="4"/>
  <c r="I2020" i="4" s="1"/>
  <c r="D2075" i="4"/>
  <c r="I2075" i="4" s="1"/>
  <c r="J2075" i="4"/>
  <c r="D2085" i="4"/>
  <c r="I2085" i="4" s="1"/>
  <c r="J2091" i="4"/>
  <c r="D2175" i="4"/>
  <c r="I2175" i="4" s="1"/>
  <c r="J2175" i="4"/>
  <c r="D2208" i="4"/>
  <c r="I2208" i="4" s="1"/>
  <c r="J2208" i="4"/>
  <c r="D2228" i="4"/>
  <c r="I2228" i="4" s="1"/>
  <c r="J2228" i="4"/>
  <c r="J2233" i="4"/>
  <c r="D2233" i="4"/>
  <c r="I2233" i="4" s="1"/>
  <c r="D2255" i="4"/>
  <c r="I2255" i="4" s="1"/>
  <c r="J2255" i="4"/>
  <c r="J2264" i="4"/>
  <c r="I2264" i="4"/>
  <c r="I2284" i="4"/>
  <c r="D2355" i="4"/>
  <c r="I2355" i="4" s="1"/>
  <c r="J2355" i="4"/>
  <c r="D2123" i="4"/>
  <c r="I2123" i="4" s="1"/>
  <c r="J2123" i="4"/>
  <c r="D2223" i="4"/>
  <c r="I2223" i="4" s="1"/>
  <c r="J2223" i="4"/>
  <c r="D2239" i="4"/>
  <c r="I2239" i="4" s="1"/>
  <c r="J2239" i="4"/>
  <c r="J2304" i="4"/>
  <c r="D2304" i="4"/>
  <c r="I2304" i="4" s="1"/>
  <c r="D2395" i="4"/>
  <c r="I2395" i="4" s="1"/>
  <c r="J2395" i="4"/>
  <c r="J2492" i="4"/>
  <c r="D2492" i="4"/>
  <c r="I2492" i="4" s="1"/>
  <c r="D2613" i="4"/>
  <c r="I2613" i="4" s="1"/>
  <c r="J2613" i="4"/>
  <c r="D2116" i="4"/>
  <c r="I2116" i="4" s="1"/>
  <c r="J2116" i="4"/>
  <c r="D2160" i="4"/>
  <c r="I2160" i="4" s="1"/>
  <c r="J2224" i="4"/>
  <c r="I2256" i="4"/>
  <c r="J2265" i="4"/>
  <c r="D2265" i="4"/>
  <c r="I2265" i="4" s="1"/>
  <c r="J2271" i="4"/>
  <c r="D2391" i="4"/>
  <c r="I2391" i="4" s="1"/>
  <c r="J2391" i="4"/>
  <c r="J2483" i="4"/>
  <c r="D2483" i="4"/>
  <c r="I2483" i="4" s="1"/>
  <c r="I1874" i="4"/>
  <c r="J2117" i="4"/>
  <c r="D2117" i="4"/>
  <c r="I2117" i="4" s="1"/>
  <c r="J2160" i="4"/>
  <c r="D2224" i="4"/>
  <c r="I2224" i="4" s="1"/>
  <c r="J2241" i="4"/>
  <c r="D2241" i="4"/>
  <c r="I2241" i="4" s="1"/>
  <c r="J2247" i="4"/>
  <c r="J2256" i="4"/>
  <c r="J2602" i="4"/>
  <c r="D2602" i="4"/>
  <c r="I2602" i="4" s="1"/>
  <c r="D2107" i="4"/>
  <c r="I2107" i="4" s="1"/>
  <c r="J2107" i="4"/>
  <c r="D2292" i="4"/>
  <c r="I2292" i="4" s="1"/>
  <c r="J2363" i="4"/>
  <c r="I2363" i="4"/>
  <c r="D2424" i="4"/>
  <c r="I2424" i="4" s="1"/>
  <c r="J2424" i="4"/>
  <c r="J2428" i="4"/>
  <c r="D2428" i="4"/>
  <c r="I2428" i="4" s="1"/>
  <c r="D2467" i="4"/>
  <c r="I2467" i="4" s="1"/>
  <c r="J2467" i="4"/>
  <c r="D2582" i="4"/>
  <c r="I2582" i="4" s="1"/>
  <c r="J2582" i="4"/>
  <c r="J2484" i="4"/>
  <c r="D2484" i="4"/>
  <c r="I2484" i="4" s="1"/>
  <c r="J2240" i="4"/>
  <c r="J2249" i="4"/>
  <c r="D2249" i="4"/>
  <c r="I2249" i="4" s="1"/>
  <c r="J2312" i="4"/>
  <c r="J2322" i="4"/>
  <c r="D2322" i="4"/>
  <c r="I2322" i="4" s="1"/>
  <c r="J2335" i="4"/>
  <c r="D2335" i="4"/>
  <c r="I2335" i="4" s="1"/>
  <c r="D2480" i="4"/>
  <c r="I2480" i="4" s="1"/>
  <c r="J2532" i="4"/>
  <c r="J2537" i="4"/>
  <c r="D2537" i="4"/>
  <c r="I2537" i="4" s="1"/>
  <c r="D2572" i="4"/>
  <c r="I2572" i="4" s="1"/>
  <c r="J2608" i="4"/>
  <c r="J2099" i="4"/>
  <c r="D2148" i="4"/>
  <c r="I2148" i="4" s="1"/>
  <c r="D2157" i="4"/>
  <c r="I2157" i="4" s="1"/>
  <c r="J2183" i="4"/>
  <c r="J2191" i="4"/>
  <c r="I2204" i="4"/>
  <c r="J2231" i="4"/>
  <c r="D2240" i="4"/>
  <c r="I2240" i="4" s="1"/>
  <c r="D2263" i="4"/>
  <c r="I2263" i="4" s="1"/>
  <c r="J2263" i="4"/>
  <c r="J2301" i="4"/>
  <c r="D2301" i="4"/>
  <c r="I2301" i="4" s="1"/>
  <c r="D2312" i="4"/>
  <c r="I2312" i="4" s="1"/>
  <c r="J2381" i="4"/>
  <c r="I2381" i="4"/>
  <c r="D2397" i="4"/>
  <c r="I2397" i="4" s="1"/>
  <c r="I2464" i="4"/>
  <c r="D2468" i="4"/>
  <c r="I2468" i="4" s="1"/>
  <c r="J2480" i="4"/>
  <c r="I2507" i="4"/>
  <c r="D2512" i="4"/>
  <c r="I2512" i="4" s="1"/>
  <c r="D2550" i="4"/>
  <c r="I2550" i="4" s="1"/>
  <c r="I2564" i="4"/>
  <c r="J2584" i="4"/>
  <c r="D2584" i="4"/>
  <c r="I2584" i="4" s="1"/>
  <c r="D2435" i="4"/>
  <c r="I2435" i="4" s="1"/>
  <c r="J2435" i="4"/>
  <c r="D2451" i="4"/>
  <c r="I2451" i="4" s="1"/>
  <c r="D2615" i="4"/>
  <c r="I2615" i="4" s="1"/>
  <c r="J2615" i="4"/>
  <c r="D2440" i="4"/>
  <c r="I2440" i="4" s="1"/>
  <c r="J2451" i="4"/>
  <c r="J2460" i="4"/>
  <c r="D2460" i="4"/>
  <c r="I2460" i="4" s="1"/>
  <c r="I2488" i="4"/>
  <c r="J2524" i="4"/>
  <c r="D2528" i="4"/>
  <c r="I2528" i="4" s="1"/>
  <c r="J2600" i="4"/>
  <c r="J2611" i="4"/>
  <c r="D2611" i="4"/>
  <c r="I2611" i="4" s="1"/>
  <c r="J2436" i="4"/>
  <c r="I2436" i="4"/>
  <c r="J2500" i="4"/>
  <c r="D2500" i="4"/>
  <c r="I2500" i="4" s="1"/>
  <c r="I2546" i="4"/>
  <c r="I2343" i="4"/>
  <c r="I2566" i="4"/>
  <c r="J2343" i="4"/>
  <c r="J2566" i="4"/>
  <c r="J47" i="4"/>
  <c r="J237" i="4"/>
  <c r="D237" i="4"/>
  <c r="I237" i="4" s="1"/>
  <c r="J368" i="4"/>
  <c r="D368" i="4"/>
  <c r="I368" i="4" s="1"/>
  <c r="J433" i="4"/>
  <c r="J498" i="4"/>
  <c r="D498" i="4"/>
  <c r="I498" i="4" s="1"/>
  <c r="C5" i="5"/>
  <c r="C6" i="5"/>
  <c r="B8" i="4"/>
  <c r="J174" i="4"/>
  <c r="J379" i="4"/>
  <c r="D433" i="4"/>
  <c r="I433" i="4" s="1"/>
  <c r="J562" i="4"/>
  <c r="D562" i="4"/>
  <c r="I562" i="4" s="1"/>
  <c r="J626" i="4"/>
  <c r="D626" i="4"/>
  <c r="I626" i="4" s="1"/>
  <c r="D703" i="4"/>
  <c r="I703" i="4" s="1"/>
  <c r="J703" i="4"/>
  <c r="J742" i="4"/>
  <c r="D742" i="4"/>
  <c r="I742" i="4" s="1"/>
  <c r="D23" i="4"/>
  <c r="I23" i="4" s="1"/>
  <c r="J49" i="4"/>
  <c r="D56" i="4"/>
  <c r="I56" i="4" s="1"/>
  <c r="J69" i="4"/>
  <c r="D69" i="4"/>
  <c r="I69" i="4" s="1"/>
  <c r="J78" i="4"/>
  <c r="D87" i="4"/>
  <c r="I87" i="4" s="1"/>
  <c r="J87" i="4"/>
  <c r="J101" i="4"/>
  <c r="D101" i="4"/>
  <c r="I101" i="4" s="1"/>
  <c r="J110" i="4"/>
  <c r="D119" i="4"/>
  <c r="I119" i="4" s="1"/>
  <c r="J119" i="4"/>
  <c r="J133" i="4"/>
  <c r="D133" i="4"/>
  <c r="I133" i="4" s="1"/>
  <c r="J157" i="4"/>
  <c r="D157" i="4"/>
  <c r="I157" i="4" s="1"/>
  <c r="D174" i="4"/>
  <c r="I174" i="4" s="1"/>
  <c r="J198" i="4"/>
  <c r="J221" i="4"/>
  <c r="D221" i="4"/>
  <c r="I221" i="4" s="1"/>
  <c r="J269" i="4"/>
  <c r="D269" i="4"/>
  <c r="I269" i="4" s="1"/>
  <c r="J280" i="4"/>
  <c r="D280" i="4"/>
  <c r="I280" i="4" s="1"/>
  <c r="J312" i="4"/>
  <c r="D312" i="4"/>
  <c r="I312" i="4" s="1"/>
  <c r="J344" i="4"/>
  <c r="D344" i="4"/>
  <c r="I344" i="4" s="1"/>
  <c r="D379" i="4"/>
  <c r="I379" i="4" s="1"/>
  <c r="J482" i="4"/>
  <c r="D482" i="4"/>
  <c r="I482" i="4" s="1"/>
  <c r="D575" i="4"/>
  <c r="I575" i="4" s="1"/>
  <c r="J575" i="4"/>
  <c r="D639" i="4"/>
  <c r="I639" i="4" s="1"/>
  <c r="J639" i="4"/>
  <c r="J674" i="4"/>
  <c r="D674" i="4"/>
  <c r="I674" i="4" s="1"/>
  <c r="D724" i="4"/>
  <c r="I724" i="4" s="1"/>
  <c r="J724" i="4"/>
  <c r="J746" i="4"/>
  <c r="D746" i="4"/>
  <c r="I746" i="4" s="1"/>
  <c r="J254" i="4"/>
  <c r="I254" i="4"/>
  <c r="D32" i="4"/>
  <c r="I32" i="4" s="1"/>
  <c r="J39" i="4"/>
  <c r="I39" i="4"/>
  <c r="D41" i="4"/>
  <c r="I41" i="4" s="1"/>
  <c r="J56" i="4"/>
  <c r="D78" i="4"/>
  <c r="I78" i="4" s="1"/>
  <c r="D110" i="4"/>
  <c r="I110" i="4" s="1"/>
  <c r="J158" i="4"/>
  <c r="I158" i="4"/>
  <c r="J181" i="4"/>
  <c r="D181" i="4"/>
  <c r="I181" i="4" s="1"/>
  <c r="D198" i="4"/>
  <c r="I198" i="4" s="1"/>
  <c r="J222" i="4"/>
  <c r="I222" i="4"/>
  <c r="J245" i="4"/>
  <c r="D245" i="4"/>
  <c r="I245" i="4" s="1"/>
  <c r="J299" i="4"/>
  <c r="I299" i="4"/>
  <c r="J331" i="4"/>
  <c r="I331" i="4"/>
  <c r="J363" i="4"/>
  <c r="I363" i="4"/>
  <c r="J376" i="4"/>
  <c r="D376" i="4"/>
  <c r="I376" i="4" s="1"/>
  <c r="D468" i="4"/>
  <c r="I468" i="4" s="1"/>
  <c r="J468" i="4"/>
  <c r="J486" i="4"/>
  <c r="D486" i="4"/>
  <c r="I486" i="4" s="1"/>
  <c r="D503" i="4"/>
  <c r="I503" i="4" s="1"/>
  <c r="J503" i="4"/>
  <c r="D519" i="4"/>
  <c r="I519" i="4" s="1"/>
  <c r="J519" i="4"/>
  <c r="J546" i="4"/>
  <c r="D546" i="4"/>
  <c r="I546" i="4" s="1"/>
  <c r="J610" i="4"/>
  <c r="D610" i="4"/>
  <c r="I610" i="4" s="1"/>
  <c r="J678" i="4"/>
  <c r="D678" i="4"/>
  <c r="I678" i="4" s="1"/>
  <c r="D695" i="4"/>
  <c r="I695" i="4" s="1"/>
  <c r="J695" i="4"/>
  <c r="D711" i="4"/>
  <c r="I711" i="4" s="1"/>
  <c r="J711" i="4"/>
  <c r="J750" i="4"/>
  <c r="I750" i="4"/>
  <c r="J149" i="4"/>
  <c r="D149" i="4"/>
  <c r="I149" i="4" s="1"/>
  <c r="J190" i="4"/>
  <c r="J213" i="4"/>
  <c r="D213" i="4"/>
  <c r="I213" i="4" s="1"/>
  <c r="J315" i="4"/>
  <c r="J395" i="4"/>
  <c r="J507" i="4"/>
  <c r="D507" i="4"/>
  <c r="I507" i="4" s="1"/>
  <c r="D40" i="4"/>
  <c r="I40" i="4" s="1"/>
  <c r="D63" i="4"/>
  <c r="I63" i="4" s="1"/>
  <c r="J63" i="4"/>
  <c r="J86" i="4"/>
  <c r="J118" i="4"/>
  <c r="D127" i="4"/>
  <c r="I127" i="4" s="1"/>
  <c r="J127" i="4"/>
  <c r="J150" i="4"/>
  <c r="I150" i="4"/>
  <c r="J173" i="4"/>
  <c r="D173" i="4"/>
  <c r="I173" i="4" s="1"/>
  <c r="J214" i="4"/>
  <c r="I214" i="4"/>
  <c r="J261" i="4"/>
  <c r="J336" i="4"/>
  <c r="D336" i="4"/>
  <c r="I336" i="4" s="1"/>
  <c r="J457" i="4"/>
  <c r="D457" i="4"/>
  <c r="I457" i="4" s="1"/>
  <c r="J738" i="4"/>
  <c r="D738" i="4"/>
  <c r="I738" i="4" s="1"/>
  <c r="J23" i="4"/>
  <c r="J197" i="4"/>
  <c r="D197" i="4"/>
  <c r="I197" i="4" s="1"/>
  <c r="J355" i="4"/>
  <c r="I355" i="4"/>
  <c r="J61" i="4"/>
  <c r="D61" i="4"/>
  <c r="I61" i="4" s="1"/>
  <c r="J70" i="4"/>
  <c r="J141" i="4"/>
  <c r="D141" i="4"/>
  <c r="I141" i="4" s="1"/>
  <c r="J182" i="4"/>
  <c r="J288" i="4"/>
  <c r="D288" i="4"/>
  <c r="I288" i="4" s="1"/>
  <c r="J352" i="4"/>
  <c r="D352" i="4"/>
  <c r="I352" i="4" s="1"/>
  <c r="J387" i="4"/>
  <c r="D431" i="4"/>
  <c r="I431" i="4" s="1"/>
  <c r="J431" i="4"/>
  <c r="D567" i="4"/>
  <c r="I567" i="4" s="1"/>
  <c r="J567" i="4"/>
  <c r="J614" i="4"/>
  <c r="D614" i="4"/>
  <c r="I614" i="4" s="1"/>
  <c r="D660" i="4"/>
  <c r="I660" i="4" s="1"/>
  <c r="J660" i="4"/>
  <c r="G7" i="13"/>
  <c r="F17" i="15"/>
  <c r="B13" i="13"/>
  <c r="G6" i="13"/>
  <c r="G5" i="13"/>
  <c r="G8" i="13"/>
  <c r="J41" i="4"/>
  <c r="J55" i="4"/>
  <c r="I55" i="4"/>
  <c r="D57" i="4"/>
  <c r="I57" i="4" s="1"/>
  <c r="D70" i="4"/>
  <c r="I70" i="4" s="1"/>
  <c r="J142" i="4"/>
  <c r="I142" i="4"/>
  <c r="J165" i="4"/>
  <c r="D165" i="4"/>
  <c r="I165" i="4" s="1"/>
  <c r="D182" i="4"/>
  <c r="I182" i="4" s="1"/>
  <c r="J206" i="4"/>
  <c r="J229" i="4"/>
  <c r="D229" i="4"/>
  <c r="I229" i="4" s="1"/>
  <c r="J275" i="4"/>
  <c r="I275" i="4"/>
  <c r="J307" i="4"/>
  <c r="I307" i="4"/>
  <c r="J339" i="4"/>
  <c r="I339" i="4"/>
  <c r="D387" i="4"/>
  <c r="I387" i="4" s="1"/>
  <c r="J494" i="4"/>
  <c r="D532" i="4"/>
  <c r="I532" i="4" s="1"/>
  <c r="J532" i="4"/>
  <c r="J554" i="4"/>
  <c r="D554" i="4"/>
  <c r="I554" i="4" s="1"/>
  <c r="D596" i="4"/>
  <c r="I596" i="4" s="1"/>
  <c r="J596" i="4"/>
  <c r="J618" i="4"/>
  <c r="D618" i="4"/>
  <c r="I618" i="4" s="1"/>
  <c r="J686" i="4"/>
  <c r="I734" i="4"/>
  <c r="J283" i="4"/>
  <c r="J347" i="4"/>
  <c r="I347" i="4"/>
  <c r="J699" i="4"/>
  <c r="D699" i="4"/>
  <c r="I699" i="4" s="1"/>
  <c r="D49" i="4"/>
  <c r="I49" i="4" s="1"/>
  <c r="J77" i="4"/>
  <c r="D77" i="4"/>
  <c r="I77" i="4" s="1"/>
  <c r="D95" i="4"/>
  <c r="I95" i="4" s="1"/>
  <c r="J95" i="4"/>
  <c r="J109" i="4"/>
  <c r="D109" i="4"/>
  <c r="I109" i="4" s="1"/>
  <c r="D190" i="4"/>
  <c r="I190" i="4" s="1"/>
  <c r="J272" i="4"/>
  <c r="D272" i="4"/>
  <c r="I272" i="4" s="1"/>
  <c r="D283" i="4"/>
  <c r="I283" i="4" s="1"/>
  <c r="J304" i="4"/>
  <c r="D304" i="4"/>
  <c r="I304" i="4" s="1"/>
  <c r="D315" i="4"/>
  <c r="I315" i="4" s="1"/>
  <c r="D395" i="4"/>
  <c r="I395" i="4" s="1"/>
  <c r="J571" i="4"/>
  <c r="D571" i="4"/>
  <c r="I571" i="4" s="1"/>
  <c r="J635" i="4"/>
  <c r="D635" i="4"/>
  <c r="I635" i="4" s="1"/>
  <c r="J690" i="4"/>
  <c r="D690" i="4"/>
  <c r="I690" i="4" s="1"/>
  <c r="D25" i="4"/>
  <c r="I25" i="4" s="1"/>
  <c r="D47" i="4"/>
  <c r="I47" i="4" s="1"/>
  <c r="D86" i="4"/>
  <c r="I86" i="4" s="1"/>
  <c r="D118" i="4"/>
  <c r="I118" i="4" s="1"/>
  <c r="J238" i="4"/>
  <c r="I238" i="4"/>
  <c r="D261" i="4"/>
  <c r="I261" i="4" s="1"/>
  <c r="J291" i="4"/>
  <c r="I291" i="4"/>
  <c r="J323" i="4"/>
  <c r="I323" i="4"/>
  <c r="J392" i="4"/>
  <c r="D392" i="4"/>
  <c r="I392" i="4" s="1"/>
  <c r="D511" i="4"/>
  <c r="I511" i="4" s="1"/>
  <c r="J511" i="4"/>
  <c r="I48" i="4"/>
  <c r="D79" i="4"/>
  <c r="I79" i="4" s="1"/>
  <c r="J79" i="4"/>
  <c r="J93" i="4"/>
  <c r="D93" i="4"/>
  <c r="I93" i="4" s="1"/>
  <c r="J102" i="4"/>
  <c r="I102" i="4"/>
  <c r="D111" i="4"/>
  <c r="I111" i="4" s="1"/>
  <c r="J111" i="4"/>
  <c r="J125" i="4"/>
  <c r="D125" i="4"/>
  <c r="I125" i="4" s="1"/>
  <c r="J134" i="4"/>
  <c r="I134" i="4"/>
  <c r="J205" i="4"/>
  <c r="D205" i="4"/>
  <c r="I205" i="4" s="1"/>
  <c r="J246" i="4"/>
  <c r="I246" i="4"/>
  <c r="J265" i="4"/>
  <c r="I265" i="4"/>
  <c r="J320" i="4"/>
  <c r="D320" i="4"/>
  <c r="I320" i="4" s="1"/>
  <c r="J400" i="4"/>
  <c r="D400" i="4"/>
  <c r="I400" i="4" s="1"/>
  <c r="J490" i="4"/>
  <c r="D490" i="4"/>
  <c r="I490" i="4" s="1"/>
  <c r="J550" i="4"/>
  <c r="D550" i="4"/>
  <c r="I550" i="4" s="1"/>
  <c r="D583" i="4"/>
  <c r="I583" i="4" s="1"/>
  <c r="J583" i="4"/>
  <c r="D631" i="4"/>
  <c r="I631" i="4" s="1"/>
  <c r="J631" i="4"/>
  <c r="D647" i="4"/>
  <c r="I647" i="4" s="1"/>
  <c r="J647" i="4"/>
  <c r="J682" i="4"/>
  <c r="D682" i="4"/>
  <c r="I682" i="4" s="1"/>
  <c r="F18" i="15"/>
  <c r="B36" i="15"/>
  <c r="D8" i="15"/>
  <c r="H18" i="15"/>
  <c r="J31" i="4"/>
  <c r="I31" i="4"/>
  <c r="D33" i="4"/>
  <c r="I33" i="4" s="1"/>
  <c r="J48" i="4"/>
  <c r="J62" i="4"/>
  <c r="I62" i="4"/>
  <c r="D71" i="4"/>
  <c r="I71" i="4" s="1"/>
  <c r="J71" i="4"/>
  <c r="J85" i="4"/>
  <c r="D85" i="4"/>
  <c r="I85" i="4" s="1"/>
  <c r="J94" i="4"/>
  <c r="I94" i="4"/>
  <c r="D103" i="4"/>
  <c r="I103" i="4" s="1"/>
  <c r="J103" i="4"/>
  <c r="J117" i="4"/>
  <c r="D117" i="4"/>
  <c r="I117" i="4" s="1"/>
  <c r="J126" i="4"/>
  <c r="I126" i="4"/>
  <c r="D135" i="4"/>
  <c r="I135" i="4" s="1"/>
  <c r="J135" i="4"/>
  <c r="J166" i="4"/>
  <c r="I166" i="4"/>
  <c r="J189" i="4"/>
  <c r="D189" i="4"/>
  <c r="I189" i="4" s="1"/>
  <c r="D206" i="4"/>
  <c r="I206" i="4" s="1"/>
  <c r="J230" i="4"/>
  <c r="I230" i="4"/>
  <c r="J253" i="4"/>
  <c r="D253" i="4"/>
  <c r="I253" i="4" s="1"/>
  <c r="J296" i="4"/>
  <c r="D296" i="4"/>
  <c r="I296" i="4" s="1"/>
  <c r="J328" i="4"/>
  <c r="D328" i="4"/>
  <c r="I328" i="4" s="1"/>
  <c r="J360" i="4"/>
  <c r="D360" i="4"/>
  <c r="I360" i="4" s="1"/>
  <c r="J371" i="4"/>
  <c r="I371" i="4"/>
  <c r="J384" i="4"/>
  <c r="D384" i="4"/>
  <c r="I384" i="4" s="1"/>
  <c r="D494" i="4"/>
  <c r="I494" i="4" s="1"/>
  <c r="J558" i="4"/>
  <c r="I558" i="4"/>
  <c r="J622" i="4"/>
  <c r="I622" i="4"/>
  <c r="D686" i="4"/>
  <c r="I686" i="4" s="1"/>
  <c r="D1186" i="4"/>
  <c r="I1186" i="4" s="1"/>
  <c r="J1186" i="4"/>
  <c r="J60" i="4"/>
  <c r="J68" i="4"/>
  <c r="J76" i="4"/>
  <c r="J84" i="4"/>
  <c r="J108" i="4"/>
  <c r="J116" i="4"/>
  <c r="J132" i="4"/>
  <c r="J140" i="4"/>
  <c r="J148" i="4"/>
  <c r="J204" i="4"/>
  <c r="J228" i="4"/>
  <c r="J236" i="4"/>
  <c r="J260" i="4"/>
  <c r="J406" i="4"/>
  <c r="D412" i="4"/>
  <c r="I412" i="4" s="1"/>
  <c r="J412" i="4"/>
  <c r="J414" i="4"/>
  <c r="D420" i="4"/>
  <c r="I420" i="4" s="1"/>
  <c r="J420" i="4"/>
  <c r="J424" i="4"/>
  <c r="D455" i="4"/>
  <c r="I455" i="4" s="1"/>
  <c r="J455" i="4"/>
  <c r="J515" i="4"/>
  <c r="D515" i="4"/>
  <c r="I515" i="4" s="1"/>
  <c r="J579" i="4"/>
  <c r="D579" i="4"/>
  <c r="I579" i="4" s="1"/>
  <c r="J643" i="4"/>
  <c r="D643" i="4"/>
  <c r="I643" i="4" s="1"/>
  <c r="D676" i="4"/>
  <c r="I676" i="4" s="1"/>
  <c r="D220" i="4"/>
  <c r="I220" i="4" s="1"/>
  <c r="D228" i="4"/>
  <c r="I228" i="4" s="1"/>
  <c r="D236" i="4"/>
  <c r="I236" i="4" s="1"/>
  <c r="D244" i="4"/>
  <c r="I244" i="4" s="1"/>
  <c r="D252" i="4"/>
  <c r="I252" i="4" s="1"/>
  <c r="D260" i="4"/>
  <c r="I260" i="4" s="1"/>
  <c r="J274" i="4"/>
  <c r="J282" i="4"/>
  <c r="J290" i="4"/>
  <c r="J298" i="4"/>
  <c r="J306" i="4"/>
  <c r="J314" i="4"/>
  <c r="J322" i="4"/>
  <c r="J330" i="4"/>
  <c r="J338" i="4"/>
  <c r="J346" i="4"/>
  <c r="J354" i="4"/>
  <c r="J362" i="4"/>
  <c r="J370" i="4"/>
  <c r="I370" i="4"/>
  <c r="J378" i="4"/>
  <c r="I378" i="4"/>
  <c r="J386" i="4"/>
  <c r="I386" i="4"/>
  <c r="J394" i="4"/>
  <c r="I394" i="4"/>
  <c r="D402" i="4"/>
  <c r="I402" i="4" s="1"/>
  <c r="D406" i="4"/>
  <c r="I406" i="4" s="1"/>
  <c r="D410" i="4"/>
  <c r="D414" i="4"/>
  <c r="I414" i="4" s="1"/>
  <c r="D418" i="4"/>
  <c r="I418" i="4" s="1"/>
  <c r="D424" i="4"/>
  <c r="I424" i="4" s="1"/>
  <c r="J441" i="4"/>
  <c r="I441" i="4"/>
  <c r="D499" i="4"/>
  <c r="I499" i="4" s="1"/>
  <c r="D563" i="4"/>
  <c r="I563" i="4" s="1"/>
  <c r="J676" i="4"/>
  <c r="D691" i="4"/>
  <c r="I691" i="4" s="1"/>
  <c r="J835" i="4"/>
  <c r="I835" i="4"/>
  <c r="J846" i="4"/>
  <c r="D846" i="4"/>
  <c r="I846" i="4" s="1"/>
  <c r="J854" i="4"/>
  <c r="D854" i="4"/>
  <c r="I854" i="4" s="1"/>
  <c r="J1104" i="4"/>
  <c r="D1104" i="4"/>
  <c r="I1104" i="4" s="1"/>
  <c r="D19" i="4"/>
  <c r="I19" i="4" s="1"/>
  <c r="D35" i="4"/>
  <c r="I35" i="4" s="1"/>
  <c r="D43" i="4"/>
  <c r="I43" i="4" s="1"/>
  <c r="D51" i="4"/>
  <c r="I51" i="4" s="1"/>
  <c r="D59" i="4"/>
  <c r="I59" i="4" s="1"/>
  <c r="D66" i="4"/>
  <c r="I66" i="4" s="1"/>
  <c r="D74" i="4"/>
  <c r="I74" i="4" s="1"/>
  <c r="D82" i="4"/>
  <c r="I82" i="4" s="1"/>
  <c r="D90" i="4"/>
  <c r="I90" i="4" s="1"/>
  <c r="D98" i="4"/>
  <c r="I98" i="4" s="1"/>
  <c r="D106" i="4"/>
  <c r="I106" i="4" s="1"/>
  <c r="D114" i="4"/>
  <c r="I114" i="4" s="1"/>
  <c r="D122" i="4"/>
  <c r="I122" i="4" s="1"/>
  <c r="D130" i="4"/>
  <c r="I130" i="4" s="1"/>
  <c r="D138" i="4"/>
  <c r="I138" i="4" s="1"/>
  <c r="D146" i="4"/>
  <c r="I146" i="4" s="1"/>
  <c r="D154" i="4"/>
  <c r="I154" i="4" s="1"/>
  <c r="D162" i="4"/>
  <c r="I162" i="4" s="1"/>
  <c r="D170" i="4"/>
  <c r="I170" i="4" s="1"/>
  <c r="D178" i="4"/>
  <c r="I178" i="4" s="1"/>
  <c r="D186" i="4"/>
  <c r="I186" i="4" s="1"/>
  <c r="D194" i="4"/>
  <c r="I194" i="4" s="1"/>
  <c r="D202" i="4"/>
  <c r="I202" i="4" s="1"/>
  <c r="D210" i="4"/>
  <c r="I210" i="4" s="1"/>
  <c r="D218" i="4"/>
  <c r="I218" i="4" s="1"/>
  <c r="D226" i="4"/>
  <c r="I226" i="4" s="1"/>
  <c r="D234" i="4"/>
  <c r="I234" i="4" s="1"/>
  <c r="D242" i="4"/>
  <c r="I242" i="4" s="1"/>
  <c r="D250" i="4"/>
  <c r="I250" i="4" s="1"/>
  <c r="D258" i="4"/>
  <c r="I258" i="4" s="1"/>
  <c r="D263" i="4"/>
  <c r="I263" i="4" s="1"/>
  <c r="J271" i="4"/>
  <c r="D274" i="4"/>
  <c r="I274" i="4" s="1"/>
  <c r="J279" i="4"/>
  <c r="D282" i="4"/>
  <c r="I282" i="4" s="1"/>
  <c r="J287" i="4"/>
  <c r="D290" i="4"/>
  <c r="I290" i="4" s="1"/>
  <c r="J295" i="4"/>
  <c r="D298" i="4"/>
  <c r="I298" i="4" s="1"/>
  <c r="J303" i="4"/>
  <c r="D306" i="4"/>
  <c r="I306" i="4" s="1"/>
  <c r="J311" i="4"/>
  <c r="D314" i="4"/>
  <c r="I314" i="4" s="1"/>
  <c r="J319" i="4"/>
  <c r="D322" i="4"/>
  <c r="I322" i="4" s="1"/>
  <c r="J327" i="4"/>
  <c r="D330" i="4"/>
  <c r="I330" i="4" s="1"/>
  <c r="J335" i="4"/>
  <c r="D338" i="4"/>
  <c r="I338" i="4" s="1"/>
  <c r="J343" i="4"/>
  <c r="D346" i="4"/>
  <c r="I346" i="4" s="1"/>
  <c r="J351" i="4"/>
  <c r="D354" i="4"/>
  <c r="I354" i="4" s="1"/>
  <c r="J359" i="4"/>
  <c r="D362" i="4"/>
  <c r="I362" i="4" s="1"/>
  <c r="J367" i="4"/>
  <c r="J375" i="4"/>
  <c r="J383" i="4"/>
  <c r="J391" i="4"/>
  <c r="J399" i="4"/>
  <c r="D439" i="4"/>
  <c r="I439" i="4" s="1"/>
  <c r="J439" i="4"/>
  <c r="D471" i="4"/>
  <c r="I471" i="4" s="1"/>
  <c r="D516" i="4"/>
  <c r="I516" i="4" s="1"/>
  <c r="D535" i="4"/>
  <c r="I535" i="4" s="1"/>
  <c r="D580" i="4"/>
  <c r="I580" i="4" s="1"/>
  <c r="D599" i="4"/>
  <c r="I599" i="4" s="1"/>
  <c r="D644" i="4"/>
  <c r="I644" i="4" s="1"/>
  <c r="D663" i="4"/>
  <c r="I663" i="4" s="1"/>
  <c r="D708" i="4"/>
  <c r="I708" i="4" s="1"/>
  <c r="D727" i="4"/>
  <c r="I727" i="4" s="1"/>
  <c r="D888" i="4"/>
  <c r="I888" i="4" s="1"/>
  <c r="J888" i="4"/>
  <c r="D960" i="4"/>
  <c r="I960" i="4" s="1"/>
  <c r="J960" i="4"/>
  <c r="J1017" i="4"/>
  <c r="D1017" i="4"/>
  <c r="I1017" i="4" s="1"/>
  <c r="J156" i="4"/>
  <c r="J180" i="4"/>
  <c r="J188" i="4"/>
  <c r="J212" i="4"/>
  <c r="J220" i="4"/>
  <c r="J244" i="4"/>
  <c r="D404" i="4"/>
  <c r="I404" i="4" s="1"/>
  <c r="J404" i="4"/>
  <c r="J410" i="4"/>
  <c r="I410" i="4"/>
  <c r="J416" i="4"/>
  <c r="I416" i="4"/>
  <c r="J422" i="4"/>
  <c r="I422" i="4"/>
  <c r="D612" i="4"/>
  <c r="I612" i="4" s="1"/>
  <c r="I627" i="4"/>
  <c r="J1039" i="4"/>
  <c r="D1039" i="4"/>
  <c r="I1039" i="4" s="1"/>
  <c r="J1072" i="4"/>
  <c r="D1072" i="4"/>
  <c r="I1072" i="4" s="1"/>
  <c r="J1088" i="4"/>
  <c r="I1088" i="4"/>
  <c r="J1152" i="4"/>
  <c r="D1152" i="4"/>
  <c r="I1152" i="4" s="1"/>
  <c r="D1439" i="4"/>
  <c r="I1439" i="4" s="1"/>
  <c r="J1439" i="4"/>
  <c r="D1461" i="4"/>
  <c r="I1461" i="4" s="1"/>
  <c r="J1461" i="4"/>
  <c r="D50" i="4"/>
  <c r="I50" i="4" s="1"/>
  <c r="D58" i="4"/>
  <c r="I58" i="4" s="1"/>
  <c r="D60" i="4"/>
  <c r="I60" i="4" s="1"/>
  <c r="D84" i="4"/>
  <c r="I84" i="4" s="1"/>
  <c r="D108" i="4"/>
  <c r="I108" i="4" s="1"/>
  <c r="D116" i="4"/>
  <c r="I116" i="4" s="1"/>
  <c r="D204" i="4"/>
  <c r="I204" i="4" s="1"/>
  <c r="D27" i="4"/>
  <c r="I27" i="4" s="1"/>
  <c r="D20" i="4"/>
  <c r="I20" i="4" s="1"/>
  <c r="D28" i="4"/>
  <c r="I28" i="4" s="1"/>
  <c r="D36" i="4"/>
  <c r="I36" i="4" s="1"/>
  <c r="D44" i="4"/>
  <c r="I44" i="4" s="1"/>
  <c r="D52" i="4"/>
  <c r="I52" i="4" s="1"/>
  <c r="J65" i="4"/>
  <c r="J73" i="4"/>
  <c r="J81" i="4"/>
  <c r="J89" i="4"/>
  <c r="J97" i="4"/>
  <c r="J105" i="4"/>
  <c r="J113" i="4"/>
  <c r="J121" i="4"/>
  <c r="J129" i="4"/>
  <c r="J137" i="4"/>
  <c r="J145" i="4"/>
  <c r="J153" i="4"/>
  <c r="J161" i="4"/>
  <c r="J169" i="4"/>
  <c r="J177" i="4"/>
  <c r="J185" i="4"/>
  <c r="J193" i="4"/>
  <c r="J201" i="4"/>
  <c r="J209" i="4"/>
  <c r="J217" i="4"/>
  <c r="J225" i="4"/>
  <c r="J233" i="4"/>
  <c r="J241" i="4"/>
  <c r="J249" i="4"/>
  <c r="J257" i="4"/>
  <c r="D271" i="4"/>
  <c r="I271" i="4" s="1"/>
  <c r="D276" i="4"/>
  <c r="I276" i="4" s="1"/>
  <c r="J276" i="4"/>
  <c r="D279" i="4"/>
  <c r="I279" i="4" s="1"/>
  <c r="D284" i="4"/>
  <c r="I284" i="4" s="1"/>
  <c r="J284" i="4"/>
  <c r="D287" i="4"/>
  <c r="I287" i="4" s="1"/>
  <c r="D292" i="4"/>
  <c r="I292" i="4" s="1"/>
  <c r="J292" i="4"/>
  <c r="D295" i="4"/>
  <c r="I295" i="4" s="1"/>
  <c r="D300" i="4"/>
  <c r="I300" i="4" s="1"/>
  <c r="J300" i="4"/>
  <c r="D303" i="4"/>
  <c r="I303" i="4" s="1"/>
  <c r="D308" i="4"/>
  <c r="I308" i="4" s="1"/>
  <c r="J308" i="4"/>
  <c r="D311" i="4"/>
  <c r="I311" i="4" s="1"/>
  <c r="D316" i="4"/>
  <c r="I316" i="4" s="1"/>
  <c r="J316" i="4"/>
  <c r="D319" i="4"/>
  <c r="I319" i="4" s="1"/>
  <c r="D324" i="4"/>
  <c r="I324" i="4" s="1"/>
  <c r="J324" i="4"/>
  <c r="D327" i="4"/>
  <c r="I327" i="4" s="1"/>
  <c r="D332" i="4"/>
  <c r="I332" i="4" s="1"/>
  <c r="J332" i="4"/>
  <c r="D335" i="4"/>
  <c r="I335" i="4" s="1"/>
  <c r="D340" i="4"/>
  <c r="I340" i="4" s="1"/>
  <c r="J340" i="4"/>
  <c r="D343" i="4"/>
  <c r="I343" i="4" s="1"/>
  <c r="D348" i="4"/>
  <c r="I348" i="4" s="1"/>
  <c r="J348" i="4"/>
  <c r="D351" i="4"/>
  <c r="I351" i="4" s="1"/>
  <c r="D356" i="4"/>
  <c r="I356" i="4" s="1"/>
  <c r="J356" i="4"/>
  <c r="D359" i="4"/>
  <c r="I359" i="4" s="1"/>
  <c r="D364" i="4"/>
  <c r="I364" i="4" s="1"/>
  <c r="J364" i="4"/>
  <c r="D367" i="4"/>
  <c r="I367" i="4" s="1"/>
  <c r="D372" i="4"/>
  <c r="I372" i="4" s="1"/>
  <c r="J372" i="4"/>
  <c r="D375" i="4"/>
  <c r="I375" i="4" s="1"/>
  <c r="D380" i="4"/>
  <c r="I380" i="4" s="1"/>
  <c r="J380" i="4"/>
  <c r="D383" i="4"/>
  <c r="I383" i="4" s="1"/>
  <c r="D388" i="4"/>
  <c r="I388" i="4" s="1"/>
  <c r="J388" i="4"/>
  <c r="D391" i="4"/>
  <c r="I391" i="4" s="1"/>
  <c r="D396" i="4"/>
  <c r="I396" i="4" s="1"/>
  <c r="J396" i="4"/>
  <c r="D399" i="4"/>
  <c r="I399" i="4" s="1"/>
  <c r="J425" i="4"/>
  <c r="I425" i="4"/>
  <c r="D463" i="4"/>
  <c r="I463" i="4" s="1"/>
  <c r="J463" i="4"/>
  <c r="D467" i="4"/>
  <c r="I467" i="4" s="1"/>
  <c r="J471" i="4"/>
  <c r="D531" i="4"/>
  <c r="I531" i="4" s="1"/>
  <c r="J535" i="4"/>
  <c r="D595" i="4"/>
  <c r="I595" i="4" s="1"/>
  <c r="J599" i="4"/>
  <c r="J627" i="4"/>
  <c r="D659" i="4"/>
  <c r="I659" i="4" s="1"/>
  <c r="J663" i="4"/>
  <c r="J691" i="4"/>
  <c r="D723" i="4"/>
  <c r="I723" i="4" s="1"/>
  <c r="J727" i="4"/>
  <c r="J838" i="4"/>
  <c r="D838" i="4"/>
  <c r="I838" i="4" s="1"/>
  <c r="J841" i="4"/>
  <c r="D841" i="4"/>
  <c r="I841" i="4" s="1"/>
  <c r="J858" i="4"/>
  <c r="D858" i="4"/>
  <c r="I858" i="4" s="1"/>
  <c r="D897" i="4"/>
  <c r="I897" i="4" s="1"/>
  <c r="J897" i="4"/>
  <c r="J905" i="4"/>
  <c r="D905" i="4"/>
  <c r="I905" i="4" s="1"/>
  <c r="J843" i="4"/>
  <c r="I843" i="4"/>
  <c r="J92" i="4"/>
  <c r="J100" i="4"/>
  <c r="J124" i="4"/>
  <c r="J164" i="4"/>
  <c r="J172" i="4"/>
  <c r="J196" i="4"/>
  <c r="J252" i="4"/>
  <c r="J402" i="4"/>
  <c r="J408" i="4"/>
  <c r="I408" i="4"/>
  <c r="J418" i="4"/>
  <c r="D484" i="4"/>
  <c r="I484" i="4" s="1"/>
  <c r="D548" i="4"/>
  <c r="I548" i="4" s="1"/>
  <c r="J707" i="4"/>
  <c r="D707" i="4"/>
  <c r="I707" i="4" s="1"/>
  <c r="D740" i="4"/>
  <c r="I740" i="4" s="1"/>
  <c r="H58" i="9"/>
  <c r="H50" i="9"/>
  <c r="H42" i="9"/>
  <c r="H60" i="9"/>
  <c r="H52" i="9"/>
  <c r="H44" i="9"/>
  <c r="H57" i="9"/>
  <c r="H49" i="9"/>
  <c r="H63" i="9"/>
  <c r="H54" i="9"/>
  <c r="H40" i="9"/>
  <c r="H34" i="9"/>
  <c r="H26" i="9"/>
  <c r="H18" i="9"/>
  <c r="H64" i="9"/>
  <c r="H53" i="9"/>
  <c r="H39" i="9"/>
  <c r="H31" i="9"/>
  <c r="H23" i="9"/>
  <c r="H15" i="9"/>
  <c r="H19" i="9"/>
  <c r="H63" i="8"/>
  <c r="H60" i="8"/>
  <c r="H52" i="8"/>
  <c r="H55" i="9"/>
  <c r="H45" i="9"/>
  <c r="H32" i="9"/>
  <c r="H30" i="9"/>
  <c r="H28" i="9"/>
  <c r="H17" i="9"/>
  <c r="H59" i="9"/>
  <c r="H47" i="9"/>
  <c r="H38" i="9"/>
  <c r="H36" i="9"/>
  <c r="H25" i="9"/>
  <c r="H16" i="9"/>
  <c r="H56" i="8"/>
  <c r="H48" i="8"/>
  <c r="H51" i="9"/>
  <c r="H35" i="9"/>
  <c r="H62" i="8"/>
  <c r="H47" i="8"/>
  <c r="H46" i="8"/>
  <c r="H36" i="8"/>
  <c r="H28" i="8"/>
  <c r="H20" i="8"/>
  <c r="B6" i="5"/>
  <c r="H29" i="9"/>
  <c r="H24" i="9"/>
  <c r="H21" i="9"/>
  <c r="H64" i="8"/>
  <c r="H61" i="8"/>
  <c r="H45" i="8"/>
  <c r="H41" i="8"/>
  <c r="H33" i="8"/>
  <c r="H25" i="8"/>
  <c r="H17" i="8"/>
  <c r="H59" i="8"/>
  <c r="H58" i="8"/>
  <c r="H38" i="8"/>
  <c r="H30" i="8"/>
  <c r="H22" i="8"/>
  <c r="H56" i="9"/>
  <c r="H46" i="9"/>
  <c r="H41" i="9"/>
  <c r="H27" i="9"/>
  <c r="H20" i="9"/>
  <c r="H53" i="8"/>
  <c r="H48" i="9"/>
  <c r="H27" i="8"/>
  <c r="H16" i="8"/>
  <c r="H61" i="9"/>
  <c r="H37" i="8"/>
  <c r="H26" i="8"/>
  <c r="H15" i="8"/>
  <c r="H50" i="8"/>
  <c r="H40" i="8"/>
  <c r="H19" i="8"/>
  <c r="H22" i="9"/>
  <c r="H57" i="8"/>
  <c r="H39" i="8"/>
  <c r="H29" i="8"/>
  <c r="H18" i="8"/>
  <c r="H43" i="8"/>
  <c r="H54" i="8"/>
  <c r="H49" i="8"/>
  <c r="H32" i="8"/>
  <c r="H23" i="8"/>
  <c r="H21" i="8"/>
  <c r="H43" i="9"/>
  <c r="H33" i="9"/>
  <c r="H51" i="8"/>
  <c r="H34" i="8"/>
  <c r="H24" i="8"/>
  <c r="H44" i="8"/>
  <c r="H42" i="8"/>
  <c r="H35" i="8"/>
  <c r="H31" i="8"/>
  <c r="H37" i="9"/>
  <c r="H62" i="9"/>
  <c r="H55" i="8"/>
  <c r="D6" i="5"/>
  <c r="D5" i="5"/>
  <c r="D18" i="4"/>
  <c r="I18" i="4" s="1"/>
  <c r="D26" i="4"/>
  <c r="I26" i="4" s="1"/>
  <c r="D34" i="4"/>
  <c r="I34" i="4" s="1"/>
  <c r="D42" i="4"/>
  <c r="I42" i="4" s="1"/>
  <c r="D68" i="4"/>
  <c r="I68" i="4" s="1"/>
  <c r="D76" i="4"/>
  <c r="I76" i="4" s="1"/>
  <c r="D132" i="4"/>
  <c r="I132" i="4" s="1"/>
  <c r="D140" i="4"/>
  <c r="I140" i="4" s="1"/>
  <c r="D148" i="4"/>
  <c r="I148" i="4" s="1"/>
  <c r="D156" i="4"/>
  <c r="I156" i="4" s="1"/>
  <c r="D164" i="4"/>
  <c r="I164" i="4" s="1"/>
  <c r="D172" i="4"/>
  <c r="I172" i="4" s="1"/>
  <c r="D180" i="4"/>
  <c r="I180" i="4" s="1"/>
  <c r="D188" i="4"/>
  <c r="I188" i="4" s="1"/>
  <c r="D212" i="4"/>
  <c r="I212" i="4" s="1"/>
  <c r="D266" i="4"/>
  <c r="I266" i="4" s="1"/>
  <c r="J273" i="4"/>
  <c r="J281" i="4"/>
  <c r="J289" i="4"/>
  <c r="J297" i="4"/>
  <c r="J305" i="4"/>
  <c r="J313" i="4"/>
  <c r="J321" i="4"/>
  <c r="J329" i="4"/>
  <c r="J337" i="4"/>
  <c r="J345" i="4"/>
  <c r="J353" i="4"/>
  <c r="J361" i="4"/>
  <c r="J369" i="4"/>
  <c r="J377" i="4"/>
  <c r="J385" i="4"/>
  <c r="J393" i="4"/>
  <c r="J401" i="4"/>
  <c r="J403" i="4"/>
  <c r="J407" i="4"/>
  <c r="J409" i="4"/>
  <c r="J411" i="4"/>
  <c r="J415" i="4"/>
  <c r="J417" i="4"/>
  <c r="J419" i="4"/>
  <c r="J423" i="4"/>
  <c r="J449" i="4"/>
  <c r="J502" i="4"/>
  <c r="D502" i="4"/>
  <c r="I502" i="4" s="1"/>
  <c r="J518" i="4"/>
  <c r="D518" i="4"/>
  <c r="D524" i="4"/>
  <c r="I524" i="4" s="1"/>
  <c r="J524" i="4"/>
  <c r="J566" i="4"/>
  <c r="D566" i="4"/>
  <c r="I566" i="4" s="1"/>
  <c r="J582" i="4"/>
  <c r="D582" i="4"/>
  <c r="I582" i="4" s="1"/>
  <c r="D588" i="4"/>
  <c r="I588" i="4" s="1"/>
  <c r="J588" i="4"/>
  <c r="J630" i="4"/>
  <c r="D630" i="4"/>
  <c r="I630" i="4" s="1"/>
  <c r="J646" i="4"/>
  <c r="D646" i="4"/>
  <c r="I646" i="4" s="1"/>
  <c r="D652" i="4"/>
  <c r="I652" i="4" s="1"/>
  <c r="J652" i="4"/>
  <c r="J694" i="4"/>
  <c r="D694" i="4"/>
  <c r="I694" i="4" s="1"/>
  <c r="J710" i="4"/>
  <c r="D710" i="4"/>
  <c r="I710" i="4" s="1"/>
  <c r="D716" i="4"/>
  <c r="I716" i="4" s="1"/>
  <c r="J716" i="4"/>
  <c r="J723" i="4"/>
  <c r="D143" i="4"/>
  <c r="I143" i="4" s="1"/>
  <c r="D151" i="4"/>
  <c r="I151" i="4" s="1"/>
  <c r="D159" i="4"/>
  <c r="I159" i="4" s="1"/>
  <c r="D167" i="4"/>
  <c r="I167" i="4" s="1"/>
  <c r="D175" i="4"/>
  <c r="I175" i="4" s="1"/>
  <c r="D183" i="4"/>
  <c r="I183" i="4" s="1"/>
  <c r="D191" i="4"/>
  <c r="I191" i="4" s="1"/>
  <c r="I196" i="4"/>
  <c r="D199" i="4"/>
  <c r="I199" i="4" s="1"/>
  <c r="D207" i="4"/>
  <c r="I207" i="4" s="1"/>
  <c r="D215" i="4"/>
  <c r="I215" i="4" s="1"/>
  <c r="D223" i="4"/>
  <c r="I223" i="4" s="1"/>
  <c r="D231" i="4"/>
  <c r="I231" i="4" s="1"/>
  <c r="D239" i="4"/>
  <c r="I239" i="4" s="1"/>
  <c r="D247" i="4"/>
  <c r="I247" i="4" s="1"/>
  <c r="D255" i="4"/>
  <c r="I255" i="4" s="1"/>
  <c r="D262" i="4"/>
  <c r="I262" i="4" s="1"/>
  <c r="J270" i="4"/>
  <c r="I270" i="4"/>
  <c r="D273" i="4"/>
  <c r="I273" i="4" s="1"/>
  <c r="J278" i="4"/>
  <c r="I278" i="4"/>
  <c r="D281" i="4"/>
  <c r="I281" i="4" s="1"/>
  <c r="J286" i="4"/>
  <c r="I286" i="4"/>
  <c r="D289" i="4"/>
  <c r="I289" i="4" s="1"/>
  <c r="J294" i="4"/>
  <c r="I294" i="4"/>
  <c r="D297" i="4"/>
  <c r="I297" i="4" s="1"/>
  <c r="J302" i="4"/>
  <c r="I302" i="4"/>
  <c r="D305" i="4"/>
  <c r="I305" i="4" s="1"/>
  <c r="J310" i="4"/>
  <c r="I310" i="4"/>
  <c r="D313" i="4"/>
  <c r="I313" i="4" s="1"/>
  <c r="J318" i="4"/>
  <c r="I318" i="4"/>
  <c r="D321" i="4"/>
  <c r="I321" i="4" s="1"/>
  <c r="J326" i="4"/>
  <c r="I326" i="4"/>
  <c r="D329" i="4"/>
  <c r="I329" i="4" s="1"/>
  <c r="J334" i="4"/>
  <c r="I334" i="4"/>
  <c r="D337" i="4"/>
  <c r="I337" i="4" s="1"/>
  <c r="J342" i="4"/>
  <c r="I342" i="4"/>
  <c r="D345" i="4"/>
  <c r="I345" i="4" s="1"/>
  <c r="J350" i="4"/>
  <c r="I350" i="4"/>
  <c r="D353" i="4"/>
  <c r="I353" i="4" s="1"/>
  <c r="J358" i="4"/>
  <c r="I358" i="4"/>
  <c r="D361" i="4"/>
  <c r="I361" i="4" s="1"/>
  <c r="J366" i="4"/>
  <c r="I366" i="4"/>
  <c r="D369" i="4"/>
  <c r="I369" i="4" s="1"/>
  <c r="J374" i="4"/>
  <c r="I374" i="4"/>
  <c r="D377" i="4"/>
  <c r="I377" i="4" s="1"/>
  <c r="J382" i="4"/>
  <c r="I382" i="4"/>
  <c r="D385" i="4"/>
  <c r="I385" i="4" s="1"/>
  <c r="J390" i="4"/>
  <c r="I390" i="4"/>
  <c r="D393" i="4"/>
  <c r="I393" i="4" s="1"/>
  <c r="J398" i="4"/>
  <c r="I398" i="4"/>
  <c r="D401" i="4"/>
  <c r="I401" i="4" s="1"/>
  <c r="D403" i="4"/>
  <c r="I403" i="4" s="1"/>
  <c r="D407" i="4"/>
  <c r="I407" i="4" s="1"/>
  <c r="D409" i="4"/>
  <c r="I409" i="4" s="1"/>
  <c r="D411" i="4"/>
  <c r="I411" i="4" s="1"/>
  <c r="D415" i="4"/>
  <c r="I415" i="4" s="1"/>
  <c r="D417" i="4"/>
  <c r="I417" i="4" s="1"/>
  <c r="D419" i="4"/>
  <c r="I419" i="4" s="1"/>
  <c r="D423" i="4"/>
  <c r="I423" i="4" s="1"/>
  <c r="D447" i="4"/>
  <c r="I447" i="4" s="1"/>
  <c r="J447" i="4"/>
  <c r="D449" i="4"/>
  <c r="I449" i="4" s="1"/>
  <c r="J514" i="4"/>
  <c r="D514" i="4"/>
  <c r="I514" i="4" s="1"/>
  <c r="J516" i="4"/>
  <c r="I518" i="4"/>
  <c r="J578" i="4"/>
  <c r="D578" i="4"/>
  <c r="I578" i="4" s="1"/>
  <c r="J580" i="4"/>
  <c r="J642" i="4"/>
  <c r="D642" i="4"/>
  <c r="I642" i="4" s="1"/>
  <c r="J644" i="4"/>
  <c r="J706" i="4"/>
  <c r="D706" i="4"/>
  <c r="I706" i="4" s="1"/>
  <c r="J708" i="4"/>
  <c r="J833" i="4"/>
  <c r="D833" i="4"/>
  <c r="I833" i="4" s="1"/>
  <c r="D890" i="4"/>
  <c r="I890" i="4" s="1"/>
  <c r="J890" i="4"/>
  <c r="D988" i="4"/>
  <c r="I988" i="4" s="1"/>
  <c r="J988" i="4"/>
  <c r="J1008" i="4"/>
  <c r="D1008" i="4"/>
  <c r="I1008" i="4" s="1"/>
  <c r="J1057" i="4"/>
  <c r="I1057" i="4"/>
  <c r="J1161" i="4"/>
  <c r="D1161" i="4"/>
  <c r="I1161" i="4" s="1"/>
  <c r="J1200" i="4"/>
  <c r="I1200" i="4"/>
  <c r="I1225" i="4"/>
  <c r="J1225" i="4"/>
  <c r="D1253" i="4"/>
  <c r="I1253" i="4" s="1"/>
  <c r="J1253" i="4"/>
  <c r="J1452" i="4"/>
  <c r="D1452" i="4"/>
  <c r="I1452" i="4" s="1"/>
  <c r="J1878" i="4"/>
  <c r="D1878" i="4"/>
  <c r="I1878" i="4" s="1"/>
  <c r="J430" i="4"/>
  <c r="J438" i="4"/>
  <c r="J446" i="4"/>
  <c r="J454" i="4"/>
  <c r="J462" i="4"/>
  <c r="D476" i="4"/>
  <c r="I476" i="4" s="1"/>
  <c r="J506" i="4"/>
  <c r="I506" i="4"/>
  <c r="J510" i="4"/>
  <c r="D527" i="4"/>
  <c r="I527" i="4" s="1"/>
  <c r="D540" i="4"/>
  <c r="I540" i="4" s="1"/>
  <c r="J570" i="4"/>
  <c r="I570" i="4"/>
  <c r="J574" i="4"/>
  <c r="I587" i="4"/>
  <c r="D591" i="4"/>
  <c r="I591" i="4" s="1"/>
  <c r="D604" i="4"/>
  <c r="I604" i="4" s="1"/>
  <c r="J634" i="4"/>
  <c r="I634" i="4"/>
  <c r="J638" i="4"/>
  <c r="D655" i="4"/>
  <c r="I655" i="4" s="1"/>
  <c r="D668" i="4"/>
  <c r="I668" i="4" s="1"/>
  <c r="J698" i="4"/>
  <c r="I698" i="4"/>
  <c r="J702" i="4"/>
  <c r="I715" i="4"/>
  <c r="D719" i="4"/>
  <c r="I719" i="4" s="1"/>
  <c r="D732" i="4"/>
  <c r="I732" i="4" s="1"/>
  <c r="J830" i="4"/>
  <c r="D830" i="4"/>
  <c r="I830" i="4" s="1"/>
  <c r="J850" i="4"/>
  <c r="I850" i="4"/>
  <c r="I873" i="4"/>
  <c r="D880" i="4"/>
  <c r="I880" i="4" s="1"/>
  <c r="D892" i="4"/>
  <c r="I892" i="4" s="1"/>
  <c r="J892" i="4"/>
  <c r="J902" i="4"/>
  <c r="D906" i="4"/>
  <c r="I906" i="4" s="1"/>
  <c r="J906" i="4"/>
  <c r="D914" i="4"/>
  <c r="I914" i="4" s="1"/>
  <c r="J943" i="4"/>
  <c r="D943" i="4"/>
  <c r="I943" i="4" s="1"/>
  <c r="J983" i="4"/>
  <c r="D983" i="4"/>
  <c r="I983" i="4" s="1"/>
  <c r="D1026" i="4"/>
  <c r="I1026" i="4" s="1"/>
  <c r="J1026" i="4"/>
  <c r="D1042" i="4"/>
  <c r="I1042" i="4" s="1"/>
  <c r="J1042" i="4"/>
  <c r="D1106" i="4"/>
  <c r="I1106" i="4" s="1"/>
  <c r="J1106" i="4"/>
  <c r="D1122" i="4"/>
  <c r="I1122" i="4" s="1"/>
  <c r="J1122" i="4"/>
  <c r="J842" i="4"/>
  <c r="J855" i="4"/>
  <c r="D882" i="4"/>
  <c r="I882" i="4" s="1"/>
  <c r="D884" i="4"/>
  <c r="I884" i="4" s="1"/>
  <c r="J884" i="4"/>
  <c r="J894" i="4"/>
  <c r="D904" i="4"/>
  <c r="I904" i="4" s="1"/>
  <c r="J904" i="4"/>
  <c r="J910" i="4"/>
  <c r="D910" i="4"/>
  <c r="I910" i="4" s="1"/>
  <c r="J928" i="4"/>
  <c r="D940" i="4"/>
  <c r="I940" i="4" s="1"/>
  <c r="J940" i="4"/>
  <c r="D954" i="4"/>
  <c r="I954" i="4" s="1"/>
  <c r="J954" i="4"/>
  <c r="D970" i="4"/>
  <c r="I970" i="4" s="1"/>
  <c r="J970" i="4"/>
  <c r="J984" i="4"/>
  <c r="J999" i="4"/>
  <c r="D999" i="4"/>
  <c r="I999" i="4" s="1"/>
  <c r="D1002" i="4"/>
  <c r="I1002" i="4" s="1"/>
  <c r="J1002" i="4"/>
  <c r="D1074" i="4"/>
  <c r="I1074" i="4" s="1"/>
  <c r="J1074" i="4"/>
  <c r="D1090" i="4"/>
  <c r="I1090" i="4" s="1"/>
  <c r="J1090" i="4"/>
  <c r="J1129" i="4"/>
  <c r="J1168" i="4"/>
  <c r="D1168" i="4"/>
  <c r="I1168" i="4" s="1"/>
  <c r="J1184" i="4"/>
  <c r="D1202" i="4"/>
  <c r="I1202" i="4" s="1"/>
  <c r="J1202" i="4"/>
  <c r="J1209" i="4"/>
  <c r="D1209" i="4"/>
  <c r="I1209" i="4" s="1"/>
  <c r="J1260" i="4"/>
  <c r="D1260" i="4"/>
  <c r="I1260" i="4" s="1"/>
  <c r="D428" i="4"/>
  <c r="I428" i="4" s="1"/>
  <c r="D436" i="4"/>
  <c r="I436" i="4" s="1"/>
  <c r="D444" i="4"/>
  <c r="I444" i="4" s="1"/>
  <c r="D452" i="4"/>
  <c r="I452" i="4" s="1"/>
  <c r="D460" i="4"/>
  <c r="I460" i="4" s="1"/>
  <c r="D479" i="4"/>
  <c r="I479" i="4" s="1"/>
  <c r="D492" i="4"/>
  <c r="I492" i="4" s="1"/>
  <c r="J522" i="4"/>
  <c r="J526" i="4"/>
  <c r="D543" i="4"/>
  <c r="I543" i="4" s="1"/>
  <c r="D556" i="4"/>
  <c r="I556" i="4" s="1"/>
  <c r="J586" i="4"/>
  <c r="J590" i="4"/>
  <c r="D607" i="4"/>
  <c r="I607" i="4" s="1"/>
  <c r="D620" i="4"/>
  <c r="I620" i="4" s="1"/>
  <c r="J650" i="4"/>
  <c r="J654" i="4"/>
  <c r="D671" i="4"/>
  <c r="I671" i="4" s="1"/>
  <c r="D684" i="4"/>
  <c r="I684" i="4" s="1"/>
  <c r="J714" i="4"/>
  <c r="J718" i="4"/>
  <c r="D735" i="4"/>
  <c r="I735" i="4" s="1"/>
  <c r="D748" i="4"/>
  <c r="I748" i="4" s="1"/>
  <c r="J834" i="4"/>
  <c r="D842" i="4"/>
  <c r="I842" i="4" s="1"/>
  <c r="J847" i="4"/>
  <c r="D855" i="4"/>
  <c r="I855" i="4" s="1"/>
  <c r="D870" i="4"/>
  <c r="I870" i="4" s="1"/>
  <c r="J889" i="4"/>
  <c r="D889" i="4"/>
  <c r="I889" i="4" s="1"/>
  <c r="D894" i="4"/>
  <c r="I894" i="4" s="1"/>
  <c r="D924" i="4"/>
  <c r="I924" i="4" s="1"/>
  <c r="J924" i="4"/>
  <c r="D928" i="4"/>
  <c r="I928" i="4" s="1"/>
  <c r="D964" i="4"/>
  <c r="I964" i="4" s="1"/>
  <c r="J964" i="4"/>
  <c r="D984" i="4"/>
  <c r="I984" i="4" s="1"/>
  <c r="J1048" i="4"/>
  <c r="J1097" i="4"/>
  <c r="D1129" i="4"/>
  <c r="I1129" i="4" s="1"/>
  <c r="D1184" i="4"/>
  <c r="I1184" i="4" s="1"/>
  <c r="D1261" i="4"/>
  <c r="I1261" i="4" s="1"/>
  <c r="J1261" i="4"/>
  <c r="J466" i="4"/>
  <c r="I466" i="4"/>
  <c r="J470" i="4"/>
  <c r="D475" i="4"/>
  <c r="I475" i="4" s="1"/>
  <c r="D487" i="4"/>
  <c r="I487" i="4" s="1"/>
  <c r="D500" i="4"/>
  <c r="I500" i="4" s="1"/>
  <c r="D522" i="4"/>
  <c r="I522" i="4" s="1"/>
  <c r="D526" i="4"/>
  <c r="I526" i="4" s="1"/>
  <c r="J530" i="4"/>
  <c r="I530" i="4"/>
  <c r="J534" i="4"/>
  <c r="D539" i="4"/>
  <c r="I539" i="4" s="1"/>
  <c r="I547" i="4"/>
  <c r="D551" i="4"/>
  <c r="I551" i="4" s="1"/>
  <c r="D564" i="4"/>
  <c r="I564" i="4" s="1"/>
  <c r="D586" i="4"/>
  <c r="I586" i="4" s="1"/>
  <c r="D590" i="4"/>
  <c r="I590" i="4" s="1"/>
  <c r="J594" i="4"/>
  <c r="I594" i="4"/>
  <c r="J598" i="4"/>
  <c r="D603" i="4"/>
  <c r="I603" i="4" s="1"/>
  <c r="D615" i="4"/>
  <c r="I615" i="4" s="1"/>
  <c r="D628" i="4"/>
  <c r="I628" i="4" s="1"/>
  <c r="D650" i="4"/>
  <c r="I650" i="4" s="1"/>
  <c r="D654" i="4"/>
  <c r="I654" i="4" s="1"/>
  <c r="J658" i="4"/>
  <c r="I658" i="4"/>
  <c r="J662" i="4"/>
  <c r="D667" i="4"/>
  <c r="I667" i="4" s="1"/>
  <c r="I675" i="4"/>
  <c r="D679" i="4"/>
  <c r="I679" i="4" s="1"/>
  <c r="D692" i="4"/>
  <c r="I692" i="4" s="1"/>
  <c r="D714" i="4"/>
  <c r="I714" i="4" s="1"/>
  <c r="D718" i="4"/>
  <c r="I718" i="4" s="1"/>
  <c r="J722" i="4"/>
  <c r="I722" i="4"/>
  <c r="J726" i="4"/>
  <c r="D731" i="4"/>
  <c r="I731" i="4" s="1"/>
  <c r="I739" i="4"/>
  <c r="D743" i="4"/>
  <c r="I743" i="4" s="1"/>
  <c r="D834" i="4"/>
  <c r="I834" i="4" s="1"/>
  <c r="I839" i="4"/>
  <c r="J839" i="4"/>
  <c r="D847" i="4"/>
  <c r="I847" i="4" s="1"/>
  <c r="J857" i="4"/>
  <c r="D857" i="4"/>
  <c r="I857" i="4" s="1"/>
  <c r="J859" i="4"/>
  <c r="D865" i="4"/>
  <c r="I865" i="4" s="1"/>
  <c r="J880" i="4"/>
  <c r="J882" i="4"/>
  <c r="I992" i="4"/>
  <c r="J992" i="4"/>
  <c r="D1048" i="4"/>
  <c r="I1048" i="4" s="1"/>
  <c r="I1065" i="4"/>
  <c r="J1065" i="4"/>
  <c r="D1097" i="4"/>
  <c r="I1097" i="4" s="1"/>
  <c r="J1113" i="4"/>
  <c r="D1113" i="4"/>
  <c r="I1113" i="4" s="1"/>
  <c r="D1234" i="4"/>
  <c r="I1234" i="4" s="1"/>
  <c r="J1234" i="4"/>
  <c r="J1268" i="4"/>
  <c r="D1268" i="4"/>
  <c r="I1268" i="4" s="1"/>
  <c r="I458" i="4"/>
  <c r="J474" i="4"/>
  <c r="I474" i="4"/>
  <c r="J478" i="4"/>
  <c r="D495" i="4"/>
  <c r="I495" i="4" s="1"/>
  <c r="D508" i="4"/>
  <c r="I508" i="4" s="1"/>
  <c r="J538" i="4"/>
  <c r="I538" i="4"/>
  <c r="J542" i="4"/>
  <c r="D559" i="4"/>
  <c r="I559" i="4" s="1"/>
  <c r="D572" i="4"/>
  <c r="I572" i="4" s="1"/>
  <c r="J602" i="4"/>
  <c r="I602" i="4"/>
  <c r="J606" i="4"/>
  <c r="I619" i="4"/>
  <c r="D623" i="4"/>
  <c r="I623" i="4" s="1"/>
  <c r="D636" i="4"/>
  <c r="I636" i="4" s="1"/>
  <c r="J666" i="4"/>
  <c r="I666" i="4"/>
  <c r="J670" i="4"/>
  <c r="D687" i="4"/>
  <c r="I687" i="4" s="1"/>
  <c r="D700" i="4"/>
  <c r="I700" i="4" s="1"/>
  <c r="J730" i="4"/>
  <c r="I730" i="4"/>
  <c r="J734" i="4"/>
  <c r="D751" i="4"/>
  <c r="I751" i="4" s="1"/>
  <c r="I831" i="4"/>
  <c r="J831" i="4"/>
  <c r="J849" i="4"/>
  <c r="D849" i="4"/>
  <c r="I849" i="4" s="1"/>
  <c r="J851" i="4"/>
  <c r="J862" i="4"/>
  <c r="D862" i="4"/>
  <c r="I862" i="4" s="1"/>
  <c r="D874" i="4"/>
  <c r="I874" i="4" s="1"/>
  <c r="J874" i="4"/>
  <c r="J936" i="4"/>
  <c r="D936" i="4"/>
  <c r="I936" i="4" s="1"/>
  <c r="D962" i="4"/>
  <c r="I962" i="4" s="1"/>
  <c r="J1033" i="4"/>
  <c r="I1033" i="4"/>
  <c r="J1081" i="4"/>
  <c r="D1081" i="4"/>
  <c r="I1081" i="4" s="1"/>
  <c r="J1120" i="4"/>
  <c r="I1120" i="4"/>
  <c r="D1154" i="4"/>
  <c r="I1154" i="4" s="1"/>
  <c r="J1154" i="4"/>
  <c r="J1312" i="4"/>
  <c r="D1312" i="4"/>
  <c r="I1312" i="4" s="1"/>
  <c r="J1339" i="4"/>
  <c r="D1339" i="4"/>
  <c r="I1339" i="4" s="1"/>
  <c r="J1549" i="4"/>
  <c r="D1549" i="4"/>
  <c r="I1549" i="4" s="1"/>
  <c r="I752" i="4"/>
  <c r="I754" i="4"/>
  <c r="I766" i="4"/>
  <c r="I768" i="4"/>
  <c r="I770" i="4"/>
  <c r="I776" i="4"/>
  <c r="I778" i="4"/>
  <c r="I786" i="4"/>
  <c r="I794" i="4"/>
  <c r="I802" i="4"/>
  <c r="I810" i="4"/>
  <c r="J866" i="4"/>
  <c r="D868" i="4"/>
  <c r="I868" i="4" s="1"/>
  <c r="J868" i="4"/>
  <c r="J896" i="4"/>
  <c r="J913" i="4"/>
  <c r="J919" i="4"/>
  <c r="D919" i="4"/>
  <c r="I919" i="4" s="1"/>
  <c r="D930" i="4"/>
  <c r="I930" i="4" s="1"/>
  <c r="D932" i="4"/>
  <c r="I932" i="4" s="1"/>
  <c r="J932" i="4"/>
  <c r="J1015" i="4"/>
  <c r="I1015" i="4"/>
  <c r="D1138" i="4"/>
  <c r="I1138" i="4" s="1"/>
  <c r="J1138" i="4"/>
  <c r="I1177" i="4"/>
  <c r="J1177" i="4"/>
  <c r="D1218" i="4"/>
  <c r="I1218" i="4" s="1"/>
  <c r="J1218" i="4"/>
  <c r="I781" i="4"/>
  <c r="I805" i="4"/>
  <c r="I821" i="4"/>
  <c r="D876" i="4"/>
  <c r="I876" i="4" s="1"/>
  <c r="J876" i="4"/>
  <c r="D912" i="4"/>
  <c r="I912" i="4" s="1"/>
  <c r="I913" i="4"/>
  <c r="J937" i="4"/>
  <c r="I937" i="4"/>
  <c r="J953" i="4"/>
  <c r="D953" i="4"/>
  <c r="I953" i="4" s="1"/>
  <c r="D977" i="4"/>
  <c r="I977" i="4" s="1"/>
  <c r="J1136" i="4"/>
  <c r="I1136" i="4"/>
  <c r="I1193" i="4"/>
  <c r="J1193" i="4"/>
  <c r="J1232" i="4"/>
  <c r="I1232" i="4"/>
  <c r="D753" i="4"/>
  <c r="I753" i="4" s="1"/>
  <c r="D756" i="4"/>
  <c r="I756" i="4" s="1"/>
  <c r="D757" i="4"/>
  <c r="I757" i="4" s="1"/>
  <c r="D759" i="4"/>
  <c r="I759" i="4" s="1"/>
  <c r="D761" i="4"/>
  <c r="I761" i="4" s="1"/>
  <c r="D764" i="4"/>
  <c r="I764" i="4" s="1"/>
  <c r="D765" i="4"/>
  <c r="I765" i="4" s="1"/>
  <c r="D767" i="4"/>
  <c r="I767" i="4" s="1"/>
  <c r="D769" i="4"/>
  <c r="I769" i="4" s="1"/>
  <c r="D772" i="4"/>
  <c r="I772" i="4" s="1"/>
  <c r="D773" i="4"/>
  <c r="I773" i="4" s="1"/>
  <c r="D775" i="4"/>
  <c r="I775" i="4" s="1"/>
  <c r="D836" i="4"/>
  <c r="I836" i="4" s="1"/>
  <c r="J836" i="4"/>
  <c r="D844" i="4"/>
  <c r="I844" i="4" s="1"/>
  <c r="J844" i="4"/>
  <c r="D852" i="4"/>
  <c r="I852" i="4" s="1"/>
  <c r="J852" i="4"/>
  <c r="D860" i="4"/>
  <c r="I860" i="4" s="1"/>
  <c r="J860" i="4"/>
  <c r="J967" i="4"/>
  <c r="I967" i="4"/>
  <c r="J975" i="4"/>
  <c r="I975" i="4"/>
  <c r="I1024" i="4"/>
  <c r="J1024" i="4"/>
  <c r="I1145" i="4"/>
  <c r="J1145" i="4"/>
  <c r="D1170" i="4"/>
  <c r="I1170" i="4" s="1"/>
  <c r="J1170" i="4"/>
  <c r="J1216" i="4"/>
  <c r="I1216" i="4"/>
  <c r="J1444" i="4"/>
  <c r="I1444" i="4"/>
  <c r="D1490" i="4"/>
  <c r="I1490" i="4" s="1"/>
  <c r="J1490" i="4"/>
  <c r="I863" i="4"/>
  <c r="I871" i="4"/>
  <c r="I911" i="4"/>
  <c r="J927" i="4"/>
  <c r="I927" i="4"/>
  <c r="D948" i="4"/>
  <c r="I948" i="4" s="1"/>
  <c r="J948" i="4"/>
  <c r="D978" i="4"/>
  <c r="I978" i="4" s="1"/>
  <c r="J991" i="4"/>
  <c r="I991" i="4"/>
  <c r="J1023" i="4"/>
  <c r="I1023" i="4"/>
  <c r="D1050" i="4"/>
  <c r="I1050" i="4" s="1"/>
  <c r="D1269" i="4"/>
  <c r="I1269" i="4" s="1"/>
  <c r="J1269" i="4"/>
  <c r="J1276" i="4"/>
  <c r="D1276" i="4"/>
  <c r="I1276" i="4" s="1"/>
  <c r="D1327" i="4"/>
  <c r="I1327" i="4" s="1"/>
  <c r="J1327" i="4"/>
  <c r="D1333" i="4"/>
  <c r="I1333" i="4" s="1"/>
  <c r="J1333" i="4"/>
  <c r="D1353" i="4"/>
  <c r="I1353" i="4" s="1"/>
  <c r="J1353" i="4"/>
  <c r="J1371" i="4"/>
  <c r="D1371" i="4"/>
  <c r="I1371" i="4" s="1"/>
  <c r="J1423" i="4"/>
  <c r="D1423" i="4"/>
  <c r="I1423" i="4" s="1"/>
  <c r="J1501" i="4"/>
  <c r="D1501" i="4"/>
  <c r="I1501" i="4" s="1"/>
  <c r="D1522" i="4"/>
  <c r="I1522" i="4" s="1"/>
  <c r="J1522" i="4"/>
  <c r="D1616" i="4"/>
  <c r="I1616" i="4" s="1"/>
  <c r="J1616" i="4"/>
  <c r="D922" i="4"/>
  <c r="I922" i="4" s="1"/>
  <c r="J935" i="4"/>
  <c r="I935" i="4"/>
  <c r="I952" i="4"/>
  <c r="D956" i="4"/>
  <c r="I956" i="4" s="1"/>
  <c r="J956" i="4"/>
  <c r="D986" i="4"/>
  <c r="I986" i="4" s="1"/>
  <c r="D1010" i="4"/>
  <c r="I1010" i="4" s="1"/>
  <c r="J1047" i="4"/>
  <c r="I1047" i="4"/>
  <c r="I1056" i="4"/>
  <c r="J1240" i="4"/>
  <c r="D1277" i="4"/>
  <c r="I1277" i="4" s="1"/>
  <c r="J1277" i="4"/>
  <c r="J1284" i="4"/>
  <c r="D1284" i="4"/>
  <c r="I1284" i="4" s="1"/>
  <c r="D1350" i="4"/>
  <c r="I1350" i="4" s="1"/>
  <c r="J1350" i="4"/>
  <c r="D1359" i="4"/>
  <c r="I1359" i="4" s="1"/>
  <c r="J1359" i="4"/>
  <c r="D1365" i="4"/>
  <c r="I1365" i="4" s="1"/>
  <c r="J1365" i="4"/>
  <c r="D1385" i="4"/>
  <c r="I1385" i="4" s="1"/>
  <c r="J1385" i="4"/>
  <c r="J1403" i="4"/>
  <c r="D1403" i="4"/>
  <c r="I1403" i="4" s="1"/>
  <c r="D1474" i="4"/>
  <c r="I1474" i="4" s="1"/>
  <c r="J1474" i="4"/>
  <c r="D1600" i="4"/>
  <c r="I1600" i="4" s="1"/>
  <c r="J1600" i="4"/>
  <c r="J1629" i="4"/>
  <c r="D1629" i="4"/>
  <c r="I1629" i="4" s="1"/>
  <c r="D1816" i="4"/>
  <c r="I1816" i="4" s="1"/>
  <c r="J1816" i="4"/>
  <c r="D994" i="4"/>
  <c r="I994" i="4" s="1"/>
  <c r="J1007" i="4"/>
  <c r="D1034" i="4"/>
  <c r="I1034" i="4" s="1"/>
  <c r="J1064" i="4"/>
  <c r="D1066" i="4"/>
  <c r="I1066" i="4" s="1"/>
  <c r="J1080" i="4"/>
  <c r="D1082" i="4"/>
  <c r="I1082" i="4" s="1"/>
  <c r="J1096" i="4"/>
  <c r="D1098" i="4"/>
  <c r="I1098" i="4" s="1"/>
  <c r="J1112" i="4"/>
  <c r="D1114" i="4"/>
  <c r="I1114" i="4" s="1"/>
  <c r="J1128" i="4"/>
  <c r="D1130" i="4"/>
  <c r="I1130" i="4" s="1"/>
  <c r="J1144" i="4"/>
  <c r="D1146" i="4"/>
  <c r="I1146" i="4" s="1"/>
  <c r="J1160" i="4"/>
  <c r="D1162" i="4"/>
  <c r="I1162" i="4" s="1"/>
  <c r="J1176" i="4"/>
  <c r="D1178" i="4"/>
  <c r="I1178" i="4" s="1"/>
  <c r="J1192" i="4"/>
  <c r="D1194" i="4"/>
  <c r="I1194" i="4" s="1"/>
  <c r="J1208" i="4"/>
  <c r="D1210" i="4"/>
  <c r="I1210" i="4" s="1"/>
  <c r="J1224" i="4"/>
  <c r="D1226" i="4"/>
  <c r="I1226" i="4" s="1"/>
  <c r="D1240" i="4"/>
  <c r="I1240" i="4" s="1"/>
  <c r="D1285" i="4"/>
  <c r="I1285" i="4" s="1"/>
  <c r="J1285" i="4"/>
  <c r="J1292" i="4"/>
  <c r="D1292" i="4"/>
  <c r="I1292" i="4" s="1"/>
  <c r="D1344" i="4"/>
  <c r="I1344" i="4" s="1"/>
  <c r="J1344" i="4"/>
  <c r="D1356" i="4"/>
  <c r="I1356" i="4" s="1"/>
  <c r="J1356" i="4"/>
  <c r="D1382" i="4"/>
  <c r="I1382" i="4" s="1"/>
  <c r="J1382" i="4"/>
  <c r="D1391" i="4"/>
  <c r="I1391" i="4" s="1"/>
  <c r="J1391" i="4"/>
  <c r="D1397" i="4"/>
  <c r="I1397" i="4" s="1"/>
  <c r="J1397" i="4"/>
  <c r="D1417" i="4"/>
  <c r="I1417" i="4" s="1"/>
  <c r="J1417" i="4"/>
  <c r="J1533" i="4"/>
  <c r="D1533" i="4"/>
  <c r="I1533" i="4" s="1"/>
  <c r="D1554" i="4"/>
  <c r="I1554" i="4" s="1"/>
  <c r="J1554" i="4"/>
  <c r="J1647" i="4"/>
  <c r="D1647" i="4"/>
  <c r="I1647" i="4" s="1"/>
  <c r="D900" i="4"/>
  <c r="I900" i="4" s="1"/>
  <c r="J900" i="4"/>
  <c r="D908" i="4"/>
  <c r="I908" i="4" s="1"/>
  <c r="J908" i="4"/>
  <c r="D916" i="4"/>
  <c r="I916" i="4" s="1"/>
  <c r="J916" i="4"/>
  <c r="D938" i="4"/>
  <c r="I938" i="4" s="1"/>
  <c r="J951" i="4"/>
  <c r="I951" i="4"/>
  <c r="D972" i="4"/>
  <c r="I972" i="4" s="1"/>
  <c r="J972" i="4"/>
  <c r="I1001" i="4"/>
  <c r="D1007" i="4"/>
  <c r="I1007" i="4" s="1"/>
  <c r="D1016" i="4"/>
  <c r="I1016" i="4" s="1"/>
  <c r="D1025" i="4"/>
  <c r="I1025" i="4" s="1"/>
  <c r="J1031" i="4"/>
  <c r="I1031" i="4"/>
  <c r="I1040" i="4"/>
  <c r="D1058" i="4"/>
  <c r="I1058" i="4" s="1"/>
  <c r="D1064" i="4"/>
  <c r="I1064" i="4" s="1"/>
  <c r="D1073" i="4"/>
  <c r="I1073" i="4" s="1"/>
  <c r="D1080" i="4"/>
  <c r="I1080" i="4" s="1"/>
  <c r="D1089" i="4"/>
  <c r="I1089" i="4" s="1"/>
  <c r="D1096" i="4"/>
  <c r="I1096" i="4" s="1"/>
  <c r="D1105" i="4"/>
  <c r="I1105" i="4" s="1"/>
  <c r="D1112" i="4"/>
  <c r="I1112" i="4" s="1"/>
  <c r="D1121" i="4"/>
  <c r="I1121" i="4" s="1"/>
  <c r="D1128" i="4"/>
  <c r="I1128" i="4" s="1"/>
  <c r="D1137" i="4"/>
  <c r="I1137" i="4" s="1"/>
  <c r="D1144" i="4"/>
  <c r="I1144" i="4" s="1"/>
  <c r="D1153" i="4"/>
  <c r="I1153" i="4" s="1"/>
  <c r="D1160" i="4"/>
  <c r="I1160" i="4" s="1"/>
  <c r="D1169" i="4"/>
  <c r="I1169" i="4" s="1"/>
  <c r="D1176" i="4"/>
  <c r="I1176" i="4" s="1"/>
  <c r="D1185" i="4"/>
  <c r="I1185" i="4" s="1"/>
  <c r="D1192" i="4"/>
  <c r="I1192" i="4" s="1"/>
  <c r="D1201" i="4"/>
  <c r="I1201" i="4" s="1"/>
  <c r="D1208" i="4"/>
  <c r="I1208" i="4" s="1"/>
  <c r="D1217" i="4"/>
  <c r="I1217" i="4" s="1"/>
  <c r="D1224" i="4"/>
  <c r="I1224" i="4" s="1"/>
  <c r="D1233" i="4"/>
  <c r="I1233" i="4" s="1"/>
  <c r="D1293" i="4"/>
  <c r="I1293" i="4" s="1"/>
  <c r="J1293" i="4"/>
  <c r="J1300" i="4"/>
  <c r="D1300" i="4"/>
  <c r="I1300" i="4" s="1"/>
  <c r="D1376" i="4"/>
  <c r="I1376" i="4" s="1"/>
  <c r="J1376" i="4"/>
  <c r="D1388" i="4"/>
  <c r="I1388" i="4" s="1"/>
  <c r="J1388" i="4"/>
  <c r="D1414" i="4"/>
  <c r="I1414" i="4" s="1"/>
  <c r="J1414" i="4"/>
  <c r="J1485" i="4"/>
  <c r="D1485" i="4"/>
  <c r="I1485" i="4" s="1"/>
  <c r="D1506" i="4"/>
  <c r="I1506" i="4" s="1"/>
  <c r="J1506" i="4"/>
  <c r="D946" i="4"/>
  <c r="I946" i="4" s="1"/>
  <c r="J959" i="4"/>
  <c r="I959" i="4"/>
  <c r="I969" i="4"/>
  <c r="D980" i="4"/>
  <c r="I980" i="4" s="1"/>
  <c r="J980" i="4"/>
  <c r="I1000" i="4"/>
  <c r="J1001" i="4"/>
  <c r="J1010" i="4"/>
  <c r="D1018" i="4"/>
  <c r="I1018" i="4" s="1"/>
  <c r="J1055" i="4"/>
  <c r="I1055" i="4"/>
  <c r="J1056" i="4"/>
  <c r="J1066" i="4"/>
  <c r="J1073" i="4"/>
  <c r="J1082" i="4"/>
  <c r="J1089" i="4"/>
  <c r="J1098" i="4"/>
  <c r="J1105" i="4"/>
  <c r="J1114" i="4"/>
  <c r="J1121" i="4"/>
  <c r="D1241" i="4"/>
  <c r="I1241" i="4" s="1"/>
  <c r="D1301" i="4"/>
  <c r="I1301" i="4" s="1"/>
  <c r="J1301" i="4"/>
  <c r="J1320" i="4"/>
  <c r="D1408" i="4"/>
  <c r="I1408" i="4" s="1"/>
  <c r="J1408" i="4"/>
  <c r="D1425" i="4"/>
  <c r="I1425" i="4" s="1"/>
  <c r="J1425" i="4"/>
  <c r="J1241" i="4"/>
  <c r="J1252" i="4"/>
  <c r="D1252" i="4"/>
  <c r="I1252" i="4" s="1"/>
  <c r="D1320" i="4"/>
  <c r="I1320" i="4" s="1"/>
  <c r="D1469" i="4"/>
  <c r="I1469" i="4" s="1"/>
  <c r="J1469" i="4"/>
  <c r="J1517" i="4"/>
  <c r="D1517" i="4"/>
  <c r="I1517" i="4" s="1"/>
  <c r="D1538" i="4"/>
  <c r="I1538" i="4" s="1"/>
  <c r="J1538" i="4"/>
  <c r="J1565" i="4"/>
  <c r="D1565" i="4"/>
  <c r="I1565" i="4" s="1"/>
  <c r="J1621" i="4"/>
  <c r="D1621" i="4"/>
  <c r="I1621" i="4" s="1"/>
  <c r="D1768" i="4"/>
  <c r="I1768" i="4" s="1"/>
  <c r="J1768" i="4"/>
  <c r="D1307" i="4"/>
  <c r="I1307" i="4" s="1"/>
  <c r="J1307" i="4"/>
  <c r="D1315" i="4"/>
  <c r="I1315" i="4" s="1"/>
  <c r="J1315" i="4"/>
  <c r="D1323" i="4"/>
  <c r="I1323" i="4" s="1"/>
  <c r="J1323" i="4"/>
  <c r="D1329" i="4"/>
  <c r="I1329" i="4" s="1"/>
  <c r="D1335" i="4"/>
  <c r="I1335" i="4" s="1"/>
  <c r="D1341" i="4"/>
  <c r="I1341" i="4" s="1"/>
  <c r="J1347" i="4"/>
  <c r="D1347" i="4"/>
  <c r="I1347" i="4" s="1"/>
  <c r="D1361" i="4"/>
  <c r="I1361" i="4" s="1"/>
  <c r="D1367" i="4"/>
  <c r="I1367" i="4" s="1"/>
  <c r="D1373" i="4"/>
  <c r="I1373" i="4" s="1"/>
  <c r="J1379" i="4"/>
  <c r="D1379" i="4"/>
  <c r="I1379" i="4" s="1"/>
  <c r="D1393" i="4"/>
  <c r="I1393" i="4" s="1"/>
  <c r="D1399" i="4"/>
  <c r="I1399" i="4" s="1"/>
  <c r="D1405" i="4"/>
  <c r="I1405" i="4" s="1"/>
  <c r="J1411" i="4"/>
  <c r="D1411" i="4"/>
  <c r="I1411" i="4" s="1"/>
  <c r="J1428" i="4"/>
  <c r="D1428" i="4"/>
  <c r="I1428" i="4" s="1"/>
  <c r="D1433" i="4"/>
  <c r="I1433" i="4" s="1"/>
  <c r="D1441" i="4"/>
  <c r="I1441" i="4" s="1"/>
  <c r="J1441" i="4"/>
  <c r="D1446" i="4"/>
  <c r="I1446" i="4" s="1"/>
  <c r="J1446" i="4"/>
  <c r="D1458" i="4"/>
  <c r="I1458" i="4" s="1"/>
  <c r="D1466" i="4"/>
  <c r="I1466" i="4" s="1"/>
  <c r="J1476" i="4"/>
  <c r="D1476" i="4"/>
  <c r="I1476" i="4" s="1"/>
  <c r="J1481" i="4"/>
  <c r="D1481" i="4"/>
  <c r="I1481" i="4" s="1"/>
  <c r="J1492" i="4"/>
  <c r="D1492" i="4"/>
  <c r="I1492" i="4" s="1"/>
  <c r="J1497" i="4"/>
  <c r="D1497" i="4"/>
  <c r="I1497" i="4" s="1"/>
  <c r="J1508" i="4"/>
  <c r="D1508" i="4"/>
  <c r="I1508" i="4" s="1"/>
  <c r="J1513" i="4"/>
  <c r="D1513" i="4"/>
  <c r="I1513" i="4" s="1"/>
  <c r="J1524" i="4"/>
  <c r="D1524" i="4"/>
  <c r="I1524" i="4" s="1"/>
  <c r="J1529" i="4"/>
  <c r="D1529" i="4"/>
  <c r="I1529" i="4" s="1"/>
  <c r="J1540" i="4"/>
  <c r="D1540" i="4"/>
  <c r="I1540" i="4" s="1"/>
  <c r="J1545" i="4"/>
  <c r="D1545" i="4"/>
  <c r="I1545" i="4" s="1"/>
  <c r="J1556" i="4"/>
  <c r="D1556" i="4"/>
  <c r="I1556" i="4" s="1"/>
  <c r="J1561" i="4"/>
  <c r="D1561" i="4"/>
  <c r="I1561" i="4" s="1"/>
  <c r="J1591" i="4"/>
  <c r="D1607" i="4"/>
  <c r="I1607" i="4" s="1"/>
  <c r="J1656" i="4"/>
  <c r="J1734" i="4"/>
  <c r="D1734" i="4"/>
  <c r="I1734" i="4" s="1"/>
  <c r="J1886" i="4"/>
  <c r="D1886" i="4"/>
  <c r="I1886" i="4" s="1"/>
  <c r="J996" i="4"/>
  <c r="J1004" i="4"/>
  <c r="J1012" i="4"/>
  <c r="J1020" i="4"/>
  <c r="J1028" i="4"/>
  <c r="J1036" i="4"/>
  <c r="J1044" i="4"/>
  <c r="J1052" i="4"/>
  <c r="J1060" i="4"/>
  <c r="J1068" i="4"/>
  <c r="J1076" i="4"/>
  <c r="J1084" i="4"/>
  <c r="J1092" i="4"/>
  <c r="J1100" i="4"/>
  <c r="J1108" i="4"/>
  <c r="J1116" i="4"/>
  <c r="J1124" i="4"/>
  <c r="J1132" i="4"/>
  <c r="J1140" i="4"/>
  <c r="J1148" i="4"/>
  <c r="J1156" i="4"/>
  <c r="J1164" i="4"/>
  <c r="J1172" i="4"/>
  <c r="J1180" i="4"/>
  <c r="J1188" i="4"/>
  <c r="J1196" i="4"/>
  <c r="J1204" i="4"/>
  <c r="J1212" i="4"/>
  <c r="J1220" i="4"/>
  <c r="J1228" i="4"/>
  <c r="J1236" i="4"/>
  <c r="D1242" i="4"/>
  <c r="I1242" i="4" s="1"/>
  <c r="J1244" i="4"/>
  <c r="D1251" i="4"/>
  <c r="I1251" i="4" s="1"/>
  <c r="D1259" i="4"/>
  <c r="I1259" i="4" s="1"/>
  <c r="D1267" i="4"/>
  <c r="I1267" i="4" s="1"/>
  <c r="D1275" i="4"/>
  <c r="I1275" i="4" s="1"/>
  <c r="D1283" i="4"/>
  <c r="I1283" i="4" s="1"/>
  <c r="I1287" i="4"/>
  <c r="D1291" i="4"/>
  <c r="I1291" i="4" s="1"/>
  <c r="D1299" i="4"/>
  <c r="I1299" i="4" s="1"/>
  <c r="D1311" i="4"/>
  <c r="I1311" i="4" s="1"/>
  <c r="D1319" i="4"/>
  <c r="I1319" i="4" s="1"/>
  <c r="D1326" i="4"/>
  <c r="I1326" i="4" s="1"/>
  <c r="D1332" i="4"/>
  <c r="I1332" i="4" s="1"/>
  <c r="D1352" i="4"/>
  <c r="I1352" i="4" s="1"/>
  <c r="D1358" i="4"/>
  <c r="I1358" i="4" s="1"/>
  <c r="D1364" i="4"/>
  <c r="I1364" i="4" s="1"/>
  <c r="D1384" i="4"/>
  <c r="I1384" i="4" s="1"/>
  <c r="D1390" i="4"/>
  <c r="I1390" i="4" s="1"/>
  <c r="D1396" i="4"/>
  <c r="I1396" i="4" s="1"/>
  <c r="D1416" i="4"/>
  <c r="I1416" i="4" s="1"/>
  <c r="D1456" i="4"/>
  <c r="I1456" i="4" s="1"/>
  <c r="D1464" i="4"/>
  <c r="I1464" i="4" s="1"/>
  <c r="D1472" i="4"/>
  <c r="I1472" i="4" s="1"/>
  <c r="D1488" i="4"/>
  <c r="I1488" i="4" s="1"/>
  <c r="I1502" i="4"/>
  <c r="D1504" i="4"/>
  <c r="I1504" i="4" s="1"/>
  <c r="D1520" i="4"/>
  <c r="I1520" i="4" s="1"/>
  <c r="D1536" i="4"/>
  <c r="I1536" i="4" s="1"/>
  <c r="D1552" i="4"/>
  <c r="I1552" i="4" s="1"/>
  <c r="D1591" i="4"/>
  <c r="I1591" i="4" s="1"/>
  <c r="J1607" i="4"/>
  <c r="J1630" i="4"/>
  <c r="D1630" i="4"/>
  <c r="I1630" i="4" s="1"/>
  <c r="D1656" i="4"/>
  <c r="I1656" i="4" s="1"/>
  <c r="D1337" i="4"/>
  <c r="I1337" i="4" s="1"/>
  <c r="D1343" i="4"/>
  <c r="I1343" i="4" s="1"/>
  <c r="D1349" i="4"/>
  <c r="I1349" i="4" s="1"/>
  <c r="J1355" i="4"/>
  <c r="D1355" i="4"/>
  <c r="I1355" i="4" s="1"/>
  <c r="D1369" i="4"/>
  <c r="I1369" i="4" s="1"/>
  <c r="D1375" i="4"/>
  <c r="I1375" i="4" s="1"/>
  <c r="D1381" i="4"/>
  <c r="I1381" i="4" s="1"/>
  <c r="J1387" i="4"/>
  <c r="D1387" i="4"/>
  <c r="I1387" i="4" s="1"/>
  <c r="D1401" i="4"/>
  <c r="I1401" i="4" s="1"/>
  <c r="D1407" i="4"/>
  <c r="I1407" i="4" s="1"/>
  <c r="D1413" i="4"/>
  <c r="I1413" i="4" s="1"/>
  <c r="D1430" i="4"/>
  <c r="I1430" i="4" s="1"/>
  <c r="D1448" i="4"/>
  <c r="I1448" i="4" s="1"/>
  <c r="J1460" i="4"/>
  <c r="D1460" i="4"/>
  <c r="I1460" i="4" s="1"/>
  <c r="J1468" i="4"/>
  <c r="D1468" i="4"/>
  <c r="I1468" i="4" s="1"/>
  <c r="D1482" i="4"/>
  <c r="I1482" i="4" s="1"/>
  <c r="D1498" i="4"/>
  <c r="I1498" i="4" s="1"/>
  <c r="D1514" i="4"/>
  <c r="I1514" i="4" s="1"/>
  <c r="D1530" i="4"/>
  <c r="I1530" i="4" s="1"/>
  <c r="D1546" i="4"/>
  <c r="I1546" i="4" s="1"/>
  <c r="D1562" i="4"/>
  <c r="I1562" i="4" s="1"/>
  <c r="J1574" i="4"/>
  <c r="D1574" i="4"/>
  <c r="I1574" i="4" s="1"/>
  <c r="D1614" i="4"/>
  <c r="I1614" i="4" s="1"/>
  <c r="D1660" i="4"/>
  <c r="I1660" i="4" s="1"/>
  <c r="J1660" i="4"/>
  <c r="J1798" i="4"/>
  <c r="D1798" i="4"/>
  <c r="I1798" i="4" s="1"/>
  <c r="D996" i="4"/>
  <c r="I996" i="4" s="1"/>
  <c r="D1004" i="4"/>
  <c r="I1004" i="4" s="1"/>
  <c r="D1012" i="4"/>
  <c r="I1012" i="4" s="1"/>
  <c r="D1020" i="4"/>
  <c r="I1020" i="4" s="1"/>
  <c r="D1028" i="4"/>
  <c r="I1028" i="4" s="1"/>
  <c r="D1036" i="4"/>
  <c r="I1036" i="4" s="1"/>
  <c r="D1044" i="4"/>
  <c r="I1044" i="4" s="1"/>
  <c r="D1052" i="4"/>
  <c r="I1052" i="4" s="1"/>
  <c r="D1060" i="4"/>
  <c r="I1060" i="4" s="1"/>
  <c r="D1068" i="4"/>
  <c r="I1068" i="4" s="1"/>
  <c r="D1076" i="4"/>
  <c r="I1076" i="4" s="1"/>
  <c r="D1084" i="4"/>
  <c r="I1084" i="4" s="1"/>
  <c r="D1092" i="4"/>
  <c r="I1092" i="4" s="1"/>
  <c r="D1100" i="4"/>
  <c r="I1100" i="4" s="1"/>
  <c r="D1108" i="4"/>
  <c r="I1108" i="4" s="1"/>
  <c r="D1116" i="4"/>
  <c r="I1116" i="4" s="1"/>
  <c r="D1124" i="4"/>
  <c r="I1124" i="4" s="1"/>
  <c r="D1132" i="4"/>
  <c r="I1132" i="4" s="1"/>
  <c r="I1135" i="4"/>
  <c r="D1140" i="4"/>
  <c r="I1140" i="4" s="1"/>
  <c r="D1148" i="4"/>
  <c r="I1148" i="4" s="1"/>
  <c r="D1156" i="4"/>
  <c r="I1156" i="4" s="1"/>
  <c r="D1164" i="4"/>
  <c r="I1164" i="4" s="1"/>
  <c r="D1172" i="4"/>
  <c r="I1172" i="4" s="1"/>
  <c r="D1180" i="4"/>
  <c r="I1180" i="4" s="1"/>
  <c r="D1188" i="4"/>
  <c r="I1188" i="4" s="1"/>
  <c r="D1196" i="4"/>
  <c r="I1196" i="4" s="1"/>
  <c r="D1204" i="4"/>
  <c r="I1204" i="4" s="1"/>
  <c r="D1212" i="4"/>
  <c r="I1212" i="4" s="1"/>
  <c r="D1220" i="4"/>
  <c r="I1220" i="4" s="1"/>
  <c r="D1228" i="4"/>
  <c r="I1228" i="4" s="1"/>
  <c r="D1236" i="4"/>
  <c r="I1236" i="4" s="1"/>
  <c r="D1244" i="4"/>
  <c r="I1244" i="4" s="1"/>
  <c r="I1256" i="4"/>
  <c r="I1288" i="4"/>
  <c r="D1328" i="4"/>
  <c r="I1328" i="4" s="1"/>
  <c r="D1334" i="4"/>
  <c r="I1334" i="4" s="1"/>
  <c r="D1340" i="4"/>
  <c r="I1340" i="4" s="1"/>
  <c r="D1360" i="4"/>
  <c r="I1360" i="4" s="1"/>
  <c r="D1366" i="4"/>
  <c r="I1366" i="4" s="1"/>
  <c r="D1372" i="4"/>
  <c r="I1372" i="4" s="1"/>
  <c r="D1392" i="4"/>
  <c r="I1392" i="4" s="1"/>
  <c r="D1398" i="4"/>
  <c r="I1398" i="4" s="1"/>
  <c r="D1404" i="4"/>
  <c r="I1404" i="4" s="1"/>
  <c r="J1433" i="4"/>
  <c r="I1453" i="4"/>
  <c r="J1453" i="4"/>
  <c r="J1456" i="4"/>
  <c r="J1458" i="4"/>
  <c r="J1466" i="4"/>
  <c r="J1477" i="4"/>
  <c r="D1477" i="4"/>
  <c r="I1477" i="4" s="1"/>
  <c r="J1493" i="4"/>
  <c r="D1493" i="4"/>
  <c r="I1493" i="4" s="1"/>
  <c r="J1509" i="4"/>
  <c r="D1509" i="4"/>
  <c r="I1509" i="4" s="1"/>
  <c r="J1525" i="4"/>
  <c r="D1525" i="4"/>
  <c r="I1525" i="4" s="1"/>
  <c r="J1541" i="4"/>
  <c r="D1541" i="4"/>
  <c r="I1541" i="4" s="1"/>
  <c r="J1557" i="4"/>
  <c r="D1557" i="4"/>
  <c r="I1557" i="4" s="1"/>
  <c r="D1610" i="4"/>
  <c r="I1610" i="4" s="1"/>
  <c r="J1610" i="4"/>
  <c r="J1614" i="4"/>
  <c r="J1718" i="4"/>
  <c r="D1718" i="4"/>
  <c r="I1718" i="4" s="1"/>
  <c r="D1309" i="4"/>
  <c r="I1309" i="4" s="1"/>
  <c r="J1309" i="4"/>
  <c r="D1317" i="4"/>
  <c r="I1317" i="4" s="1"/>
  <c r="J1317" i="4"/>
  <c r="D1325" i="4"/>
  <c r="I1325" i="4" s="1"/>
  <c r="J1329" i="4"/>
  <c r="J1331" i="4"/>
  <c r="D1331" i="4"/>
  <c r="I1331" i="4" s="1"/>
  <c r="J1335" i="4"/>
  <c r="J1341" i="4"/>
  <c r="D1345" i="4"/>
  <c r="I1345" i="4" s="1"/>
  <c r="D1351" i="4"/>
  <c r="I1351" i="4" s="1"/>
  <c r="D1357" i="4"/>
  <c r="I1357" i="4" s="1"/>
  <c r="J1361" i="4"/>
  <c r="J1363" i="4"/>
  <c r="D1363" i="4"/>
  <c r="I1363" i="4" s="1"/>
  <c r="J1367" i="4"/>
  <c r="J1373" i="4"/>
  <c r="D1377" i="4"/>
  <c r="I1377" i="4" s="1"/>
  <c r="D1383" i="4"/>
  <c r="I1383" i="4" s="1"/>
  <c r="D1389" i="4"/>
  <c r="I1389" i="4" s="1"/>
  <c r="J1393" i="4"/>
  <c r="J1395" i="4"/>
  <c r="D1395" i="4"/>
  <c r="I1395" i="4" s="1"/>
  <c r="J1399" i="4"/>
  <c r="J1405" i="4"/>
  <c r="D1409" i="4"/>
  <c r="I1409" i="4" s="1"/>
  <c r="D1415" i="4"/>
  <c r="I1415" i="4" s="1"/>
  <c r="J1432" i="4"/>
  <c r="D1432" i="4"/>
  <c r="I1432" i="4" s="1"/>
  <c r="D1437" i="4"/>
  <c r="I1437" i="4" s="1"/>
  <c r="J1437" i="4"/>
  <c r="J1473" i="4"/>
  <c r="D1473" i="4"/>
  <c r="I1473" i="4" s="1"/>
  <c r="J1484" i="4"/>
  <c r="D1484" i="4"/>
  <c r="I1484" i="4" s="1"/>
  <c r="J1489" i="4"/>
  <c r="D1489" i="4"/>
  <c r="I1489" i="4" s="1"/>
  <c r="J1500" i="4"/>
  <c r="D1500" i="4"/>
  <c r="I1500" i="4" s="1"/>
  <c r="J1505" i="4"/>
  <c r="D1505" i="4"/>
  <c r="I1505" i="4" s="1"/>
  <c r="J1516" i="4"/>
  <c r="D1516" i="4"/>
  <c r="I1516" i="4" s="1"/>
  <c r="J1521" i="4"/>
  <c r="D1521" i="4"/>
  <c r="I1521" i="4" s="1"/>
  <c r="J1532" i="4"/>
  <c r="D1532" i="4"/>
  <c r="I1532" i="4" s="1"/>
  <c r="J1537" i="4"/>
  <c r="D1537" i="4"/>
  <c r="I1537" i="4" s="1"/>
  <c r="J1548" i="4"/>
  <c r="D1548" i="4"/>
  <c r="I1548" i="4" s="1"/>
  <c r="J1553" i="4"/>
  <c r="D1553" i="4"/>
  <c r="I1553" i="4" s="1"/>
  <c r="J1575" i="4"/>
  <c r="I1575" i="4"/>
  <c r="J1597" i="4"/>
  <c r="D1597" i="4"/>
  <c r="I1597" i="4" s="1"/>
  <c r="D1602" i="4"/>
  <c r="I1602" i="4" s="1"/>
  <c r="J1602" i="4"/>
  <c r="J1605" i="4"/>
  <c r="D1605" i="4"/>
  <c r="I1605" i="4" s="1"/>
  <c r="J1710" i="4"/>
  <c r="D1710" i="4"/>
  <c r="I1710" i="4" s="1"/>
  <c r="J1846" i="4"/>
  <c r="D1846" i="4"/>
  <c r="I1846" i="4" s="1"/>
  <c r="D1863" i="4"/>
  <c r="I1863" i="4" s="1"/>
  <c r="J1863" i="4"/>
  <c r="D1336" i="4"/>
  <c r="I1336" i="4" s="1"/>
  <c r="D1342" i="4"/>
  <c r="I1342" i="4" s="1"/>
  <c r="D1348" i="4"/>
  <c r="I1348" i="4" s="1"/>
  <c r="D1368" i="4"/>
  <c r="I1368" i="4" s="1"/>
  <c r="D1374" i="4"/>
  <c r="I1374" i="4" s="1"/>
  <c r="D1380" i="4"/>
  <c r="I1380" i="4" s="1"/>
  <c r="D1400" i="4"/>
  <c r="I1400" i="4" s="1"/>
  <c r="D1406" i="4"/>
  <c r="I1406" i="4" s="1"/>
  <c r="D1412" i="4"/>
  <c r="I1412" i="4" s="1"/>
  <c r="D1421" i="4"/>
  <c r="I1421" i="4" s="1"/>
  <c r="D1455" i="4"/>
  <c r="I1455" i="4" s="1"/>
  <c r="D1457" i="4"/>
  <c r="I1457" i="4" s="1"/>
  <c r="D1463" i="4"/>
  <c r="I1463" i="4" s="1"/>
  <c r="D1465" i="4"/>
  <c r="I1465" i="4" s="1"/>
  <c r="D1480" i="4"/>
  <c r="I1480" i="4" s="1"/>
  <c r="D1496" i="4"/>
  <c r="I1496" i="4" s="1"/>
  <c r="D1512" i="4"/>
  <c r="I1512" i="4" s="1"/>
  <c r="D1528" i="4"/>
  <c r="I1528" i="4" s="1"/>
  <c r="D1544" i="4"/>
  <c r="I1544" i="4" s="1"/>
  <c r="I1558" i="4"/>
  <c r="D1560" i="4"/>
  <c r="I1560" i="4" s="1"/>
  <c r="J1583" i="4"/>
  <c r="I1583" i="4"/>
  <c r="J1585" i="4"/>
  <c r="D1585" i="4"/>
  <c r="I1585" i="4" s="1"/>
  <c r="I1606" i="4"/>
  <c r="J1606" i="4"/>
  <c r="J1658" i="4"/>
  <c r="I1658" i="4"/>
  <c r="J1678" i="4"/>
  <c r="I1678" i="4"/>
  <c r="J1683" i="4"/>
  <c r="D1683" i="4"/>
  <c r="I1683" i="4" s="1"/>
  <c r="J1694" i="4"/>
  <c r="D1694" i="4"/>
  <c r="I1694" i="4" s="1"/>
  <c r="J1743" i="4"/>
  <c r="D1743" i="4"/>
  <c r="I1743" i="4" s="1"/>
  <c r="J1807" i="4"/>
  <c r="D1807" i="4"/>
  <c r="I1807" i="4" s="1"/>
  <c r="J1854" i="4"/>
  <c r="I1854" i="4"/>
  <c r="D1927" i="4"/>
  <c r="I1927" i="4" s="1"/>
  <c r="I1324" i="4"/>
  <c r="D1449" i="4"/>
  <c r="I1449" i="4" s="1"/>
  <c r="I1638" i="4"/>
  <c r="J1638" i="4"/>
  <c r="I1679" i="4"/>
  <c r="J1679" i="4"/>
  <c r="J1927" i="4"/>
  <c r="J1420" i="4"/>
  <c r="I1420" i="4"/>
  <c r="J1584" i="4"/>
  <c r="J1592" i="4"/>
  <c r="I1592" i="4"/>
  <c r="D1634" i="4"/>
  <c r="I1634" i="4" s="1"/>
  <c r="J1634" i="4"/>
  <c r="D1642" i="4"/>
  <c r="I1642" i="4" s="1"/>
  <c r="J1642" i="4"/>
  <c r="J1653" i="4"/>
  <c r="I1653" i="4"/>
  <c r="I1712" i="4"/>
  <c r="D1744" i="4"/>
  <c r="I1744" i="4" s="1"/>
  <c r="J1744" i="4"/>
  <c r="D1763" i="4"/>
  <c r="I1763" i="4" s="1"/>
  <c r="J1763" i="4"/>
  <c r="D1784" i="4"/>
  <c r="I1784" i="4" s="1"/>
  <c r="J1910" i="4"/>
  <c r="D1910" i="4"/>
  <c r="I1910" i="4" s="1"/>
  <c r="J1566" i="4"/>
  <c r="J1581" i="4"/>
  <c r="J1589" i="4"/>
  <c r="D1589" i="4"/>
  <c r="I1589" i="4" s="1"/>
  <c r="J1615" i="4"/>
  <c r="J1639" i="4"/>
  <c r="J1655" i="4"/>
  <c r="J1675" i="4"/>
  <c r="D1675" i="4"/>
  <c r="I1675" i="4" s="1"/>
  <c r="J1687" i="4"/>
  <c r="J1702" i="4"/>
  <c r="D1702" i="4"/>
  <c r="I1702" i="4" s="1"/>
  <c r="D1760" i="4"/>
  <c r="I1760" i="4" s="1"/>
  <c r="J1760" i="4"/>
  <c r="D1895" i="4"/>
  <c r="I1895" i="4" s="1"/>
  <c r="J1942" i="4"/>
  <c r="D1942" i="4"/>
  <c r="I1942" i="4" s="1"/>
  <c r="J1948" i="4"/>
  <c r="D1948" i="4"/>
  <c r="I1948" i="4" s="1"/>
  <c r="J1954" i="4"/>
  <c r="D1954" i="4"/>
  <c r="I1954" i="4" s="1"/>
  <c r="J1436" i="4"/>
  <c r="I1436" i="4"/>
  <c r="D1471" i="4"/>
  <c r="I1471" i="4" s="1"/>
  <c r="D1479" i="4"/>
  <c r="I1479" i="4" s="1"/>
  <c r="D1487" i="4"/>
  <c r="I1487" i="4" s="1"/>
  <c r="D1495" i="4"/>
  <c r="I1495" i="4" s="1"/>
  <c r="D1503" i="4"/>
  <c r="I1503" i="4" s="1"/>
  <c r="D1511" i="4"/>
  <c r="I1511" i="4" s="1"/>
  <c r="D1519" i="4"/>
  <c r="I1519" i="4" s="1"/>
  <c r="D1527" i="4"/>
  <c r="I1527" i="4" s="1"/>
  <c r="D1535" i="4"/>
  <c r="I1535" i="4" s="1"/>
  <c r="D1543" i="4"/>
  <c r="I1543" i="4" s="1"/>
  <c r="D1551" i="4"/>
  <c r="I1551" i="4" s="1"/>
  <c r="D1559" i="4"/>
  <c r="I1559" i="4" s="1"/>
  <c r="D1566" i="4"/>
  <c r="I1566" i="4" s="1"/>
  <c r="D1570" i="4"/>
  <c r="I1570" i="4" s="1"/>
  <c r="J1573" i="4"/>
  <c r="I1573" i="4"/>
  <c r="D1576" i="4"/>
  <c r="I1576" i="4" s="1"/>
  <c r="D1581" i="4"/>
  <c r="I1581" i="4" s="1"/>
  <c r="D1598" i="4"/>
  <c r="I1598" i="4" s="1"/>
  <c r="D1615" i="4"/>
  <c r="I1615" i="4" s="1"/>
  <c r="D1624" i="4"/>
  <c r="I1624" i="4" s="1"/>
  <c r="J1624" i="4"/>
  <c r="D1639" i="4"/>
  <c r="I1639" i="4" s="1"/>
  <c r="D1648" i="4"/>
  <c r="I1648" i="4" s="1"/>
  <c r="J1648" i="4"/>
  <c r="D1655" i="4"/>
  <c r="I1655" i="4" s="1"/>
  <c r="I1672" i="4"/>
  <c r="D1687" i="4"/>
  <c r="I1687" i="4" s="1"/>
  <c r="I1696" i="4"/>
  <c r="J1726" i="4"/>
  <c r="D1726" i="4"/>
  <c r="I1726" i="4" s="1"/>
  <c r="J1784" i="4"/>
  <c r="J1895" i="4"/>
  <c r="D1943" i="4"/>
  <c r="I1943" i="4" s="1"/>
  <c r="J1943" i="4"/>
  <c r="J1949" i="4"/>
  <c r="D1949" i="4"/>
  <c r="I1949" i="4" s="1"/>
  <c r="J1955" i="4"/>
  <c r="D1955" i="4"/>
  <c r="I1955" i="4" s="1"/>
  <c r="J1961" i="4"/>
  <c r="D1961" i="4"/>
  <c r="I1961" i="4" s="1"/>
  <c r="D1618" i="4"/>
  <c r="I1618" i="4" s="1"/>
  <c r="J1618" i="4"/>
  <c r="D1632" i="4"/>
  <c r="I1632" i="4" s="1"/>
  <c r="J1637" i="4"/>
  <c r="D1650" i="4"/>
  <c r="I1650" i="4" s="1"/>
  <c r="J1650" i="4"/>
  <c r="J1657" i="4"/>
  <c r="J1686" i="4"/>
  <c r="J1691" i="4"/>
  <c r="D1691" i="4"/>
  <c r="I1691" i="4" s="1"/>
  <c r="J1695" i="4"/>
  <c r="J1739" i="4"/>
  <c r="D1739" i="4"/>
  <c r="I1739" i="4" s="1"/>
  <c r="J1766" i="4"/>
  <c r="D1771" i="4"/>
  <c r="I1771" i="4" s="1"/>
  <c r="J1771" i="4"/>
  <c r="J1782" i="4"/>
  <c r="J1822" i="4"/>
  <c r="J1969" i="4"/>
  <c r="D1969" i="4"/>
  <c r="I1969" i="4" s="1"/>
  <c r="D1578" i="4"/>
  <c r="I1578" i="4" s="1"/>
  <c r="D1623" i="4"/>
  <c r="I1623" i="4" s="1"/>
  <c r="D1637" i="4"/>
  <c r="I1637" i="4" s="1"/>
  <c r="D1646" i="4"/>
  <c r="I1646" i="4" s="1"/>
  <c r="J1654" i="4"/>
  <c r="I1654" i="4"/>
  <c r="D1657" i="4"/>
  <c r="I1657" i="4" s="1"/>
  <c r="D1686" i="4"/>
  <c r="I1686" i="4" s="1"/>
  <c r="D1695" i="4"/>
  <c r="I1695" i="4" s="1"/>
  <c r="I1703" i="4"/>
  <c r="J1703" i="4"/>
  <c r="I1711" i="4"/>
  <c r="J1711" i="4"/>
  <c r="I1719" i="4"/>
  <c r="J1719" i="4"/>
  <c r="I1727" i="4"/>
  <c r="J1727" i="4"/>
  <c r="I1735" i="4"/>
  <c r="J1735" i="4"/>
  <c r="D1740" i="4"/>
  <c r="I1740" i="4" s="1"/>
  <c r="J1740" i="4"/>
  <c r="I1751" i="4"/>
  <c r="J1751" i="4"/>
  <c r="D1766" i="4"/>
  <c r="I1766" i="4" s="1"/>
  <c r="D1782" i="4"/>
  <c r="I1782" i="4" s="1"/>
  <c r="D1800" i="4"/>
  <c r="I1800" i="4" s="1"/>
  <c r="D1822" i="4"/>
  <c r="I1822" i="4" s="1"/>
  <c r="D1831" i="4"/>
  <c r="I1831" i="4" s="1"/>
  <c r="J1831" i="4"/>
  <c r="D1586" i="4"/>
  <c r="I1586" i="4" s="1"/>
  <c r="D1594" i="4"/>
  <c r="I1594" i="4" s="1"/>
  <c r="J1594" i="4"/>
  <c r="D1608" i="4"/>
  <c r="I1608" i="4" s="1"/>
  <c r="J1613" i="4"/>
  <c r="I1613" i="4"/>
  <c r="D1626" i="4"/>
  <c r="I1626" i="4" s="1"/>
  <c r="J1626" i="4"/>
  <c r="D1640" i="4"/>
  <c r="I1640" i="4" s="1"/>
  <c r="J1645" i="4"/>
  <c r="I1645" i="4"/>
  <c r="J1659" i="4"/>
  <c r="J1662" i="4"/>
  <c r="I1662" i="4"/>
  <c r="J1774" i="4"/>
  <c r="D1774" i="4"/>
  <c r="I1774" i="4" s="1"/>
  <c r="J1814" i="4"/>
  <c r="I1814" i="4"/>
  <c r="J1918" i="4"/>
  <c r="I1918" i="4"/>
  <c r="J1947" i="4"/>
  <c r="D1947" i="4"/>
  <c r="I1947" i="4" s="1"/>
  <c r="J1953" i="4"/>
  <c r="D1953" i="4"/>
  <c r="I1953" i="4" s="1"/>
  <c r="J2009" i="4"/>
  <c r="D2009" i="4"/>
  <c r="I2009" i="4" s="1"/>
  <c r="D1676" i="4"/>
  <c r="I1676" i="4" s="1"/>
  <c r="D1684" i="4"/>
  <c r="I1684" i="4" s="1"/>
  <c r="D1692" i="4"/>
  <c r="I1692" i="4" s="1"/>
  <c r="D1700" i="4"/>
  <c r="I1700" i="4" s="1"/>
  <c r="D1708" i="4"/>
  <c r="I1708" i="4" s="1"/>
  <c r="D1716" i="4"/>
  <c r="I1716" i="4" s="1"/>
  <c r="D1724" i="4"/>
  <c r="I1724" i="4" s="1"/>
  <c r="D1732" i="4"/>
  <c r="I1732" i="4" s="1"/>
  <c r="J1747" i="4"/>
  <c r="I1747" i="4"/>
  <c r="I1759" i="4"/>
  <c r="D1855" i="4"/>
  <c r="I1855" i="4" s="1"/>
  <c r="D1887" i="4"/>
  <c r="I1887" i="4" s="1"/>
  <c r="D1919" i="4"/>
  <c r="I1919" i="4" s="1"/>
  <c r="J1950" i="4"/>
  <c r="D1950" i="4"/>
  <c r="I1950" i="4" s="1"/>
  <c r="J1956" i="4"/>
  <c r="D1956" i="4"/>
  <c r="I1956" i="4" s="1"/>
  <c r="D1980" i="4"/>
  <c r="I1980" i="4" s="1"/>
  <c r="J1980" i="4"/>
  <c r="J2001" i="4"/>
  <c r="D2001" i="4"/>
  <c r="I2001" i="4" s="1"/>
  <c r="J1699" i="4"/>
  <c r="J1707" i="4"/>
  <c r="J1715" i="4"/>
  <c r="J1723" i="4"/>
  <c r="J1731" i="4"/>
  <c r="J1742" i="4"/>
  <c r="J1750" i="4"/>
  <c r="D1776" i="4"/>
  <c r="I1776" i="4" s="1"/>
  <c r="J1790" i="4"/>
  <c r="D1792" i="4"/>
  <c r="I1792" i="4" s="1"/>
  <c r="J1806" i="4"/>
  <c r="D1808" i="4"/>
  <c r="I1808" i="4" s="1"/>
  <c r="D1823" i="4"/>
  <c r="I1823" i="4" s="1"/>
  <c r="J1838" i="4"/>
  <c r="J1870" i="4"/>
  <c r="J1902" i="4"/>
  <c r="J1934" i="4"/>
  <c r="D1951" i="4"/>
  <c r="I1951" i="4" s="1"/>
  <c r="J1951" i="4"/>
  <c r="J1957" i="4"/>
  <c r="D1957" i="4"/>
  <c r="I1957" i="4" s="1"/>
  <c r="J1663" i="4"/>
  <c r="J1668" i="4"/>
  <c r="D1699" i="4"/>
  <c r="I1699" i="4" s="1"/>
  <c r="D1707" i="4"/>
  <c r="I1707" i="4" s="1"/>
  <c r="D1715" i="4"/>
  <c r="I1715" i="4" s="1"/>
  <c r="D1723" i="4"/>
  <c r="I1723" i="4" s="1"/>
  <c r="D1731" i="4"/>
  <c r="I1731" i="4" s="1"/>
  <c r="D1742" i="4"/>
  <c r="I1742" i="4" s="1"/>
  <c r="D1750" i="4"/>
  <c r="I1750" i="4" s="1"/>
  <c r="D1783" i="4"/>
  <c r="I1783" i="4" s="1"/>
  <c r="D1790" i="4"/>
  <c r="I1790" i="4" s="1"/>
  <c r="D1799" i="4"/>
  <c r="I1799" i="4" s="1"/>
  <c r="D1806" i="4"/>
  <c r="I1806" i="4" s="1"/>
  <c r="D1815" i="4"/>
  <c r="I1815" i="4" s="1"/>
  <c r="J1823" i="4"/>
  <c r="D1838" i="4"/>
  <c r="I1838" i="4" s="1"/>
  <c r="D1847" i="4"/>
  <c r="I1847" i="4" s="1"/>
  <c r="D1870" i="4"/>
  <c r="I1870" i="4" s="1"/>
  <c r="D1879" i="4"/>
  <c r="I1879" i="4" s="1"/>
  <c r="D1902" i="4"/>
  <c r="I1902" i="4" s="1"/>
  <c r="D1911" i="4"/>
  <c r="I1911" i="4" s="1"/>
  <c r="D1934" i="4"/>
  <c r="I1934" i="4" s="1"/>
  <c r="J1958" i="4"/>
  <c r="D1958" i="4"/>
  <c r="I1958" i="4" s="1"/>
  <c r="D1673" i="4"/>
  <c r="I1673" i="4" s="1"/>
  <c r="D1681" i="4"/>
  <c r="I1681" i="4" s="1"/>
  <c r="D1689" i="4"/>
  <c r="I1689" i="4" s="1"/>
  <c r="D1697" i="4"/>
  <c r="I1697" i="4" s="1"/>
  <c r="D1705" i="4"/>
  <c r="I1705" i="4" s="1"/>
  <c r="D1713" i="4"/>
  <c r="I1713" i="4" s="1"/>
  <c r="D1721" i="4"/>
  <c r="I1721" i="4" s="1"/>
  <c r="D1729" i="4"/>
  <c r="I1729" i="4" s="1"/>
  <c r="D1752" i="4"/>
  <c r="I1752" i="4" s="1"/>
  <c r="D1755" i="4"/>
  <c r="I1755" i="4" s="1"/>
  <c r="J1755" i="4"/>
  <c r="J1758" i="4"/>
  <c r="I1758" i="4"/>
  <c r="J1759" i="4"/>
  <c r="D1767" i="4"/>
  <c r="I1767" i="4" s="1"/>
  <c r="J1776" i="4"/>
  <c r="J1783" i="4"/>
  <c r="J1792" i="4"/>
  <c r="J1799" i="4"/>
  <c r="J1808" i="4"/>
  <c r="J1815" i="4"/>
  <c r="J1847" i="4"/>
  <c r="J1862" i="4"/>
  <c r="I1862" i="4"/>
  <c r="J1879" i="4"/>
  <c r="J1894" i="4"/>
  <c r="I1894" i="4"/>
  <c r="J1911" i="4"/>
  <c r="J1926" i="4"/>
  <c r="I1926" i="4"/>
  <c r="J1945" i="4"/>
  <c r="D1945" i="4"/>
  <c r="I1945" i="4" s="1"/>
  <c r="D1959" i="4"/>
  <c r="I1959" i="4" s="1"/>
  <c r="J1959" i="4"/>
  <c r="D1736" i="4"/>
  <c r="I1736" i="4" s="1"/>
  <c r="I1775" i="4"/>
  <c r="J1830" i="4"/>
  <c r="I1830" i="4"/>
  <c r="D1839" i="4"/>
  <c r="I1839" i="4" s="1"/>
  <c r="D1871" i="4"/>
  <c r="I1871" i="4" s="1"/>
  <c r="D1903" i="4"/>
  <c r="I1903" i="4" s="1"/>
  <c r="D1935" i="4"/>
  <c r="I1935" i="4" s="1"/>
  <c r="J1946" i="4"/>
  <c r="D1946" i="4"/>
  <c r="I1946" i="4" s="1"/>
  <c r="J2055" i="4"/>
  <c r="D2055" i="4"/>
  <c r="I2055" i="4" s="1"/>
  <c r="J2030" i="4"/>
  <c r="D2030" i="4"/>
  <c r="I2030" i="4" s="1"/>
  <c r="J2193" i="4"/>
  <c r="D1967" i="4"/>
  <c r="I1967" i="4" s="1"/>
  <c r="J1967" i="4"/>
  <c r="D1975" i="4"/>
  <c r="I1975" i="4" s="1"/>
  <c r="J1975" i="4"/>
  <c r="D1983" i="4"/>
  <c r="I1983" i="4" s="1"/>
  <c r="J1983" i="4"/>
  <c r="J1999" i="4"/>
  <c r="J2007" i="4"/>
  <c r="J2031" i="4"/>
  <c r="D2080" i="4"/>
  <c r="I2080" i="4" s="1"/>
  <c r="J2080" i="4"/>
  <c r="J2087" i="4"/>
  <c r="D2087" i="4"/>
  <c r="I2087" i="4" s="1"/>
  <c r="D2112" i="4"/>
  <c r="I2112" i="4" s="1"/>
  <c r="J2112" i="4"/>
  <c r="J2119" i="4"/>
  <c r="D2119" i="4"/>
  <c r="I2119" i="4" s="1"/>
  <c r="D2193" i="4"/>
  <c r="I2193" i="4" s="1"/>
  <c r="D1824" i="4"/>
  <c r="I1824" i="4" s="1"/>
  <c r="D1832" i="4"/>
  <c r="I1832" i="4" s="1"/>
  <c r="D1840" i="4"/>
  <c r="I1840" i="4" s="1"/>
  <c r="I1843" i="4"/>
  <c r="D1848" i="4"/>
  <c r="I1848" i="4" s="1"/>
  <c r="I1851" i="4"/>
  <c r="D1856" i="4"/>
  <c r="I1856" i="4" s="1"/>
  <c r="I1859" i="4"/>
  <c r="D1864" i="4"/>
  <c r="I1864" i="4" s="1"/>
  <c r="I1867" i="4"/>
  <c r="D1872" i="4"/>
  <c r="I1872" i="4" s="1"/>
  <c r="I1875" i="4"/>
  <c r="D1880" i="4"/>
  <c r="I1880" i="4" s="1"/>
  <c r="I1883" i="4"/>
  <c r="D1888" i="4"/>
  <c r="I1888" i="4" s="1"/>
  <c r="I1891" i="4"/>
  <c r="D1896" i="4"/>
  <c r="I1896" i="4" s="1"/>
  <c r="I1899" i="4"/>
  <c r="D1904" i="4"/>
  <c r="I1904" i="4" s="1"/>
  <c r="I1907" i="4"/>
  <c r="D1912" i="4"/>
  <c r="I1912" i="4" s="1"/>
  <c r="I1915" i="4"/>
  <c r="D1920" i="4"/>
  <c r="I1920" i="4" s="1"/>
  <c r="I1923" i="4"/>
  <c r="D1928" i="4"/>
  <c r="I1928" i="4" s="1"/>
  <c r="I1931" i="4"/>
  <c r="D1936" i="4"/>
  <c r="I1936" i="4" s="1"/>
  <c r="I1939" i="4"/>
  <c r="J1963" i="4"/>
  <c r="J1971" i="4"/>
  <c r="D1979" i="4"/>
  <c r="I1979" i="4" s="1"/>
  <c r="J1985" i="4"/>
  <c r="D1987" i="4"/>
  <c r="I1987" i="4" s="1"/>
  <c r="J1994" i="4"/>
  <c r="D1999" i="4"/>
  <c r="I1999" i="4" s="1"/>
  <c r="J2002" i="4"/>
  <c r="D2007" i="4"/>
  <c r="I2007" i="4" s="1"/>
  <c r="J2010" i="4"/>
  <c r="D2031" i="4"/>
  <c r="I2031" i="4" s="1"/>
  <c r="J2094" i="4"/>
  <c r="D2094" i="4"/>
  <c r="I2094" i="4" s="1"/>
  <c r="J2126" i="4"/>
  <c r="D2126" i="4"/>
  <c r="I2126" i="4" s="1"/>
  <c r="D1737" i="4"/>
  <c r="I1737" i="4" s="1"/>
  <c r="D1745" i="4"/>
  <c r="I1745" i="4" s="1"/>
  <c r="D1753" i="4"/>
  <c r="I1753" i="4" s="1"/>
  <c r="D1761" i="4"/>
  <c r="I1761" i="4" s="1"/>
  <c r="D1769" i="4"/>
  <c r="I1769" i="4" s="1"/>
  <c r="D1777" i="4"/>
  <c r="I1777" i="4" s="1"/>
  <c r="J1779" i="4"/>
  <c r="D1785" i="4"/>
  <c r="I1785" i="4" s="1"/>
  <c r="J1787" i="4"/>
  <c r="I1788" i="4"/>
  <c r="D1793" i="4"/>
  <c r="I1793" i="4" s="1"/>
  <c r="J1795" i="4"/>
  <c r="D1801" i="4"/>
  <c r="I1801" i="4" s="1"/>
  <c r="J1803" i="4"/>
  <c r="D1809" i="4"/>
  <c r="I1809" i="4" s="1"/>
  <c r="J1811" i="4"/>
  <c r="I1812" i="4"/>
  <c r="D1817" i="4"/>
  <c r="I1817" i="4" s="1"/>
  <c r="J1819" i="4"/>
  <c r="I1820" i="4"/>
  <c r="D1825" i="4"/>
  <c r="I1825" i="4" s="1"/>
  <c r="J1827" i="4"/>
  <c r="I1828" i="4"/>
  <c r="D1833" i="4"/>
  <c r="I1833" i="4" s="1"/>
  <c r="J1835" i="4"/>
  <c r="I1836" i="4"/>
  <c r="D1841" i="4"/>
  <c r="I1841" i="4" s="1"/>
  <c r="J1843" i="4"/>
  <c r="I1844" i="4"/>
  <c r="D1849" i="4"/>
  <c r="I1849" i="4" s="1"/>
  <c r="J1851" i="4"/>
  <c r="I1852" i="4"/>
  <c r="D1857" i="4"/>
  <c r="I1857" i="4" s="1"/>
  <c r="J1859" i="4"/>
  <c r="I1860" i="4"/>
  <c r="D1865" i="4"/>
  <c r="I1865" i="4" s="1"/>
  <c r="J1867" i="4"/>
  <c r="I1868" i="4"/>
  <c r="D1873" i="4"/>
  <c r="I1873" i="4" s="1"/>
  <c r="J1875" i="4"/>
  <c r="I1876" i="4"/>
  <c r="D1881" i="4"/>
  <c r="I1881" i="4" s="1"/>
  <c r="J1883" i="4"/>
  <c r="I1884" i="4"/>
  <c r="D1889" i="4"/>
  <c r="I1889" i="4" s="1"/>
  <c r="J1891" i="4"/>
  <c r="I1892" i="4"/>
  <c r="D1897" i="4"/>
  <c r="I1897" i="4" s="1"/>
  <c r="J1899" i="4"/>
  <c r="I1900" i="4"/>
  <c r="D1905" i="4"/>
  <c r="I1905" i="4" s="1"/>
  <c r="J1907" i="4"/>
  <c r="I1908" i="4"/>
  <c r="D1913" i="4"/>
  <c r="I1913" i="4" s="1"/>
  <c r="J1915" i="4"/>
  <c r="I1916" i="4"/>
  <c r="D1921" i="4"/>
  <c r="I1921" i="4" s="1"/>
  <c r="J1923" i="4"/>
  <c r="I1924" i="4"/>
  <c r="D1929" i="4"/>
  <c r="I1929" i="4" s="1"/>
  <c r="J1931" i="4"/>
  <c r="I1932" i="4"/>
  <c r="J1939" i="4"/>
  <c r="I1940" i="4"/>
  <c r="I1978" i="4"/>
  <c r="D1985" i="4"/>
  <c r="I1985" i="4" s="1"/>
  <c r="D1994" i="4"/>
  <c r="I1994" i="4" s="1"/>
  <c r="J1997" i="4"/>
  <c r="I1997" i="4"/>
  <c r="D2002" i="4"/>
  <c r="I2002" i="4" s="1"/>
  <c r="J2005" i="4"/>
  <c r="I2005" i="4"/>
  <c r="D2010" i="4"/>
  <c r="I2010" i="4" s="1"/>
  <c r="J2048" i="4"/>
  <c r="D2048" i="4"/>
  <c r="I2048" i="4" s="1"/>
  <c r="D2151" i="4"/>
  <c r="I2151" i="4" s="1"/>
  <c r="J2151" i="4"/>
  <c r="J1836" i="4"/>
  <c r="J1844" i="4"/>
  <c r="J1852" i="4"/>
  <c r="J1860" i="4"/>
  <c r="J1868" i="4"/>
  <c r="J1876" i="4"/>
  <c r="J1884" i="4"/>
  <c r="J1892" i="4"/>
  <c r="J1900" i="4"/>
  <c r="J1908" i="4"/>
  <c r="J1916" i="4"/>
  <c r="J1924" i="4"/>
  <c r="J1932" i="4"/>
  <c r="J1940" i="4"/>
  <c r="J1987" i="4"/>
  <c r="J2000" i="4"/>
  <c r="I2000" i="4"/>
  <c r="J2008" i="4"/>
  <c r="I2008" i="4"/>
  <c r="J2013" i="4"/>
  <c r="I2013" i="4"/>
  <c r="J2049" i="4"/>
  <c r="I2049" i="4"/>
  <c r="D1779" i="4"/>
  <c r="I1779" i="4" s="1"/>
  <c r="D1787" i="4"/>
  <c r="I1787" i="4" s="1"/>
  <c r="D1795" i="4"/>
  <c r="I1795" i="4" s="1"/>
  <c r="D1803" i="4"/>
  <c r="I1803" i="4" s="1"/>
  <c r="D1811" i="4"/>
  <c r="I1811" i="4" s="1"/>
  <c r="D1819" i="4"/>
  <c r="I1819" i="4" s="1"/>
  <c r="D1827" i="4"/>
  <c r="I1827" i="4" s="1"/>
  <c r="D1835" i="4"/>
  <c r="I1835" i="4" s="1"/>
  <c r="J1977" i="4"/>
  <c r="J1979" i="4"/>
  <c r="D1995" i="4"/>
  <c r="I1995" i="4" s="1"/>
  <c r="J1995" i="4"/>
  <c r="D2003" i="4"/>
  <c r="I2003" i="4" s="1"/>
  <c r="J2003" i="4"/>
  <c r="J2021" i="4"/>
  <c r="D2021" i="4"/>
  <c r="I2021" i="4" s="1"/>
  <c r="J2039" i="4"/>
  <c r="D2039" i="4"/>
  <c r="I2039" i="4" s="1"/>
  <c r="D2096" i="4"/>
  <c r="I2096" i="4" s="1"/>
  <c r="J2096" i="4"/>
  <c r="J2103" i="4"/>
  <c r="D2103" i="4"/>
  <c r="I2103" i="4" s="1"/>
  <c r="D2128" i="4"/>
  <c r="I2128" i="4" s="1"/>
  <c r="J2128" i="4"/>
  <c r="J2135" i="4"/>
  <c r="D2135" i="4"/>
  <c r="I2135" i="4" s="1"/>
  <c r="J2142" i="4"/>
  <c r="D2283" i="4"/>
  <c r="I2283" i="4" s="1"/>
  <c r="J2283" i="4"/>
  <c r="D1977" i="4"/>
  <c r="I1977" i="4" s="1"/>
  <c r="I1986" i="4"/>
  <c r="J1993" i="4"/>
  <c r="I1993" i="4"/>
  <c r="I1998" i="4"/>
  <c r="J1998" i="4"/>
  <c r="I2006" i="4"/>
  <c r="J2006" i="4"/>
  <c r="I2022" i="4"/>
  <c r="J2022" i="4"/>
  <c r="J2040" i="4"/>
  <c r="I2040" i="4"/>
  <c r="J2063" i="4"/>
  <c r="D2063" i="4"/>
  <c r="I2063" i="4" s="1"/>
  <c r="D2072" i="4"/>
  <c r="I2072" i="4" s="1"/>
  <c r="J2072" i="4"/>
  <c r="J2078" i="4"/>
  <c r="D2078" i="4"/>
  <c r="I2078" i="4" s="1"/>
  <c r="J2110" i="4"/>
  <c r="D2110" i="4"/>
  <c r="I2110" i="4" s="1"/>
  <c r="D2142" i="4"/>
  <c r="I2142" i="4" s="1"/>
  <c r="J2274" i="4"/>
  <c r="I2274" i="4"/>
  <c r="J2029" i="4"/>
  <c r="J2069" i="4"/>
  <c r="J2173" i="4"/>
  <c r="D2173" i="4"/>
  <c r="I2173" i="4" s="1"/>
  <c r="D2219" i="4"/>
  <c r="I2219" i="4" s="1"/>
  <c r="J2219" i="4"/>
  <c r="J2278" i="4"/>
  <c r="D2278" i="4"/>
  <c r="I2278" i="4" s="1"/>
  <c r="D2018" i="4"/>
  <c r="I2018" i="4" s="1"/>
  <c r="D2029" i="4"/>
  <c r="I2029" i="4" s="1"/>
  <c r="J2037" i="4"/>
  <c r="I2037" i="4"/>
  <c r="D2038" i="4"/>
  <c r="I2038" i="4" s="1"/>
  <c r="I2046" i="4"/>
  <c r="D2047" i="4"/>
  <c r="I2047" i="4" s="1"/>
  <c r="D2054" i="4"/>
  <c r="I2054" i="4" s="1"/>
  <c r="D2069" i="4"/>
  <c r="I2069" i="4" s="1"/>
  <c r="D2174" i="4"/>
  <c r="I2174" i="4" s="1"/>
  <c r="J2174" i="4"/>
  <c r="D2267" i="4"/>
  <c r="I2267" i="4" s="1"/>
  <c r="J2267" i="4"/>
  <c r="J2306" i="4"/>
  <c r="D2306" i="4"/>
  <c r="I2306" i="4" s="1"/>
  <c r="D1988" i="4"/>
  <c r="I1988" i="4" s="1"/>
  <c r="I1991" i="4"/>
  <c r="D2026" i="4"/>
  <c r="I2026" i="4" s="1"/>
  <c r="J2045" i="4"/>
  <c r="J2053" i="4"/>
  <c r="D2057" i="4"/>
  <c r="I2057" i="4" s="1"/>
  <c r="J2158" i="4"/>
  <c r="J2202" i="4"/>
  <c r="D2202" i="4"/>
  <c r="I2202" i="4" s="1"/>
  <c r="J2307" i="4"/>
  <c r="D2307" i="4"/>
  <c r="I2307" i="4" s="1"/>
  <c r="J1991" i="4"/>
  <c r="D2017" i="4"/>
  <c r="I2017" i="4" s="1"/>
  <c r="D2034" i="4"/>
  <c r="I2034" i="4" s="1"/>
  <c r="D2045" i="4"/>
  <c r="I2045" i="4" s="1"/>
  <c r="D2053" i="4"/>
  <c r="I2053" i="4" s="1"/>
  <c r="D2062" i="4"/>
  <c r="I2062" i="4" s="1"/>
  <c r="D2071" i="4"/>
  <c r="I2071" i="4" s="1"/>
  <c r="J2086" i="4"/>
  <c r="D2088" i="4"/>
  <c r="I2088" i="4" s="1"/>
  <c r="J2102" i="4"/>
  <c r="D2104" i="4"/>
  <c r="I2104" i="4" s="1"/>
  <c r="J2118" i="4"/>
  <c r="D2120" i="4"/>
  <c r="I2120" i="4" s="1"/>
  <c r="J2134" i="4"/>
  <c r="D2136" i="4"/>
  <c r="I2136" i="4" s="1"/>
  <c r="D2143" i="4"/>
  <c r="I2143" i="4" s="1"/>
  <c r="D2158" i="4"/>
  <c r="I2158" i="4" s="1"/>
  <c r="J2514" i="4"/>
  <c r="D2514" i="4"/>
  <c r="I2514" i="4" s="1"/>
  <c r="D2042" i="4"/>
  <c r="I2042" i="4" s="1"/>
  <c r="J2054" i="4"/>
  <c r="J2061" i="4"/>
  <c r="D2064" i="4"/>
  <c r="I2064" i="4" s="1"/>
  <c r="D2079" i="4"/>
  <c r="I2079" i="4" s="1"/>
  <c r="D2086" i="4"/>
  <c r="I2086" i="4" s="1"/>
  <c r="D2095" i="4"/>
  <c r="I2095" i="4" s="1"/>
  <c r="D2102" i="4"/>
  <c r="I2102" i="4" s="1"/>
  <c r="D2111" i="4"/>
  <c r="I2111" i="4" s="1"/>
  <c r="D2118" i="4"/>
  <c r="I2118" i="4" s="1"/>
  <c r="D2127" i="4"/>
  <c r="I2127" i="4" s="1"/>
  <c r="D2134" i="4"/>
  <c r="I2134" i="4" s="1"/>
  <c r="J2143" i="4"/>
  <c r="J2150" i="4"/>
  <c r="D2198" i="4"/>
  <c r="I2198" i="4" s="1"/>
  <c r="J2198" i="4"/>
  <c r="D2015" i="4"/>
  <c r="I2015" i="4" s="1"/>
  <c r="D2024" i="4"/>
  <c r="I2024" i="4" s="1"/>
  <c r="D2033" i="4"/>
  <c r="I2033" i="4" s="1"/>
  <c r="J2038" i="4"/>
  <c r="J2047" i="4"/>
  <c r="D2050" i="4"/>
  <c r="I2050" i="4" s="1"/>
  <c r="D2056" i="4"/>
  <c r="I2056" i="4" s="1"/>
  <c r="D2061" i="4"/>
  <c r="I2061" i="4" s="1"/>
  <c r="J2062" i="4"/>
  <c r="J2071" i="4"/>
  <c r="J2079" i="4"/>
  <c r="J2088" i="4"/>
  <c r="J2095" i="4"/>
  <c r="J2104" i="4"/>
  <c r="J2111" i="4"/>
  <c r="J2120" i="4"/>
  <c r="J2127" i="4"/>
  <c r="J2136" i="4"/>
  <c r="D2150" i="4"/>
  <c r="I2150" i="4" s="1"/>
  <c r="D2159" i="4"/>
  <c r="I2159" i="4" s="1"/>
  <c r="D2182" i="4"/>
  <c r="I2182" i="4" s="1"/>
  <c r="J2182" i="4"/>
  <c r="D2206" i="4"/>
  <c r="I2206" i="4" s="1"/>
  <c r="J2206" i="4"/>
  <c r="D2211" i="4"/>
  <c r="I2211" i="4" s="1"/>
  <c r="J2211" i="4"/>
  <c r="J2234" i="4"/>
  <c r="D2234" i="4"/>
  <c r="I2234" i="4" s="1"/>
  <c r="D2243" i="4"/>
  <c r="I2243" i="4" s="1"/>
  <c r="J2243" i="4"/>
  <c r="D2254" i="4"/>
  <c r="I2254" i="4" s="1"/>
  <c r="J2254" i="4"/>
  <c r="J2321" i="4"/>
  <c r="D2321" i="4"/>
  <c r="I2321" i="4" s="1"/>
  <c r="D2190" i="4"/>
  <c r="I2190" i="4" s="1"/>
  <c r="J2197" i="4"/>
  <c r="D2214" i="4"/>
  <c r="I2214" i="4" s="1"/>
  <c r="D2222" i="4"/>
  <c r="I2222" i="4" s="1"/>
  <c r="J2222" i="4"/>
  <c r="D2227" i="4"/>
  <c r="I2227" i="4" s="1"/>
  <c r="D2238" i="4"/>
  <c r="I2238" i="4" s="1"/>
  <c r="J2238" i="4"/>
  <c r="J2258" i="4"/>
  <c r="D2281" i="4"/>
  <c r="I2281" i="4" s="1"/>
  <c r="J2281" i="4"/>
  <c r="D2362" i="4"/>
  <c r="I2362" i="4" s="1"/>
  <c r="J2362" i="4"/>
  <c r="D2515" i="4"/>
  <c r="I2515" i="4" s="1"/>
  <c r="J2515" i="4"/>
  <c r="D2144" i="4"/>
  <c r="I2144" i="4" s="1"/>
  <c r="D2152" i="4"/>
  <c r="I2152" i="4" s="1"/>
  <c r="D2161" i="4"/>
  <c r="I2161" i="4" s="1"/>
  <c r="D2162" i="4"/>
  <c r="I2162" i="4" s="1"/>
  <c r="D2163" i="4"/>
  <c r="I2163" i="4" s="1"/>
  <c r="D2164" i="4"/>
  <c r="I2164" i="4" s="1"/>
  <c r="D2165" i="4"/>
  <c r="I2165" i="4" s="1"/>
  <c r="D2166" i="4"/>
  <c r="I2166" i="4" s="1"/>
  <c r="D2169" i="4"/>
  <c r="I2169" i="4" s="1"/>
  <c r="D2170" i="4"/>
  <c r="I2170" i="4" s="1"/>
  <c r="D2171" i="4"/>
  <c r="I2171" i="4" s="1"/>
  <c r="D2172" i="4"/>
  <c r="I2172" i="4" s="1"/>
  <c r="D2181" i="4"/>
  <c r="I2181" i="4" s="1"/>
  <c r="D2197" i="4"/>
  <c r="I2197" i="4" s="1"/>
  <c r="J2201" i="4"/>
  <c r="J2205" i="4"/>
  <c r="D2210" i="4"/>
  <c r="I2210" i="4" s="1"/>
  <c r="D2251" i="4"/>
  <c r="I2251" i="4" s="1"/>
  <c r="D2258" i="4"/>
  <c r="I2258" i="4" s="1"/>
  <c r="D2262" i="4"/>
  <c r="I2262" i="4" s="1"/>
  <c r="J2262" i="4"/>
  <c r="J2314" i="4"/>
  <c r="D2314" i="4"/>
  <c r="I2314" i="4" s="1"/>
  <c r="D2065" i="4"/>
  <c r="I2065" i="4" s="1"/>
  <c r="D2073" i="4"/>
  <c r="I2073" i="4" s="1"/>
  <c r="D2081" i="4"/>
  <c r="I2081" i="4" s="1"/>
  <c r="D2089" i="4"/>
  <c r="I2089" i="4" s="1"/>
  <c r="D2097" i="4"/>
  <c r="I2097" i="4" s="1"/>
  <c r="D2105" i="4"/>
  <c r="I2105" i="4" s="1"/>
  <c r="D2113" i="4"/>
  <c r="I2113" i="4" s="1"/>
  <c r="D2121" i="4"/>
  <c r="I2121" i="4" s="1"/>
  <c r="D2129" i="4"/>
  <c r="I2129" i="4" s="1"/>
  <c r="D2137" i="4"/>
  <c r="I2137" i="4" s="1"/>
  <c r="J2139" i="4"/>
  <c r="D2145" i="4"/>
  <c r="I2145" i="4" s="1"/>
  <c r="J2147" i="4"/>
  <c r="D2153" i="4"/>
  <c r="I2153" i="4" s="1"/>
  <c r="J2155" i="4"/>
  <c r="D2180" i="4"/>
  <c r="I2180" i="4" s="1"/>
  <c r="D2189" i="4"/>
  <c r="I2189" i="4" s="1"/>
  <c r="D2201" i="4"/>
  <c r="I2201" i="4" s="1"/>
  <c r="D2205" i="4"/>
  <c r="I2205" i="4" s="1"/>
  <c r="J2209" i="4"/>
  <c r="I2209" i="4"/>
  <c r="J2213" i="4"/>
  <c r="D2218" i="4"/>
  <c r="I2218" i="4" s="1"/>
  <c r="J2227" i="4"/>
  <c r="J2242" i="4"/>
  <c r="I2242" i="4"/>
  <c r="D2275" i="4"/>
  <c r="I2275" i="4" s="1"/>
  <c r="D2279" i="4"/>
  <c r="I2279" i="4" s="1"/>
  <c r="J2279" i="4"/>
  <c r="J2315" i="4"/>
  <c r="I2315" i="4"/>
  <c r="J2385" i="4"/>
  <c r="D2058" i="4"/>
  <c r="I2058" i="4" s="1"/>
  <c r="D2066" i="4"/>
  <c r="I2066" i="4" s="1"/>
  <c r="D2074" i="4"/>
  <c r="I2074" i="4" s="1"/>
  <c r="D2082" i="4"/>
  <c r="I2082" i="4" s="1"/>
  <c r="D2090" i="4"/>
  <c r="I2090" i="4" s="1"/>
  <c r="D2098" i="4"/>
  <c r="I2098" i="4" s="1"/>
  <c r="D2106" i="4"/>
  <c r="I2106" i="4" s="1"/>
  <c r="I2109" i="4"/>
  <c r="D2114" i="4"/>
  <c r="I2114" i="4" s="1"/>
  <c r="D2122" i="4"/>
  <c r="I2122" i="4" s="1"/>
  <c r="D2130" i="4"/>
  <c r="I2130" i="4" s="1"/>
  <c r="D2138" i="4"/>
  <c r="I2138" i="4" s="1"/>
  <c r="D2146" i="4"/>
  <c r="I2146" i="4" s="1"/>
  <c r="I2149" i="4"/>
  <c r="D2188" i="4"/>
  <c r="I2188" i="4" s="1"/>
  <c r="J2217" i="4"/>
  <c r="D2235" i="4"/>
  <c r="I2235" i="4" s="1"/>
  <c r="D2246" i="4"/>
  <c r="I2246" i="4" s="1"/>
  <c r="J2246" i="4"/>
  <c r="J2266" i="4"/>
  <c r="D2282" i="4"/>
  <c r="I2282" i="4" s="1"/>
  <c r="J2282" i="4"/>
  <c r="J2330" i="4"/>
  <c r="D2330" i="4"/>
  <c r="I2330" i="4" s="1"/>
  <c r="D2385" i="4"/>
  <c r="I2385" i="4" s="1"/>
  <c r="J2177" i="4"/>
  <c r="I2177" i="4"/>
  <c r="D2178" i="4"/>
  <c r="I2178" i="4" s="1"/>
  <c r="D2187" i="4"/>
  <c r="I2187" i="4" s="1"/>
  <c r="D2195" i="4"/>
  <c r="I2195" i="4" s="1"/>
  <c r="J2210" i="4"/>
  <c r="J2214" i="4"/>
  <c r="D2217" i="4"/>
  <c r="I2217" i="4" s="1"/>
  <c r="J2226" i="4"/>
  <c r="I2226" i="4"/>
  <c r="D2259" i="4"/>
  <c r="I2259" i="4" s="1"/>
  <c r="D2266" i="4"/>
  <c r="I2266" i="4" s="1"/>
  <c r="D2270" i="4"/>
  <c r="I2270" i="4" s="1"/>
  <c r="J2270" i="4"/>
  <c r="J2275" i="4"/>
  <c r="J2172" i="4"/>
  <c r="J2181" i="4"/>
  <c r="J2185" i="4"/>
  <c r="I2185" i="4"/>
  <c r="J2190" i="4"/>
  <c r="D2203" i="4"/>
  <c r="I2203" i="4" s="1"/>
  <c r="D2230" i="4"/>
  <c r="I2230" i="4" s="1"/>
  <c r="J2230" i="4"/>
  <c r="J2250" i="4"/>
  <c r="I2250" i="4"/>
  <c r="D2280" i="4"/>
  <c r="I2280" i="4" s="1"/>
  <c r="J2280" i="4"/>
  <c r="J2339" i="4"/>
  <c r="D2339" i="4"/>
  <c r="I2339" i="4" s="1"/>
  <c r="D2446" i="4"/>
  <c r="I2446" i="4" s="1"/>
  <c r="J2446" i="4"/>
  <c r="D2494" i="4"/>
  <c r="I2494" i="4" s="1"/>
  <c r="J2221" i="4"/>
  <c r="J2229" i="4"/>
  <c r="J2237" i="4"/>
  <c r="J2245" i="4"/>
  <c r="J2253" i="4"/>
  <c r="J2261" i="4"/>
  <c r="J2269" i="4"/>
  <c r="J2277" i="4"/>
  <c r="J2284" i="4"/>
  <c r="J2288" i="4"/>
  <c r="J2290" i="4"/>
  <c r="J2292" i="4"/>
  <c r="J2296" i="4"/>
  <c r="J2298" i="4"/>
  <c r="J2300" i="4"/>
  <c r="I2313" i="4"/>
  <c r="J2377" i="4"/>
  <c r="J2396" i="4"/>
  <c r="J2449" i="4"/>
  <c r="D2449" i="4"/>
  <c r="I2449" i="4" s="1"/>
  <c r="I2308" i="4"/>
  <c r="I2316" i="4"/>
  <c r="J2320" i="4"/>
  <c r="I2320" i="4"/>
  <c r="D2324" i="4"/>
  <c r="I2324" i="4" s="1"/>
  <c r="J2345" i="4"/>
  <c r="I2345" i="4"/>
  <c r="D2354" i="4"/>
  <c r="I2354" i="4" s="1"/>
  <c r="D2377" i="4"/>
  <c r="I2377" i="4" s="1"/>
  <c r="D2386" i="4"/>
  <c r="I2386" i="4" s="1"/>
  <c r="D2396" i="4"/>
  <c r="I2396" i="4" s="1"/>
  <c r="J2543" i="4"/>
  <c r="D2543" i="4"/>
  <c r="I2543" i="4" s="1"/>
  <c r="J2308" i="4"/>
  <c r="J2316" i="4"/>
  <c r="J2369" i="4"/>
  <c r="D2462" i="4"/>
  <c r="I2462" i="4" s="1"/>
  <c r="J2477" i="4"/>
  <c r="D2477" i="4"/>
  <c r="I2477" i="4" s="1"/>
  <c r="J2522" i="4"/>
  <c r="D2522" i="4"/>
  <c r="I2522" i="4" s="1"/>
  <c r="J2577" i="4"/>
  <c r="D2577" i="4"/>
  <c r="I2577" i="4" s="1"/>
  <c r="D2286" i="4"/>
  <c r="I2286" i="4" s="1"/>
  <c r="D2287" i="4"/>
  <c r="I2287" i="4" s="1"/>
  <c r="D2288" i="4"/>
  <c r="I2288" i="4" s="1"/>
  <c r="D2289" i="4"/>
  <c r="I2289" i="4" s="1"/>
  <c r="D2290" i="4"/>
  <c r="I2290" i="4" s="1"/>
  <c r="D2291" i="4"/>
  <c r="I2291" i="4" s="1"/>
  <c r="D2294" i="4"/>
  <c r="I2294" i="4" s="1"/>
  <c r="D2295" i="4"/>
  <c r="I2295" i="4" s="1"/>
  <c r="D2296" i="4"/>
  <c r="I2296" i="4" s="1"/>
  <c r="D2297" i="4"/>
  <c r="I2297" i="4" s="1"/>
  <c r="D2298" i="4"/>
  <c r="I2298" i="4" s="1"/>
  <c r="D2299" i="4"/>
  <c r="I2299" i="4" s="1"/>
  <c r="D2302" i="4"/>
  <c r="I2302" i="4" s="1"/>
  <c r="D2310" i="4"/>
  <c r="I2310" i="4" s="1"/>
  <c r="J2310" i="4"/>
  <c r="D2318" i="4"/>
  <c r="I2318" i="4" s="1"/>
  <c r="J2318" i="4"/>
  <c r="J2328" i="4"/>
  <c r="D2332" i="4"/>
  <c r="I2332" i="4" s="1"/>
  <c r="D2369" i="4"/>
  <c r="I2369" i="4" s="1"/>
  <c r="D2378" i="4"/>
  <c r="I2378" i="4" s="1"/>
  <c r="D2426" i="4"/>
  <c r="I2426" i="4" s="1"/>
  <c r="J2426" i="4"/>
  <c r="J2462" i="4"/>
  <c r="D2323" i="4"/>
  <c r="I2323" i="4" s="1"/>
  <c r="I2327" i="4"/>
  <c r="D2328" i="4"/>
  <c r="I2328" i="4" s="1"/>
  <c r="D2337" i="4"/>
  <c r="I2337" i="4" s="1"/>
  <c r="J2361" i="4"/>
  <c r="I2361" i="4"/>
  <c r="J2378" i="4"/>
  <c r="J2336" i="4"/>
  <c r="I2336" i="4"/>
  <c r="D2340" i="4"/>
  <c r="I2340" i="4" s="1"/>
  <c r="D2346" i="4"/>
  <c r="I2346" i="4" s="1"/>
  <c r="D2348" i="4"/>
  <c r="I2348" i="4" s="1"/>
  <c r="J2348" i="4"/>
  <c r="J2353" i="4"/>
  <c r="I2353" i="4"/>
  <c r="D2370" i="4"/>
  <c r="I2370" i="4" s="1"/>
  <c r="J2429" i="4"/>
  <c r="I2429" i="4"/>
  <c r="J2509" i="4"/>
  <c r="D2509" i="4"/>
  <c r="I2509" i="4" s="1"/>
  <c r="J2601" i="4"/>
  <c r="D2601" i="4"/>
  <c r="I2601" i="4" s="1"/>
  <c r="J2356" i="4"/>
  <c r="J2364" i="4"/>
  <c r="J2372" i="4"/>
  <c r="J2380" i="4"/>
  <c r="J2388" i="4"/>
  <c r="D2394" i="4"/>
  <c r="I2394" i="4" s="1"/>
  <c r="D2402" i="4"/>
  <c r="I2402" i="4" s="1"/>
  <c r="D2407" i="4"/>
  <c r="I2407" i="4" s="1"/>
  <c r="D2434" i="4"/>
  <c r="I2434" i="4" s="1"/>
  <c r="J2437" i="4"/>
  <c r="I2437" i="4"/>
  <c r="D2486" i="4"/>
  <c r="I2486" i="4" s="1"/>
  <c r="D2523" i="4"/>
  <c r="I2523" i="4" s="1"/>
  <c r="J2523" i="4"/>
  <c r="J2530" i="4"/>
  <c r="D2530" i="4"/>
  <c r="I2530" i="4" s="1"/>
  <c r="J2551" i="4"/>
  <c r="J2393" i="4"/>
  <c r="J2401" i="4"/>
  <c r="D2415" i="4"/>
  <c r="I2415" i="4" s="1"/>
  <c r="D2422" i="4"/>
  <c r="I2422" i="4" s="1"/>
  <c r="J2425" i="4"/>
  <c r="D2454" i="4"/>
  <c r="I2454" i="4" s="1"/>
  <c r="J2457" i="4"/>
  <c r="J2469" i="4"/>
  <c r="J2486" i="4"/>
  <c r="J2501" i="4"/>
  <c r="D2531" i="4"/>
  <c r="I2531" i="4" s="1"/>
  <c r="J2531" i="4"/>
  <c r="D2551" i="4"/>
  <c r="I2551" i="4" s="1"/>
  <c r="J2610" i="4"/>
  <c r="D2610" i="4"/>
  <c r="I2610" i="4" s="1"/>
  <c r="J2326" i="4"/>
  <c r="J2334" i="4"/>
  <c r="J2342" i="4"/>
  <c r="J2350" i="4"/>
  <c r="D2356" i="4"/>
  <c r="I2356" i="4" s="1"/>
  <c r="J2358" i="4"/>
  <c r="D2364" i="4"/>
  <c r="I2364" i="4" s="1"/>
  <c r="J2366" i="4"/>
  <c r="D2372" i="4"/>
  <c r="I2372" i="4" s="1"/>
  <c r="J2374" i="4"/>
  <c r="D2380" i="4"/>
  <c r="I2380" i="4" s="1"/>
  <c r="J2382" i="4"/>
  <c r="D2388" i="4"/>
  <c r="I2388" i="4" s="1"/>
  <c r="D2393" i="4"/>
  <c r="I2393" i="4" s="1"/>
  <c r="D2401" i="4"/>
  <c r="I2401" i="4" s="1"/>
  <c r="D2410" i="4"/>
  <c r="I2410" i="4" s="1"/>
  <c r="D2425" i="4"/>
  <c r="I2425" i="4" s="1"/>
  <c r="D2442" i="4"/>
  <c r="I2442" i="4" s="1"/>
  <c r="J2445" i="4"/>
  <c r="I2445" i="4"/>
  <c r="D2457" i="4"/>
  <c r="I2457" i="4" s="1"/>
  <c r="D2469" i="4"/>
  <c r="I2469" i="4" s="1"/>
  <c r="D2478" i="4"/>
  <c r="I2478" i="4" s="1"/>
  <c r="D2501" i="4"/>
  <c r="I2501" i="4" s="1"/>
  <c r="D2510" i="4"/>
  <c r="I2510" i="4" s="1"/>
  <c r="I2360" i="4"/>
  <c r="I2368" i="4"/>
  <c r="D2399" i="4"/>
  <c r="I2399" i="4" s="1"/>
  <c r="D2418" i="4"/>
  <c r="I2418" i="4" s="1"/>
  <c r="D2430" i="4"/>
  <c r="I2430" i="4" s="1"/>
  <c r="J2433" i="4"/>
  <c r="J2434" i="4"/>
  <c r="J2461" i="4"/>
  <c r="I2461" i="4"/>
  <c r="J2493" i="4"/>
  <c r="I2493" i="4"/>
  <c r="J2510" i="4"/>
  <c r="J2405" i="4"/>
  <c r="I2405" i="4"/>
  <c r="J2407" i="4"/>
  <c r="J2409" i="4"/>
  <c r="D2414" i="4"/>
  <c r="I2414" i="4" s="1"/>
  <c r="J2421" i="4"/>
  <c r="I2421" i="4"/>
  <c r="J2422" i="4"/>
  <c r="D2433" i="4"/>
  <c r="I2433" i="4" s="1"/>
  <c r="D2450" i="4"/>
  <c r="I2450" i="4" s="1"/>
  <c r="J2453" i="4"/>
  <c r="J2454" i="4"/>
  <c r="D2470" i="4"/>
  <c r="I2470" i="4" s="1"/>
  <c r="D2502" i="4"/>
  <c r="I2502" i="4" s="1"/>
  <c r="J2413" i="4"/>
  <c r="I2413" i="4"/>
  <c r="J2415" i="4"/>
  <c r="J2417" i="4"/>
  <c r="D2438" i="4"/>
  <c r="I2438" i="4" s="1"/>
  <c r="J2441" i="4"/>
  <c r="I2441" i="4"/>
  <c r="D2453" i="4"/>
  <c r="I2453" i="4" s="1"/>
  <c r="J2485" i="4"/>
  <c r="I2485" i="4"/>
  <c r="J2502" i="4"/>
  <c r="I2465" i="4"/>
  <c r="I2473" i="4"/>
  <c r="I2481" i="4"/>
  <c r="I2489" i="4"/>
  <c r="I2497" i="4"/>
  <c r="I2505" i="4"/>
  <c r="D2536" i="4"/>
  <c r="I2536" i="4" s="1"/>
  <c r="D2539" i="4"/>
  <c r="I2539" i="4" s="1"/>
  <c r="J2575" i="4"/>
  <c r="J2578" i="4"/>
  <c r="D2578" i="4"/>
  <c r="I2578" i="4" s="1"/>
  <c r="J2598" i="4"/>
  <c r="D2598" i="4"/>
  <c r="I2598" i="4" s="1"/>
  <c r="D2423" i="4"/>
  <c r="I2423" i="4" s="1"/>
  <c r="D2431" i="4"/>
  <c r="I2431" i="4" s="1"/>
  <c r="D2439" i="4"/>
  <c r="I2439" i="4" s="1"/>
  <c r="D2447" i="4"/>
  <c r="I2447" i="4" s="1"/>
  <c r="D2455" i="4"/>
  <c r="I2455" i="4" s="1"/>
  <c r="D2463" i="4"/>
  <c r="I2463" i="4" s="1"/>
  <c r="J2465" i="4"/>
  <c r="D2471" i="4"/>
  <c r="I2471" i="4" s="1"/>
  <c r="J2473" i="4"/>
  <c r="D2479" i="4"/>
  <c r="I2479" i="4" s="1"/>
  <c r="J2481" i="4"/>
  <c r="D2487" i="4"/>
  <c r="I2487" i="4" s="1"/>
  <c r="J2489" i="4"/>
  <c r="D2495" i="4"/>
  <c r="I2495" i="4" s="1"/>
  <c r="J2497" i="4"/>
  <c r="D2503" i="4"/>
  <c r="I2503" i="4" s="1"/>
  <c r="J2505" i="4"/>
  <c r="D2511" i="4"/>
  <c r="I2511" i="4" s="1"/>
  <c r="D2513" i="4"/>
  <c r="I2513" i="4" s="1"/>
  <c r="D2521" i="4"/>
  <c r="I2521" i="4" s="1"/>
  <c r="D2529" i="4"/>
  <c r="I2529" i="4" s="1"/>
  <c r="J2559" i="4"/>
  <c r="I2559" i="4"/>
  <c r="D2575" i="4"/>
  <c r="I2575" i="4" s="1"/>
  <c r="J2466" i="4"/>
  <c r="J2474" i="4"/>
  <c r="J2482" i="4"/>
  <c r="J2490" i="4"/>
  <c r="J2498" i="4"/>
  <c r="J2506" i="4"/>
  <c r="J2535" i="4"/>
  <c r="D2547" i="4"/>
  <c r="I2547" i="4" s="1"/>
  <c r="D2552" i="4"/>
  <c r="I2552" i="4" s="1"/>
  <c r="D2554" i="4"/>
  <c r="I2554" i="4" s="1"/>
  <c r="J2554" i="4"/>
  <c r="J2567" i="4"/>
  <c r="I2567" i="4"/>
  <c r="J2579" i="4"/>
  <c r="D2579" i="4"/>
  <c r="I2579" i="4" s="1"/>
  <c r="J2617" i="4"/>
  <c r="I2617" i="4"/>
  <c r="J2538" i="4"/>
  <c r="D2544" i="4"/>
  <c r="I2544" i="4" s="1"/>
  <c r="J2580" i="4"/>
  <c r="J2588" i="4"/>
  <c r="D2588" i="4"/>
  <c r="I2588" i="4" s="1"/>
  <c r="D2458" i="4"/>
  <c r="I2458" i="4" s="1"/>
  <c r="D2466" i="4"/>
  <c r="I2466" i="4" s="1"/>
  <c r="D2474" i="4"/>
  <c r="I2474" i="4" s="1"/>
  <c r="D2482" i="4"/>
  <c r="I2482" i="4" s="1"/>
  <c r="D2490" i="4"/>
  <c r="I2490" i="4" s="1"/>
  <c r="D2498" i="4"/>
  <c r="I2498" i="4" s="1"/>
  <c r="D2506" i="4"/>
  <c r="I2506" i="4" s="1"/>
  <c r="D2517" i="4"/>
  <c r="I2517" i="4" s="1"/>
  <c r="J2517" i="4"/>
  <c r="D2525" i="4"/>
  <c r="I2525" i="4" s="1"/>
  <c r="J2525" i="4"/>
  <c r="D2533" i="4"/>
  <c r="I2533" i="4" s="1"/>
  <c r="J2533" i="4"/>
  <c r="J2536" i="4"/>
  <c r="D2538" i="4"/>
  <c r="I2538" i="4" s="1"/>
  <c r="J2552" i="4"/>
  <c r="I2574" i="4"/>
  <c r="D2580" i="4"/>
  <c r="I2580" i="4" s="1"/>
  <c r="J2546" i="4"/>
  <c r="D2560" i="4"/>
  <c r="I2560" i="4" s="1"/>
  <c r="D2562" i="4"/>
  <c r="I2562" i="4" s="1"/>
  <c r="J2562" i="4"/>
  <c r="D2568" i="4"/>
  <c r="I2568" i="4" s="1"/>
  <c r="J2606" i="4"/>
  <c r="D2606" i="4"/>
  <c r="I2606" i="4" s="1"/>
  <c r="J2570" i="4"/>
  <c r="I2595" i="4"/>
  <c r="I2603" i="4"/>
  <c r="D2583" i="4"/>
  <c r="I2583" i="4" s="1"/>
  <c r="D2591" i="4"/>
  <c r="I2591" i="4" s="1"/>
  <c r="I2618" i="4"/>
  <c r="J2618" i="4"/>
  <c r="D2570" i="4"/>
  <c r="I2570" i="4" s="1"/>
  <c r="D2587" i="4"/>
  <c r="I2587" i="4" s="1"/>
  <c r="J2541" i="4"/>
  <c r="J2549" i="4"/>
  <c r="D2555" i="4"/>
  <c r="I2555" i="4" s="1"/>
  <c r="J2557" i="4"/>
  <c r="D2563" i="4"/>
  <c r="I2563" i="4" s="1"/>
  <c r="J2565" i="4"/>
  <c r="D2571" i="4"/>
  <c r="I2571" i="4" s="1"/>
  <c r="J2573" i="4"/>
  <c r="I2586" i="4"/>
  <c r="J2595" i="4"/>
  <c r="D2597" i="4"/>
  <c r="I2597" i="4" s="1"/>
  <c r="J2603" i="4"/>
  <c r="D2605" i="4"/>
  <c r="I2605" i="4" s="1"/>
  <c r="D2599" i="4"/>
  <c r="I2599" i="4" s="1"/>
  <c r="J2609" i="4"/>
  <c r="J2583" i="4"/>
  <c r="J2585" i="4"/>
  <c r="J2587" i="4"/>
  <c r="J2591" i="4"/>
  <c r="J2593" i="4"/>
  <c r="J2597" i="4"/>
  <c r="J2605" i="4"/>
  <c r="D2609" i="4"/>
  <c r="I2609" i="4" s="1"/>
  <c r="K39" i="8"/>
  <c r="D2614" i="4"/>
  <c r="I2614" i="4" s="1"/>
  <c r="D2612" i="4"/>
  <c r="I2612" i="4" s="1"/>
  <c r="B10" i="10"/>
  <c r="B11" i="10" s="1"/>
  <c r="B15" i="10" s="1"/>
  <c r="B16" i="10" s="1"/>
  <c r="E5" i="5" l="1"/>
  <c r="M11" i="14" s="1"/>
  <c r="C8" i="11"/>
  <c r="B19" i="10"/>
  <c r="C5" i="11"/>
  <c r="R14" i="14"/>
  <c r="Q13" i="14"/>
  <c r="P12" i="14"/>
  <c r="U7" i="14"/>
  <c r="M7" i="14"/>
  <c r="M6" i="14"/>
  <c r="N12" i="14"/>
  <c r="Q10" i="14"/>
  <c r="S6" i="14"/>
  <c r="K6" i="14"/>
  <c r="S5" i="14"/>
  <c r="T11" i="14"/>
  <c r="L11" i="14"/>
  <c r="P10" i="14"/>
  <c r="O15" i="14"/>
  <c r="N14" i="14"/>
  <c r="U13" i="14"/>
  <c r="S9" i="14"/>
  <c r="K9" i="14"/>
  <c r="Q8" i="14"/>
  <c r="N15" i="14"/>
  <c r="R12" i="14"/>
  <c r="R11" i="14"/>
  <c r="N10" i="14"/>
  <c r="M15" i="14"/>
  <c r="Q12" i="14"/>
  <c r="Q11" i="14"/>
  <c r="M10" i="14"/>
  <c r="T5" i="14"/>
  <c r="P13" i="14"/>
  <c r="O12" i="14"/>
  <c r="P11" i="14"/>
  <c r="P5" i="14"/>
  <c r="P8" i="14"/>
  <c r="N5" i="14"/>
  <c r="T14" i="14"/>
  <c r="S14" i="14"/>
  <c r="T8" i="14"/>
  <c r="O5" i="14"/>
  <c r="U15" i="14"/>
  <c r="T15" i="14"/>
  <c r="L5" i="14"/>
  <c r="U14" i="14"/>
  <c r="S12" i="14"/>
  <c r="P7" i="14"/>
  <c r="K12" i="14"/>
  <c r="L8" i="14"/>
  <c r="O7" i="14"/>
  <c r="I5" i="5"/>
  <c r="E2616" i="4"/>
  <c r="E2615" i="4"/>
  <c r="E2600" i="4"/>
  <c r="U10" i="14"/>
  <c r="E2564" i="4"/>
  <c r="D8" i="6"/>
  <c r="B15" i="14" s="1"/>
  <c r="E2608" i="4"/>
  <c r="E2553" i="4"/>
  <c r="E2576" i="4"/>
  <c r="T6" i="14"/>
  <c r="E2609" i="4"/>
  <c r="E2526" i="4"/>
  <c r="E2517" i="4"/>
  <c r="E2565" i="4"/>
  <c r="E2541" i="4"/>
  <c r="E2528" i="4"/>
  <c r="E2504" i="4"/>
  <c r="E2496" i="4"/>
  <c r="E2488" i="4"/>
  <c r="E2464" i="4"/>
  <c r="E2545" i="4"/>
  <c r="E2542" i="4"/>
  <c r="E2503" i="4"/>
  <c r="E2479" i="4"/>
  <c r="P9" i="14"/>
  <c r="E2557" i="4"/>
  <c r="E2566" i="4"/>
  <c r="E2447" i="4"/>
  <c r="E2424" i="4"/>
  <c r="E2382" i="4"/>
  <c r="E2374" i="4"/>
  <c r="E2350" i="4"/>
  <c r="E2459" i="4"/>
  <c r="E2400" i="4"/>
  <c r="E2392" i="4"/>
  <c r="E2389" i="4"/>
  <c r="E2365" i="4"/>
  <c r="E2357" i="4"/>
  <c r="E2349" i="4"/>
  <c r="E2325" i="4"/>
  <c r="E2549" i="4"/>
  <c r="E2451" i="4"/>
  <c r="E2448" i="4"/>
  <c r="E2419" i="4"/>
  <c r="E2467" i="4"/>
  <c r="E2460" i="4"/>
  <c r="E2411" i="4"/>
  <c r="E2443" i="4"/>
  <c r="E2420" i="4"/>
  <c r="E2416" i="4"/>
  <c r="E2412" i="4"/>
  <c r="E2402" i="4"/>
  <c r="E2574" i="4"/>
  <c r="E2507" i="4"/>
  <c r="E2500" i="4"/>
  <c r="E2408" i="4"/>
  <c r="E2351" i="4"/>
  <c r="E2337" i="4"/>
  <c r="E2328" i="4"/>
  <c r="E2255" i="4"/>
  <c r="E2231" i="4"/>
  <c r="E2508" i="4"/>
  <c r="E2397" i="4"/>
  <c r="E2311" i="4"/>
  <c r="E2293" i="4"/>
  <c r="E2285" i="4"/>
  <c r="E2444" i="4"/>
  <c r="E2352" i="4"/>
  <c r="E2375" i="4"/>
  <c r="E2313" i="4"/>
  <c r="E2305" i="4"/>
  <c r="E2343" i="4"/>
  <c r="E2383" i="4"/>
  <c r="E2335" i="4"/>
  <c r="E2336" i="4"/>
  <c r="E2248" i="4"/>
  <c r="E2208" i="4"/>
  <c r="E2204" i="4"/>
  <c r="E2199" i="4"/>
  <c r="E2178" i="4"/>
  <c r="E2139" i="4"/>
  <c r="E2131" i="4"/>
  <c r="E2123" i="4"/>
  <c r="E2099" i="4"/>
  <c r="E2432" i="4"/>
  <c r="E2273" i="4"/>
  <c r="E2244" i="4"/>
  <c r="E2196" i="4"/>
  <c r="E2435" i="4"/>
  <c r="E2405" i="4"/>
  <c r="E2346" i="4"/>
  <c r="E2260" i="4"/>
  <c r="E2168" i="4"/>
  <c r="E2160" i="4"/>
  <c r="E2560" i="4"/>
  <c r="E2236" i="4"/>
  <c r="E2276" i="4"/>
  <c r="E2256" i="4"/>
  <c r="E2241" i="4"/>
  <c r="E2125" i="4"/>
  <c r="E2077" i="4"/>
  <c r="E2067" i="4"/>
  <c r="E2052" i="4"/>
  <c r="E2175" i="4"/>
  <c r="E2068" i="4"/>
  <c r="E2044" i="4"/>
  <c r="E2043" i="4"/>
  <c r="E2228" i="4"/>
  <c r="E2215" i="4"/>
  <c r="E2184" i="4"/>
  <c r="E2149" i="4"/>
  <c r="E2100" i="4"/>
  <c r="E2035" i="4"/>
  <c r="E2194" i="4"/>
  <c r="E2186" i="4"/>
  <c r="E2326" i="4"/>
  <c r="E2157" i="4"/>
  <c r="E2133" i="4"/>
  <c r="E2117" i="4"/>
  <c r="E2020" i="4"/>
  <c r="E1996" i="4"/>
  <c r="E2272" i="4"/>
  <c r="E2075" i="4"/>
  <c r="E2011" i="4"/>
  <c r="E2216" i="4"/>
  <c r="E2185" i="4"/>
  <c r="E2124" i="4"/>
  <c r="E2024" i="4"/>
  <c r="E1930" i="4"/>
  <c r="E1922" i="4"/>
  <c r="E1914" i="4"/>
  <c r="E1890" i="4"/>
  <c r="E1866" i="4"/>
  <c r="E1858" i="4"/>
  <c r="E1850" i="4"/>
  <c r="E1826" i="4"/>
  <c r="E1802" i="4"/>
  <c r="E1794" i="4"/>
  <c r="E1786" i="4"/>
  <c r="E1762" i="4"/>
  <c r="E2232" i="4"/>
  <c r="E2148" i="4"/>
  <c r="E1973" i="4"/>
  <c r="E1929" i="4"/>
  <c r="E1905" i="4"/>
  <c r="E1897" i="4"/>
  <c r="E1889" i="4"/>
  <c r="E1865" i="4"/>
  <c r="E1841" i="4"/>
  <c r="E1833" i="4"/>
  <c r="E1825" i="4"/>
  <c r="E1801" i="4"/>
  <c r="E1777" i="4"/>
  <c r="E2059" i="4"/>
  <c r="E2015" i="4"/>
  <c r="E2061" i="4"/>
  <c r="E1968" i="4"/>
  <c r="E2177" i="4"/>
  <c r="E2108" i="4"/>
  <c r="E1960" i="4"/>
  <c r="E2211" i="4"/>
  <c r="E2140" i="4"/>
  <c r="E2014" i="4"/>
  <c r="E1962" i="4"/>
  <c r="E1821" i="4"/>
  <c r="E1812" i="4"/>
  <c r="E1796" i="4"/>
  <c r="E1730" i="4"/>
  <c r="E1721" i="4"/>
  <c r="E1714" i="4"/>
  <c r="E1713" i="4"/>
  <c r="E1698" i="4"/>
  <c r="E1689" i="4"/>
  <c r="E1682" i="4"/>
  <c r="E1681" i="4"/>
  <c r="E1977" i="4"/>
  <c r="E1917" i="4"/>
  <c r="E1900" i="4"/>
  <c r="E1885" i="4"/>
  <c r="E1836" i="4"/>
  <c r="E1761" i="4"/>
  <c r="E1746" i="4"/>
  <c r="E1737" i="4"/>
  <c r="E1813" i="4"/>
  <c r="E1738" i="4"/>
  <c r="E2257" i="4"/>
  <c r="E1971" i="4"/>
  <c r="E1908" i="4"/>
  <c r="E1861" i="4"/>
  <c r="E1844" i="4"/>
  <c r="E1765" i="4"/>
  <c r="E1733" i="4"/>
  <c r="E1724" i="4"/>
  <c r="E1717" i="4"/>
  <c r="E1716" i="4"/>
  <c r="E1701" i="4"/>
  <c r="E1804" i="4"/>
  <c r="E1788" i="4"/>
  <c r="E1805" i="4"/>
  <c r="E1693" i="4"/>
  <c r="E1627" i="4"/>
  <c r="E1596" i="4"/>
  <c r="E1595" i="4"/>
  <c r="E1758" i="4"/>
  <c r="E1572" i="4"/>
  <c r="E1571" i="4"/>
  <c r="E1852" i="4"/>
  <c r="E1769" i="4"/>
  <c r="E1666" i="4"/>
  <c r="E1652" i="4"/>
  <c r="E1651" i="4"/>
  <c r="E1877" i="4"/>
  <c r="E1749" i="4"/>
  <c r="E1719" i="4"/>
  <c r="E1622" i="4"/>
  <c r="E1438" i="4"/>
  <c r="E1892" i="4"/>
  <c r="E1845" i="4"/>
  <c r="E1613" i="4"/>
  <c r="E1789" i="4"/>
  <c r="E1665" i="4"/>
  <c r="E1322" i="4"/>
  <c r="E1314" i="4"/>
  <c r="E1748" i="4"/>
  <c r="E1640" i="4"/>
  <c r="E1636" i="4"/>
  <c r="E1635" i="4"/>
  <c r="E1442" i="4"/>
  <c r="E1703" i="4"/>
  <c r="E1597" i="4"/>
  <c r="E1588" i="4"/>
  <c r="E1437" i="4"/>
  <c r="E1415" i="4"/>
  <c r="E1395" i="4"/>
  <c r="E1389" i="4"/>
  <c r="E1363" i="4"/>
  <c r="E1351" i="4"/>
  <c r="E1331" i="4"/>
  <c r="E1325" i="4"/>
  <c r="E1313" i="4"/>
  <c r="E1237" i="4"/>
  <c r="E1229" i="4"/>
  <c r="E1221" i="4"/>
  <c r="E1197" i="4"/>
  <c r="E1173" i="4"/>
  <c r="E1165" i="4"/>
  <c r="E1157" i="4"/>
  <c r="E1133" i="4"/>
  <c r="E1109" i="4"/>
  <c r="E1101" i="4"/>
  <c r="E1093" i="4"/>
  <c r="E1069" i="4"/>
  <c r="E1670" i="4"/>
  <c r="E1612" i="4"/>
  <c r="E1555" i="4"/>
  <c r="E1509" i="4"/>
  <c r="E1491" i="4"/>
  <c r="E1477" i="4"/>
  <c r="E1475" i="4"/>
  <c r="E1419" i="4"/>
  <c r="E1372" i="4"/>
  <c r="E1366" i="4"/>
  <c r="E1340" i="4"/>
  <c r="E1310" i="4"/>
  <c r="E1645" i="4"/>
  <c r="E1624" i="4"/>
  <c r="E1608" i="4"/>
  <c r="E1534" i="4"/>
  <c r="E1486" i="4"/>
  <c r="E1470" i="4"/>
  <c r="E1462" i="4"/>
  <c r="E1346" i="4"/>
  <c r="E1290" i="4"/>
  <c r="E1282" i="4"/>
  <c r="E1274" i="4"/>
  <c r="E1266" i="4"/>
  <c r="E1258" i="4"/>
  <c r="E1250" i="4"/>
  <c r="E1227" i="4"/>
  <c r="E1219" i="4"/>
  <c r="E1211" i="4"/>
  <c r="E1203" i="4"/>
  <c r="E1195" i="4"/>
  <c r="E1187" i="4"/>
  <c r="E1163" i="4"/>
  <c r="E1155" i="4"/>
  <c r="E1147" i="4"/>
  <c r="E1139" i="4"/>
  <c r="E1131" i="4"/>
  <c r="E1123" i="4"/>
  <c r="E1115" i="4"/>
  <c r="E1107" i="4"/>
  <c r="E1099" i="4"/>
  <c r="E1091" i="4"/>
  <c r="E1083" i="4"/>
  <c r="E1075" i="4"/>
  <c r="E1067" i="4"/>
  <c r="E1059" i="4"/>
  <c r="E1051" i="4"/>
  <c r="E1043" i="4"/>
  <c r="E1035" i="4"/>
  <c r="E1027" i="4"/>
  <c r="E1019" i="4"/>
  <c r="E1011" i="4"/>
  <c r="E1003" i="4"/>
  <c r="E995" i="4"/>
  <c r="E987" i="4"/>
  <c r="E979" i="4"/>
  <c r="E971" i="4"/>
  <c r="E1662" i="4"/>
  <c r="E1643" i="4"/>
  <c r="E1559" i="4"/>
  <c r="E1543" i="4"/>
  <c r="E1527" i="4"/>
  <c r="E1511" i="4"/>
  <c r="E1495" i="4"/>
  <c r="E1479" i="4"/>
  <c r="E1464" i="4"/>
  <c r="E1456" i="4"/>
  <c r="E1454" i="4"/>
  <c r="E1396" i="4"/>
  <c r="E1390" i="4"/>
  <c r="E1364" i="4"/>
  <c r="E1358" i="4"/>
  <c r="E1332" i="4"/>
  <c r="E1326" i="4"/>
  <c r="E1933" i="4"/>
  <c r="E1820" i="4"/>
  <c r="E1648" i="4"/>
  <c r="E1603" i="4"/>
  <c r="E1436" i="4"/>
  <c r="E1402" i="4"/>
  <c r="E1370" i="4"/>
  <c r="E1338" i="4"/>
  <c r="E1687" i="4"/>
  <c r="E1669" i="4"/>
  <c r="E1664" i="4"/>
  <c r="E1604" i="4"/>
  <c r="E1576" i="4"/>
  <c r="E1573" i="4"/>
  <c r="E1563" i="4"/>
  <c r="E1547" i="4"/>
  <c r="E1531" i="4"/>
  <c r="E1515" i="4"/>
  <c r="E1499" i="4"/>
  <c r="E1483" i="4"/>
  <c r="E1676" i="4"/>
  <c r="E1644" i="4"/>
  <c r="E1611" i="4"/>
  <c r="E1510" i="4"/>
  <c r="E1503" i="4"/>
  <c r="E1463" i="4"/>
  <c r="E1348" i="4"/>
  <c r="E1278" i="4"/>
  <c r="E1247" i="4"/>
  <c r="E1598" i="4"/>
  <c r="E1558" i="4"/>
  <c r="E1551" i="4"/>
  <c r="E1506" i="4"/>
  <c r="E1303" i="4"/>
  <c r="E1293" i="4"/>
  <c r="E1270" i="4"/>
  <c r="E1231" i="4"/>
  <c r="E1224" i="4"/>
  <c r="E1215" i="4"/>
  <c r="E1208" i="4"/>
  <c r="E1199" i="4"/>
  <c r="E1192" i="4"/>
  <c r="E1183" i="4"/>
  <c r="E1176" i="4"/>
  <c r="E1167" i="4"/>
  <c r="E1160" i="4"/>
  <c r="E1151" i="4"/>
  <c r="E1144" i="4"/>
  <c r="E1135" i="4"/>
  <c r="E1128" i="4"/>
  <c r="E1119" i="4"/>
  <c r="E1103" i="4"/>
  <c r="E1087" i="4"/>
  <c r="E1071" i="4"/>
  <c r="E1037" i="4"/>
  <c r="E998" i="4"/>
  <c r="E990" i="4"/>
  <c r="E981" i="4"/>
  <c r="E938" i="4"/>
  <c r="E926" i="4"/>
  <c r="E917" i="4"/>
  <c r="E1478" i="4"/>
  <c r="E1471" i="4"/>
  <c r="E1397" i="4"/>
  <c r="E1391" i="4"/>
  <c r="E1295" i="4"/>
  <c r="E1285" i="4"/>
  <c r="E1262" i="4"/>
  <c r="E1238" i="4"/>
  <c r="E1222" i="4"/>
  <c r="E1206" i="4"/>
  <c r="E1190" i="4"/>
  <c r="E1174" i="4"/>
  <c r="E1158" i="4"/>
  <c r="E1142" i="4"/>
  <c r="E1126" i="4"/>
  <c r="E1110" i="4"/>
  <c r="E1094" i="4"/>
  <c r="E1078" i="4"/>
  <c r="E1062" i="4"/>
  <c r="E1038" i="4"/>
  <c r="E1013" i="4"/>
  <c r="E982" i="4"/>
  <c r="E973" i="4"/>
  <c r="E918" i="4"/>
  <c r="E1606" i="4"/>
  <c r="E1587" i="4"/>
  <c r="E1526" i="4"/>
  <c r="E1519" i="4"/>
  <c r="E1459" i="4"/>
  <c r="E1394" i="4"/>
  <c r="E1365" i="4"/>
  <c r="E1287" i="4"/>
  <c r="E1254" i="4"/>
  <c r="E1053" i="4"/>
  <c r="E1032" i="4"/>
  <c r="E1023" i="4"/>
  <c r="E1014" i="4"/>
  <c r="E991" i="4"/>
  <c r="E986" i="4"/>
  <c r="E1658" i="4"/>
  <c r="E1522" i="4"/>
  <c r="E1421" i="4"/>
  <c r="E1371" i="4"/>
  <c r="E1362" i="4"/>
  <c r="E1333" i="4"/>
  <c r="E1327" i="4"/>
  <c r="E1279" i="4"/>
  <c r="E1269" i="4"/>
  <c r="E1246" i="4"/>
  <c r="E1054" i="4"/>
  <c r="E1029" i="4"/>
  <c r="E978" i="4"/>
  <c r="E966" i="4"/>
  <c r="E957" i="4"/>
  <c r="E1583" i="4"/>
  <c r="E1494" i="4"/>
  <c r="E1487" i="4"/>
  <c r="E1467" i="4"/>
  <c r="E1455" i="4"/>
  <c r="E1450" i="4"/>
  <c r="E1434" i="4"/>
  <c r="E1406" i="4"/>
  <c r="E1330" i="4"/>
  <c r="E1302" i="4"/>
  <c r="E1271" i="4"/>
  <c r="E1239" i="4"/>
  <c r="E1223" i="4"/>
  <c r="E1207" i="4"/>
  <c r="E1191" i="4"/>
  <c r="E1175" i="4"/>
  <c r="E1159" i="4"/>
  <c r="E1143" i="4"/>
  <c r="E1127" i="4"/>
  <c r="E1111" i="4"/>
  <c r="E1095" i="4"/>
  <c r="E1079" i="4"/>
  <c r="E1063" i="4"/>
  <c r="E1030" i="4"/>
  <c r="E1005" i="4"/>
  <c r="E958" i="4"/>
  <c r="E949" i="4"/>
  <c r="E1469" i="4"/>
  <c r="E1294" i="4"/>
  <c r="E1255" i="4"/>
  <c r="E959" i="4"/>
  <c r="E951" i="4"/>
  <c r="E925" i="4"/>
  <c r="E912" i="4"/>
  <c r="E901" i="4"/>
  <c r="E887" i="4"/>
  <c r="E876" i="4"/>
  <c r="E872" i="4"/>
  <c r="E826" i="4"/>
  <c r="E818" i="4"/>
  <c r="E810" i="4"/>
  <c r="E802" i="4"/>
  <c r="E794" i="4"/>
  <c r="E786" i="4"/>
  <c r="E778" i="4"/>
  <c r="E1661" i="4"/>
  <c r="E1374" i="4"/>
  <c r="E1166" i="4"/>
  <c r="E1040" i="4"/>
  <c r="E1031" i="4"/>
  <c r="E941" i="4"/>
  <c r="E908" i="4"/>
  <c r="E877" i="4"/>
  <c r="E863" i="4"/>
  <c r="E1542" i="4"/>
  <c r="E1412" i="4"/>
  <c r="E1380" i="4"/>
  <c r="E1263" i="4"/>
  <c r="E1230" i="4"/>
  <c r="E1055" i="4"/>
  <c r="E950" i="4"/>
  <c r="E944" i="4"/>
  <c r="E942" i="4"/>
  <c r="E869" i="4"/>
  <c r="E1538" i="4"/>
  <c r="E1150" i="4"/>
  <c r="E1024" i="4"/>
  <c r="E1006" i="4"/>
  <c r="E1000" i="4"/>
  <c r="E968" i="4"/>
  <c r="E922" i="4"/>
  <c r="E898" i="4"/>
  <c r="E879" i="4"/>
  <c r="E857" i="4"/>
  <c r="E836" i="4"/>
  <c r="E829" i="4"/>
  <c r="E821" i="4"/>
  <c r="E813" i="4"/>
  <c r="E806" i="4"/>
  <c r="E799" i="4"/>
  <c r="E792" i="4"/>
  <c r="E773" i="4"/>
  <c r="E760" i="4"/>
  <c r="E756" i="4"/>
  <c r="E705" i="4"/>
  <c r="E701" i="4"/>
  <c r="E696" i="4"/>
  <c r="E692" i="4"/>
  <c r="E641" i="4"/>
  <c r="E637" i="4"/>
  <c r="E632" i="4"/>
  <c r="E628" i="4"/>
  <c r="E577" i="4"/>
  <c r="E573" i="4"/>
  <c r="E568" i="4"/>
  <c r="E564" i="4"/>
  <c r="E513" i="4"/>
  <c r="E509" i="4"/>
  <c r="E504" i="4"/>
  <c r="E500" i="4"/>
  <c r="E1015" i="4"/>
  <c r="E933" i="4"/>
  <c r="E920" i="4"/>
  <c r="E896" i="4"/>
  <c r="E844" i="4"/>
  <c r="E837" i="4"/>
  <c r="E832" i="4"/>
  <c r="E822" i="4"/>
  <c r="E814" i="4"/>
  <c r="E807" i="4"/>
  <c r="E800" i="4"/>
  <c r="E765" i="4"/>
  <c r="E752" i="4"/>
  <c r="E697" i="4"/>
  <c r="E693" i="4"/>
  <c r="E688" i="4"/>
  <c r="E633" i="4"/>
  <c r="E629" i="4"/>
  <c r="E624" i="4"/>
  <c r="E569" i="4"/>
  <c r="E565" i="4"/>
  <c r="E560" i="4"/>
  <c r="E505" i="4"/>
  <c r="E501" i="4"/>
  <c r="E496" i="4"/>
  <c r="E461" i="4"/>
  <c r="E453" i="4"/>
  <c r="E445" i="4"/>
  <c r="E437" i="4"/>
  <c r="E429" i="4"/>
  <c r="E1535" i="4"/>
  <c r="E1198" i="4"/>
  <c r="E1070" i="4"/>
  <c r="E1021" i="4"/>
  <c r="E997" i="4"/>
  <c r="E989" i="4"/>
  <c r="E946" i="4"/>
  <c r="E916" i="4"/>
  <c r="E852" i="4"/>
  <c r="E845" i="4"/>
  <c r="E840" i="4"/>
  <c r="E823" i="4"/>
  <c r="E815" i="4"/>
  <c r="E808" i="4"/>
  <c r="E779" i="4"/>
  <c r="E774" i="4"/>
  <c r="E757" i="4"/>
  <c r="E749" i="4"/>
  <c r="E744" i="4"/>
  <c r="E698" i="4"/>
  <c r="E689" i="4"/>
  <c r="E685" i="4"/>
  <c r="E680" i="4"/>
  <c r="E634" i="4"/>
  <c r="E625" i="4"/>
  <c r="E621" i="4"/>
  <c r="E616" i="4"/>
  <c r="E570" i="4"/>
  <c r="E561" i="4"/>
  <c r="E557" i="4"/>
  <c r="E552" i="4"/>
  <c r="E506" i="4"/>
  <c r="E497" i="4"/>
  <c r="E493" i="4"/>
  <c r="E488" i="4"/>
  <c r="E1426" i="4"/>
  <c r="E1342" i="4"/>
  <c r="E1134" i="4"/>
  <c r="E1102" i="4"/>
  <c r="E1086" i="4"/>
  <c r="E1045" i="4"/>
  <c r="E974" i="4"/>
  <c r="E914" i="4"/>
  <c r="E892" i="4"/>
  <c r="E880" i="4"/>
  <c r="E868" i="4"/>
  <c r="E860" i="4"/>
  <c r="E853" i="4"/>
  <c r="E848" i="4"/>
  <c r="E824" i="4"/>
  <c r="E1490" i="4"/>
  <c r="E1118" i="4"/>
  <c r="E976" i="4"/>
  <c r="E967" i="4"/>
  <c r="E934" i="4"/>
  <c r="E927" i="4"/>
  <c r="E871" i="4"/>
  <c r="E861" i="4"/>
  <c r="E856" i="4"/>
  <c r="E795" i="4"/>
  <c r="E788" i="4"/>
  <c r="E781" i="4"/>
  <c r="E775" i="4"/>
  <c r="E771" i="4"/>
  <c r="E758" i="4"/>
  <c r="E737" i="4"/>
  <c r="E733" i="4"/>
  <c r="E728" i="4"/>
  <c r="E673" i="4"/>
  <c r="E669" i="4"/>
  <c r="E664" i="4"/>
  <c r="E609" i="4"/>
  <c r="E605" i="4"/>
  <c r="E600" i="4"/>
  <c r="E545" i="4"/>
  <c r="E541" i="4"/>
  <c r="E536" i="4"/>
  <c r="E481" i="4"/>
  <c r="E477" i="4"/>
  <c r="E473" i="4"/>
  <c r="E464" i="4"/>
  <c r="E456" i="4"/>
  <c r="E448" i="4"/>
  <c r="E440" i="4"/>
  <c r="E432" i="4"/>
  <c r="E421" i="4"/>
  <c r="E413" i="4"/>
  <c r="E405" i="4"/>
  <c r="E397" i="4"/>
  <c r="E389" i="4"/>
  <c r="E381" i="4"/>
  <c r="E373" i="4"/>
  <c r="E365" i="4"/>
  <c r="E357" i="4"/>
  <c r="E349" i="4"/>
  <c r="E341" i="4"/>
  <c r="E333" i="4"/>
  <c r="E325" i="4"/>
  <c r="E317" i="4"/>
  <c r="E309" i="4"/>
  <c r="E301" i="4"/>
  <c r="E293" i="4"/>
  <c r="E285" i="4"/>
  <c r="E277" i="4"/>
  <c r="E911" i="4"/>
  <c r="E878" i="4"/>
  <c r="E812" i="4"/>
  <c r="E790" i="4"/>
  <c r="E780" i="4"/>
  <c r="E741" i="4"/>
  <c r="E720" i="4"/>
  <c r="E677" i="4"/>
  <c r="E656" i="4"/>
  <c r="E613" i="4"/>
  <c r="E592" i="4"/>
  <c r="E549" i="4"/>
  <c r="E528" i="4"/>
  <c r="E485" i="4"/>
  <c r="E458" i="4"/>
  <c r="E1214" i="4"/>
  <c r="E919" i="4"/>
  <c r="E900" i="4"/>
  <c r="E886" i="4"/>
  <c r="E866" i="4"/>
  <c r="E841" i="4"/>
  <c r="E828" i="4"/>
  <c r="E804" i="4"/>
  <c r="E796" i="4"/>
  <c r="E767" i="4"/>
  <c r="E755" i="4"/>
  <c r="E745" i="4"/>
  <c r="E681" i="4"/>
  <c r="E617" i="4"/>
  <c r="E553" i="4"/>
  <c r="E489" i="4"/>
  <c r="E465" i="4"/>
  <c r="E434" i="4"/>
  <c r="E396" i="4"/>
  <c r="E388" i="4"/>
  <c r="E380" i="4"/>
  <c r="E372" i="4"/>
  <c r="E364" i="4"/>
  <c r="E356" i="4"/>
  <c r="E348" i="4"/>
  <c r="E340" i="4"/>
  <c r="E332" i="4"/>
  <c r="E324" i="4"/>
  <c r="E316" i="4"/>
  <c r="E308" i="4"/>
  <c r="E300" i="4"/>
  <c r="E292" i="4"/>
  <c r="E284" i="4"/>
  <c r="E276" i="4"/>
  <c r="E267" i="4"/>
  <c r="E893" i="4"/>
  <c r="E819" i="4"/>
  <c r="E713" i="4"/>
  <c r="E709" i="4"/>
  <c r="E581" i="4"/>
  <c r="E517" i="4"/>
  <c r="E1046" i="4"/>
  <c r="E783" i="4"/>
  <c r="E772" i="4"/>
  <c r="E759" i="4"/>
  <c r="E704" i="4"/>
  <c r="E700" i="4"/>
  <c r="E640" i="4"/>
  <c r="E636" i="4"/>
  <c r="E576" i="4"/>
  <c r="E572" i="4"/>
  <c r="E512" i="4"/>
  <c r="E508" i="4"/>
  <c r="E268" i="4"/>
  <c r="E259" i="4"/>
  <c r="E251" i="4"/>
  <c r="E243" i="4"/>
  <c r="E235" i="4"/>
  <c r="E227" i="4"/>
  <c r="E219" i="4"/>
  <c r="E211" i="4"/>
  <c r="E203" i="4"/>
  <c r="E195" i="4"/>
  <c r="E187" i="4"/>
  <c r="E179" i="4"/>
  <c r="E171" i="4"/>
  <c r="E163" i="4"/>
  <c r="E155" i="4"/>
  <c r="E147" i="4"/>
  <c r="E139" i="4"/>
  <c r="E131" i="4"/>
  <c r="E123" i="4"/>
  <c r="E115" i="4"/>
  <c r="E107" i="4"/>
  <c r="E99" i="4"/>
  <c r="E91" i="4"/>
  <c r="E83" i="4"/>
  <c r="E75" i="4"/>
  <c r="E67" i="4"/>
  <c r="E1286" i="4"/>
  <c r="E1182" i="4"/>
  <c r="E965" i="4"/>
  <c r="E885" i="4"/>
  <c r="E789" i="4"/>
  <c r="E784" i="4"/>
  <c r="E768" i="4"/>
  <c r="E766" i="4"/>
  <c r="E736" i="4"/>
  <c r="E722" i="4"/>
  <c r="E672" i="4"/>
  <c r="E658" i="4"/>
  <c r="E645" i="4"/>
  <c r="E544" i="4"/>
  <c r="E530" i="4"/>
  <c r="E480" i="4"/>
  <c r="E1711" i="4"/>
  <c r="E1253" i="4"/>
  <c r="E849" i="4"/>
  <c r="E816" i="4"/>
  <c r="E791" i="4"/>
  <c r="E763" i="4"/>
  <c r="E729" i="4"/>
  <c r="E725" i="4"/>
  <c r="E721" i="4"/>
  <c r="E712" i="4"/>
  <c r="E665" i="4"/>
  <c r="E661" i="4"/>
  <c r="E657" i="4"/>
  <c r="E648" i="4"/>
  <c r="E601" i="4"/>
  <c r="E597" i="4"/>
  <c r="E593" i="4"/>
  <c r="E584" i="4"/>
  <c r="E537" i="4"/>
  <c r="E533" i="4"/>
  <c r="E529" i="4"/>
  <c r="E520" i="4"/>
  <c r="E469" i="4"/>
  <c r="E450" i="4"/>
  <c r="E264" i="4"/>
  <c r="E805" i="4"/>
  <c r="E797" i="4"/>
  <c r="E776" i="4"/>
  <c r="E717" i="4"/>
  <c r="E653" i="4"/>
  <c r="E589" i="4"/>
  <c r="E525" i="4"/>
  <c r="E426" i="4"/>
  <c r="E649" i="4"/>
  <c r="E608" i="4"/>
  <c r="E594" i="4"/>
  <c r="E585" i="4"/>
  <c r="E521" i="4"/>
  <c r="E466" i="4"/>
  <c r="E1022" i="4"/>
  <c r="E909" i="4"/>
  <c r="E903" i="4"/>
  <c r="E666" i="4"/>
  <c r="E474" i="4"/>
  <c r="E232" i="4"/>
  <c r="E223" i="4"/>
  <c r="E168" i="4"/>
  <c r="E159" i="4"/>
  <c r="E46" i="4"/>
  <c r="E175" i="4"/>
  <c r="E449" i="4"/>
  <c r="E240" i="4"/>
  <c r="E112" i="4"/>
  <c r="E890" i="4"/>
  <c r="E216" i="4"/>
  <c r="E207" i="4"/>
  <c r="E152" i="4"/>
  <c r="E31" i="4"/>
  <c r="E21" i="4"/>
  <c r="E602" i="4"/>
  <c r="E472" i="4"/>
  <c r="E192" i="4"/>
  <c r="E183" i="4"/>
  <c r="E135" i="4"/>
  <c r="E208" i="4"/>
  <c r="E199" i="4"/>
  <c r="E144" i="4"/>
  <c r="E128" i="4"/>
  <c r="E96" i="4"/>
  <c r="E64" i="4"/>
  <c r="E29" i="4"/>
  <c r="E895" i="4"/>
  <c r="E803" i="4"/>
  <c r="E787" i="4"/>
  <c r="E730" i="4"/>
  <c r="E248" i="4"/>
  <c r="E239" i="4"/>
  <c r="E184" i="4"/>
  <c r="E53" i="4"/>
  <c r="E30" i="4"/>
  <c r="E176" i="4"/>
  <c r="E167" i="4"/>
  <c r="E80" i="4"/>
  <c r="E38" i="4"/>
  <c r="E811" i="4"/>
  <c r="E732" i="4"/>
  <c r="E764" i="4"/>
  <c r="E538" i="4"/>
  <c r="E256" i="4"/>
  <c r="E247" i="4"/>
  <c r="E120" i="4"/>
  <c r="E103" i="4"/>
  <c r="E88" i="4"/>
  <c r="E71" i="4"/>
  <c r="E55" i="4"/>
  <c r="E45" i="4"/>
  <c r="E798" i="4"/>
  <c r="E782" i="4"/>
  <c r="E604" i="4"/>
  <c r="E540" i="4"/>
  <c r="E442" i="4"/>
  <c r="E224" i="4"/>
  <c r="E215" i="4"/>
  <c r="E160" i="4"/>
  <c r="E151" i="4"/>
  <c r="E136" i="4"/>
  <c r="E104" i="4"/>
  <c r="E72" i="4"/>
  <c r="E54" i="4"/>
  <c r="E833" i="4"/>
  <c r="E827" i="4"/>
  <c r="E820" i="4"/>
  <c r="E668" i="4"/>
  <c r="E476" i="4"/>
  <c r="E255" i="4"/>
  <c r="E200" i="4"/>
  <c r="E191" i="4"/>
  <c r="E37" i="4"/>
  <c r="E864" i="4"/>
  <c r="E231" i="4"/>
  <c r="E143" i="4"/>
  <c r="E22" i="4"/>
  <c r="E690" i="4"/>
  <c r="E27" i="4"/>
  <c r="E180" i="4"/>
  <c r="E133" i="4"/>
  <c r="E221" i="4"/>
  <c r="E1204" i="4"/>
  <c r="E87" i="4"/>
  <c r="E711" i="4"/>
  <c r="E220" i="4"/>
  <c r="E63" i="4"/>
  <c r="E141" i="4"/>
  <c r="E252" i="4"/>
  <c r="E352" i="4"/>
  <c r="E52" i="4"/>
  <c r="E511" i="4"/>
  <c r="E48" i="4"/>
  <c r="E246" i="4"/>
  <c r="E384" i="4"/>
  <c r="E622" i="4"/>
  <c r="E406" i="4"/>
  <c r="E643" i="4"/>
  <c r="E330" i="4"/>
  <c r="E394" i="4"/>
  <c r="E420" i="4"/>
  <c r="E42" i="4"/>
  <c r="E108" i="4"/>
  <c r="E260" i="4"/>
  <c r="E375" i="4"/>
  <c r="E439" i="4"/>
  <c r="E875" i="4"/>
  <c r="E1439" i="4"/>
  <c r="E74" i="4"/>
  <c r="E121" i="4"/>
  <c r="E138" i="4"/>
  <c r="E185" i="4"/>
  <c r="E202" i="4"/>
  <c r="E249" i="4"/>
  <c r="E463" i="4"/>
  <c r="E595" i="4"/>
  <c r="E659" i="4"/>
  <c r="E723" i="4"/>
  <c r="E838" i="4"/>
  <c r="E843" i="4"/>
  <c r="E408" i="4"/>
  <c r="E563" i="4"/>
  <c r="E409" i="4"/>
  <c r="E646" i="4"/>
  <c r="E425" i="4"/>
  <c r="E588" i="4"/>
  <c r="E1060" i="4"/>
  <c r="E527" i="4"/>
  <c r="E574" i="4"/>
  <c r="E655" i="4"/>
  <c r="E702" i="4"/>
  <c r="E850" i="4"/>
  <c r="E906" i="4"/>
  <c r="E855" i="4"/>
  <c r="E1168" i="4"/>
  <c r="E479" i="4"/>
  <c r="E526" i="4"/>
  <c r="E607" i="4"/>
  <c r="E654" i="4"/>
  <c r="E735" i="4"/>
  <c r="E834" i="4"/>
  <c r="E904" i="4"/>
  <c r="E964" i="4"/>
  <c r="E1172" i="4"/>
  <c r="E427" i="4"/>
  <c r="E459" i="4"/>
  <c r="E556" i="4"/>
  <c r="E615" i="4"/>
  <c r="E726" i="4"/>
  <c r="E1065" i="4"/>
  <c r="E1220" i="4"/>
  <c r="E606" i="4"/>
  <c r="E831" i="4"/>
  <c r="E1033" i="4"/>
  <c r="E913" i="4"/>
  <c r="E1244" i="4"/>
  <c r="E793" i="4"/>
  <c r="E1036" i="4"/>
  <c r="E770" i="4"/>
  <c r="E1156" i="4"/>
  <c r="E1216" i="4"/>
  <c r="E1050" i="4"/>
  <c r="E1423" i="4"/>
  <c r="E1284" i="4"/>
  <c r="E1082" i="4"/>
  <c r="E1153" i="4"/>
  <c r="E1210" i="4"/>
  <c r="E1382" i="4"/>
  <c r="E1388" i="4"/>
  <c r="E1252" i="4"/>
  <c r="E1561" i="4"/>
  <c r="E1593" i="4"/>
  <c r="E1886" i="4"/>
  <c r="E1373" i="4"/>
  <c r="E1428" i="4"/>
  <c r="E1488" i="4"/>
  <c r="E1283" i="4"/>
  <c r="E1574" i="4"/>
  <c r="E1375" i="4"/>
  <c r="E1413" i="4"/>
  <c r="E1546" i="4"/>
  <c r="E1557" i="4"/>
  <c r="E1465" i="4"/>
  <c r="E1480" i="4"/>
  <c r="E1544" i="4"/>
  <c r="E1702" i="4"/>
  <c r="E1653" i="4"/>
  <c r="E1726" i="4"/>
  <c r="E1961" i="4"/>
  <c r="E1632" i="4"/>
  <c r="E1657" i="4"/>
  <c r="E1695" i="4"/>
  <c r="E2009" i="4"/>
  <c r="E2001" i="4"/>
  <c r="E1723" i="4"/>
  <c r="E1799" i="4"/>
  <c r="E1827" i="4"/>
  <c r="E1990" i="4"/>
  <c r="E1851" i="4"/>
  <c r="E1958" i="4"/>
  <c r="E1750" i="4"/>
  <c r="E1790" i="4"/>
  <c r="E1945" i="4"/>
  <c r="E1667" i="4"/>
  <c r="E1830" i="4"/>
  <c r="E2055" i="4"/>
  <c r="E2105" i="4"/>
  <c r="E2458" i="4"/>
  <c r="E2010" i="4"/>
  <c r="E2094" i="4"/>
  <c r="E1982" i="4"/>
  <c r="E2066" i="4"/>
  <c r="E2039" i="4"/>
  <c r="E1998" i="4"/>
  <c r="E2110" i="4"/>
  <c r="E2174" i="4"/>
  <c r="E2267" i="4"/>
  <c r="E1988" i="4"/>
  <c r="E2037" i="4"/>
  <c r="E2113" i="4"/>
  <c r="E2136" i="4"/>
  <c r="E2514" i="4"/>
  <c r="E2050" i="4"/>
  <c r="E2118" i="4"/>
  <c r="E2166" i="4"/>
  <c r="E2189" i="4"/>
  <c r="E2165" i="4"/>
  <c r="E2275" i="4"/>
  <c r="E2385" i="4"/>
  <c r="E2201" i="4"/>
  <c r="E2230" i="4"/>
  <c r="E2261" i="4"/>
  <c r="E2449" i="4"/>
  <c r="E2555" i="4"/>
  <c r="E2312" i="4"/>
  <c r="E2329" i="4"/>
  <c r="E2297" i="4"/>
  <c r="E2361" i="4"/>
  <c r="E2340" i="4"/>
  <c r="E2401" i="4"/>
  <c r="E2364" i="4"/>
  <c r="E2474" i="4"/>
  <c r="E2453" i="4"/>
  <c r="E2502" i="4"/>
  <c r="E2598" i="4"/>
  <c r="E2529" i="4"/>
  <c r="E2532" i="4"/>
  <c r="E2606" i="4"/>
  <c r="E2583" i="4"/>
  <c r="E2605" i="4"/>
  <c r="E2604" i="4"/>
  <c r="E2613" i="4"/>
  <c r="E2535" i="4"/>
  <c r="E2398" i="4"/>
  <c r="E2559" i="4"/>
  <c r="E2589" i="4"/>
  <c r="E2234" i="4"/>
  <c r="E2222" i="4"/>
  <c r="E2515" i="4"/>
  <c r="E2205" i="4"/>
  <c r="E2282" i="4"/>
  <c r="E2354" i="4"/>
  <c r="E2284" i="4"/>
  <c r="E2338" i="4"/>
  <c r="E2563" i="4"/>
  <c r="E2556" i="4"/>
  <c r="E575" i="4"/>
  <c r="E149" i="4"/>
  <c r="E647" i="4"/>
  <c r="E1088" i="4"/>
  <c r="E90" i="4"/>
  <c r="E708" i="4"/>
  <c r="E743" i="4"/>
  <c r="E809" i="4"/>
  <c r="E1044" i="4"/>
  <c r="E1178" i="4"/>
  <c r="E955" i="4"/>
  <c r="E1257" i="4"/>
  <c r="E1305" i="4"/>
  <c r="E1355" i="4"/>
  <c r="E1610" i="4"/>
  <c r="E1377" i="4"/>
  <c r="E1368" i="4"/>
  <c r="E1835" i="4"/>
  <c r="E1440" i="4"/>
  <c r="E1642" i="4"/>
  <c r="E1623" i="4"/>
  <c r="E1771" i="4"/>
  <c r="E2237" i="4"/>
  <c r="E2250" i="4"/>
  <c r="E2369" i="4"/>
  <c r="E2294" i="4"/>
  <c r="E2348" i="4"/>
  <c r="E2614" i="4"/>
  <c r="E20" i="4"/>
  <c r="E363" i="4"/>
  <c r="E165" i="4"/>
  <c r="E400" i="4"/>
  <c r="E414" i="4"/>
  <c r="E676" i="4"/>
  <c r="E306" i="4"/>
  <c r="E148" i="4"/>
  <c r="E97" i="4"/>
  <c r="E161" i="4"/>
  <c r="E326" i="4"/>
  <c r="E1026" i="4"/>
  <c r="E1261" i="4"/>
  <c r="E611" i="4"/>
  <c r="E936" i="4"/>
  <c r="E1193" i="4"/>
  <c r="E907" i="4"/>
  <c r="E1474" i="4"/>
  <c r="E1084" i="4"/>
  <c r="E1180" i="4"/>
  <c r="E1376" i="4"/>
  <c r="E1554" i="4"/>
  <c r="E1009" i="4"/>
  <c r="E1080" i="4"/>
  <c r="E1504" i="4"/>
  <c r="E1360" i="4"/>
  <c r="E1863" i="4"/>
  <c r="E1819" i="4"/>
  <c r="E1939" i="4"/>
  <c r="E2193" i="4"/>
  <c r="E2080" i="4"/>
  <c r="E2143" i="4"/>
  <c r="E2088" i="4"/>
  <c r="E2053" i="4"/>
  <c r="E2153" i="4"/>
  <c r="E2281" i="4"/>
  <c r="E2379" i="4"/>
  <c r="E368" i="4"/>
  <c r="E379" i="4"/>
  <c r="E703" i="4"/>
  <c r="E47" i="4"/>
  <c r="E78" i="4"/>
  <c r="E198" i="4"/>
  <c r="E280" i="4"/>
  <c r="E254" i="4"/>
  <c r="E190" i="4"/>
  <c r="E44" i="4"/>
  <c r="E173" i="4"/>
  <c r="E127" i="4"/>
  <c r="E142" i="4"/>
  <c r="E307" i="4"/>
  <c r="E283" i="4"/>
  <c r="E304" i="4"/>
  <c r="E571" i="4"/>
  <c r="E244" i="4"/>
  <c r="E631" i="4"/>
  <c r="E33" i="4"/>
  <c r="E691" i="4"/>
  <c r="E290" i="4"/>
  <c r="E354" i="4"/>
  <c r="E835" i="4"/>
  <c r="E68" i="4"/>
  <c r="E132" i="4"/>
  <c r="E236" i="4"/>
  <c r="E279" i="4"/>
  <c r="E295" i="4"/>
  <c r="E311" i="4"/>
  <c r="E327" i="4"/>
  <c r="E343" i="4"/>
  <c r="E359" i="4"/>
  <c r="E399" i="4"/>
  <c r="E471" i="4"/>
  <c r="E535" i="4"/>
  <c r="E599" i="4"/>
  <c r="E663" i="4"/>
  <c r="E727" i="4"/>
  <c r="E1017" i="4"/>
  <c r="E1072" i="4"/>
  <c r="E81" i="4"/>
  <c r="E98" i="4"/>
  <c r="E145" i="4"/>
  <c r="E162" i="4"/>
  <c r="E209" i="4"/>
  <c r="E226" i="4"/>
  <c r="E531" i="4"/>
  <c r="E499" i="4"/>
  <c r="E281" i="4"/>
  <c r="E297" i="4"/>
  <c r="E313" i="4"/>
  <c r="E329" i="4"/>
  <c r="E345" i="4"/>
  <c r="E361" i="4"/>
  <c r="E377" i="4"/>
  <c r="E393" i="4"/>
  <c r="E411" i="4"/>
  <c r="E566" i="4"/>
  <c r="E286" i="4"/>
  <c r="E318" i="4"/>
  <c r="E350" i="4"/>
  <c r="E382" i="4"/>
  <c r="E652" i="4"/>
  <c r="E1200" i="4"/>
  <c r="E446" i="4"/>
  <c r="E1106" i="4"/>
  <c r="E1140" i="4"/>
  <c r="E894" i="4"/>
  <c r="E970" i="4"/>
  <c r="E999" i="4"/>
  <c r="E1074" i="4"/>
  <c r="E924" i="4"/>
  <c r="E1048" i="4"/>
  <c r="E428" i="4"/>
  <c r="E460" i="4"/>
  <c r="E483" i="4"/>
  <c r="E748" i="4"/>
  <c r="E867" i="4"/>
  <c r="E542" i="4"/>
  <c r="E714" i="4"/>
  <c r="E874" i="4"/>
  <c r="E947" i="4"/>
  <c r="E930" i="4"/>
  <c r="E1092" i="4"/>
  <c r="E1177" i="4"/>
  <c r="E753" i="4"/>
  <c r="E817" i="4"/>
  <c r="E953" i="4"/>
  <c r="E1324" i="4"/>
  <c r="E961" i="4"/>
  <c r="E1010" i="4"/>
  <c r="E1034" i="4"/>
  <c r="E1098" i="4"/>
  <c r="E1169" i="4"/>
  <c r="E1226" i="4"/>
  <c r="E1344" i="4"/>
  <c r="E1403" i="4"/>
  <c r="E972" i="4"/>
  <c r="E1047" i="4"/>
  <c r="E1300" i="4"/>
  <c r="E963" i="4"/>
  <c r="E993" i="4"/>
  <c r="E1012" i="4"/>
  <c r="E1425" i="4"/>
  <c r="E1476" i="4"/>
  <c r="E1379" i="4"/>
  <c r="E1472" i="4"/>
  <c r="E1291" i="4"/>
  <c r="E1248" i="4"/>
  <c r="E1264" i="4"/>
  <c r="E1280" i="4"/>
  <c r="E1296" i="4"/>
  <c r="E1328" i="4"/>
  <c r="E1424" i="4"/>
  <c r="E1498" i="4"/>
  <c r="E1718" i="4"/>
  <c r="E1537" i="4"/>
  <c r="E1548" i="4"/>
  <c r="E1602" i="4"/>
  <c r="E1605" i="4"/>
  <c r="E1678" i="4"/>
  <c r="E1694" i="4"/>
  <c r="E1638" i="4"/>
  <c r="E1567" i="4"/>
  <c r="E1601" i="4"/>
  <c r="E1910" i="4"/>
  <c r="E1599" i="4"/>
  <c r="E1659" i="4"/>
  <c r="E1766" i="4"/>
  <c r="E1811" i="4"/>
  <c r="E1859" i="4"/>
  <c r="E1980" i="4"/>
  <c r="E1870" i="4"/>
  <c r="E1712" i="4"/>
  <c r="E1871" i="4"/>
  <c r="E1907" i="4"/>
  <c r="E2130" i="4"/>
  <c r="E2007" i="4"/>
  <c r="E2112" i="4"/>
  <c r="E1966" i="4"/>
  <c r="E2048" i="4"/>
  <c r="E2082" i="4"/>
  <c r="E2103" i="4"/>
  <c r="E2142" i="4"/>
  <c r="E2003" i="4"/>
  <c r="E2022" i="4"/>
  <c r="E2079" i="4"/>
  <c r="E2090" i="4"/>
  <c r="E2033" i="4"/>
  <c r="E2210" i="4"/>
  <c r="E2167" i="4"/>
  <c r="E2218" i="4"/>
  <c r="E2262" i="4"/>
  <c r="E2314" i="4"/>
  <c r="E2152" i="4"/>
  <c r="E2169" i="4"/>
  <c r="E2213" i="4"/>
  <c r="E2242" i="4"/>
  <c r="E2315" i="4"/>
  <c r="E2235" i="4"/>
  <c r="E2266" i="4"/>
  <c r="E2179" i="4"/>
  <c r="E2280" i="4"/>
  <c r="E2324" i="4"/>
  <c r="E2345" i="4"/>
  <c r="E2477" i="4"/>
  <c r="E2332" i="4"/>
  <c r="E2378" i="4"/>
  <c r="E2505" i="4"/>
  <c r="E2298" i="4"/>
  <c r="E2465" i="4"/>
  <c r="E2497" i="4"/>
  <c r="E2363" i="4"/>
  <c r="E2406" i="4"/>
  <c r="E2510" i="4"/>
  <c r="E2409" i="4"/>
  <c r="E2438" i="4"/>
  <c r="E2481" i="4"/>
  <c r="E2567" i="4"/>
  <c r="E2572" i="4"/>
  <c r="E2527" i="4"/>
  <c r="E2540" i="4"/>
  <c r="E2562" i="4"/>
  <c r="E2587" i="4"/>
  <c r="E2618" i="4"/>
  <c r="E2494" i="4"/>
  <c r="E2386" i="4"/>
  <c r="E2509" i="4"/>
  <c r="E2372" i="4"/>
  <c r="E2489" i="4"/>
  <c r="E2539" i="4"/>
  <c r="E2575" i="4"/>
  <c r="E2554" i="4"/>
  <c r="E2617" i="4"/>
  <c r="E2591" i="4"/>
  <c r="E2582" i="4"/>
  <c r="E2594" i="4"/>
  <c r="E2596" i="4"/>
  <c r="E2546" i="4"/>
  <c r="E2074" i="4"/>
  <c r="E2054" i="4"/>
  <c r="E2097" i="4"/>
  <c r="E2188" i="4"/>
  <c r="E2473" i="4"/>
  <c r="E2331" i="4"/>
  <c r="E2536" i="4"/>
  <c r="E2579" i="4"/>
  <c r="E635" i="4"/>
  <c r="E34" i="4"/>
  <c r="E124" i="4"/>
  <c r="E451" i="4"/>
  <c r="E491" i="4"/>
  <c r="E734" i="4"/>
  <c r="E975" i="4"/>
  <c r="E994" i="4"/>
  <c r="E1556" i="4"/>
  <c r="E1520" i="4"/>
  <c r="E1267" i="4"/>
  <c r="E1289" i="4"/>
  <c r="E1336" i="4"/>
  <c r="E1496" i="4"/>
  <c r="E1715" i="4"/>
  <c r="E1848" i="4"/>
  <c r="E1896" i="4"/>
  <c r="E2251" i="4"/>
  <c r="E2434" i="4"/>
  <c r="E2482" i="4"/>
  <c r="E2388" i="4"/>
  <c r="E2498" i="4"/>
  <c r="E2578" i="4"/>
  <c r="E2593" i="4"/>
  <c r="E519" i="4"/>
  <c r="E59" i="4"/>
  <c r="E156" i="4"/>
  <c r="E166" i="4"/>
  <c r="E114" i="4"/>
  <c r="E242" i="4"/>
  <c r="E484" i="4"/>
  <c r="E452" i="4"/>
  <c r="E534" i="4"/>
  <c r="E1066" i="4"/>
  <c r="E1433" i="4"/>
  <c r="E1275" i="4"/>
  <c r="E1345" i="4"/>
  <c r="E1899" i="4"/>
  <c r="E1637" i="4"/>
  <c r="E1782" i="4"/>
  <c r="E1983" i="4"/>
  <c r="E2008" i="4"/>
  <c r="E1986" i="4"/>
  <c r="E2111" i="4"/>
  <c r="E2295" i="4"/>
  <c r="E2544" i="4"/>
  <c r="E79" i="4"/>
  <c r="E724" i="4"/>
  <c r="E41" i="4"/>
  <c r="E119" i="4"/>
  <c r="E181" i="4"/>
  <c r="E503" i="4"/>
  <c r="E40" i="4"/>
  <c r="E315" i="4"/>
  <c r="E51" i="4"/>
  <c r="E70" i="4"/>
  <c r="E614" i="4"/>
  <c r="E494" i="4"/>
  <c r="E532" i="4"/>
  <c r="E686" i="4"/>
  <c r="E699" i="4"/>
  <c r="E102" i="4"/>
  <c r="E320" i="4"/>
  <c r="E94" i="4"/>
  <c r="E230" i="4"/>
  <c r="E253" i="4"/>
  <c r="E328" i="4"/>
  <c r="E371" i="4"/>
  <c r="E314" i="4"/>
  <c r="E378" i="4"/>
  <c r="E404" i="4"/>
  <c r="E1104" i="4"/>
  <c r="E50" i="4"/>
  <c r="E92" i="4"/>
  <c r="E416" i="4"/>
  <c r="E612" i="4"/>
  <c r="E1152" i="4"/>
  <c r="E105" i="4"/>
  <c r="E122" i="4"/>
  <c r="E169" i="4"/>
  <c r="E186" i="4"/>
  <c r="E233" i="4"/>
  <c r="E250" i="4"/>
  <c r="E467" i="4"/>
  <c r="E858" i="4"/>
  <c r="E423" i="4"/>
  <c r="E518" i="4"/>
  <c r="E716" i="4"/>
  <c r="E1008" i="4"/>
  <c r="E1878" i="4"/>
  <c r="E873" i="4"/>
  <c r="E899" i="4"/>
  <c r="E1236" i="4"/>
  <c r="E884" i="4"/>
  <c r="E435" i="4"/>
  <c r="E487" i="4"/>
  <c r="E598" i="4"/>
  <c r="E675" i="4"/>
  <c r="E870" i="4"/>
  <c r="E1234" i="4"/>
  <c r="E478" i="4"/>
  <c r="E650" i="4"/>
  <c r="E747" i="4"/>
  <c r="E1339" i="4"/>
  <c r="E932" i="4"/>
  <c r="E1124" i="4"/>
  <c r="E777" i="4"/>
  <c r="E891" i="4"/>
  <c r="E937" i="4"/>
  <c r="E1076" i="4"/>
  <c r="E1170" i="4"/>
  <c r="E969" i="4"/>
  <c r="E1350" i="4"/>
  <c r="E1600" i="4"/>
  <c r="E1816" i="4"/>
  <c r="E1114" i="4"/>
  <c r="E1185" i="4"/>
  <c r="E1356" i="4"/>
  <c r="E1485" i="4"/>
  <c r="E929" i="4"/>
  <c r="E1016" i="4"/>
  <c r="E1096" i="4"/>
  <c r="E1241" i="4"/>
  <c r="E1320" i="4"/>
  <c r="E1329" i="4"/>
  <c r="E1492" i="4"/>
  <c r="E1607" i="4"/>
  <c r="E1734" i="4"/>
  <c r="E1307" i="4"/>
  <c r="E1384" i="4"/>
  <c r="E1399" i="4"/>
  <c r="E1446" i="4"/>
  <c r="E1242" i="4"/>
  <c r="E1299" i="4"/>
  <c r="E1401" i="4"/>
  <c r="E1591" i="4"/>
  <c r="E1249" i="4"/>
  <c r="E1265" i="4"/>
  <c r="E1281" i="4"/>
  <c r="E1297" i="4"/>
  <c r="E1343" i="4"/>
  <c r="E1381" i="4"/>
  <c r="E1457" i="4"/>
  <c r="E1528" i="4"/>
  <c r="E1625" i="4"/>
  <c r="E1683" i="4"/>
  <c r="E1807" i="4"/>
  <c r="E1854" i="4"/>
  <c r="E1422" i="4"/>
  <c r="E1582" i="4"/>
  <c r="E1634" i="4"/>
  <c r="E1784" i="4"/>
  <c r="E1895" i="4"/>
  <c r="E1954" i="4"/>
  <c r="E1943" i="4"/>
  <c r="E1618" i="4"/>
  <c r="E1969" i="4"/>
  <c r="E1577" i="4"/>
  <c r="E1626" i="4"/>
  <c r="E1918" i="4"/>
  <c r="E1699" i="4"/>
  <c r="E1731" i="4"/>
  <c r="E1776" i="4"/>
  <c r="E1815" i="4"/>
  <c r="E1951" i="4"/>
  <c r="E1752" i="4"/>
  <c r="E1672" i="4"/>
  <c r="E2137" i="4"/>
  <c r="E1967" i="4"/>
  <c r="E1824" i="4"/>
  <c r="E1840" i="4"/>
  <c r="E1856" i="4"/>
  <c r="E1872" i="4"/>
  <c r="E1888" i="4"/>
  <c r="E1904" i="4"/>
  <c r="E1920" i="4"/>
  <c r="E1936" i="4"/>
  <c r="E1972" i="4"/>
  <c r="E2089" i="4"/>
  <c r="E2283" i="4"/>
  <c r="E2173" i="4"/>
  <c r="E2018" i="4"/>
  <c r="E2047" i="4"/>
  <c r="E2069" i="4"/>
  <c r="E2046" i="4"/>
  <c r="E2081" i="4"/>
  <c r="E2104" i="4"/>
  <c r="E2127" i="4"/>
  <c r="E2138" i="4"/>
  <c r="E2056" i="4"/>
  <c r="E2073" i="4"/>
  <c r="E2086" i="4"/>
  <c r="E2159" i="4"/>
  <c r="E2206" i="4"/>
  <c r="E2243" i="4"/>
  <c r="E2214" i="4"/>
  <c r="E2288" i="4"/>
  <c r="E2229" i="4"/>
  <c r="E2170" i="4"/>
  <c r="E2377" i="4"/>
  <c r="E2286" i="4"/>
  <c r="E2302" i="4"/>
  <c r="E2387" i="4"/>
  <c r="E2410" i="4"/>
  <c r="E2442" i="4"/>
  <c r="E2547" i="4"/>
  <c r="E2025" i="4"/>
  <c r="E2062" i="4"/>
  <c r="E2041" i="4"/>
  <c r="E2469" i="4"/>
  <c r="E2414" i="4"/>
  <c r="E2485" i="4"/>
  <c r="E2580" i="4"/>
  <c r="E237" i="4"/>
  <c r="E218" i="4"/>
  <c r="E706" i="4"/>
  <c r="E910" i="4"/>
  <c r="E1145" i="4"/>
  <c r="E1616" i="4"/>
  <c r="E1529" i="4"/>
  <c r="E1347" i="4"/>
  <c r="E1458" i="4"/>
  <c r="E1505" i="4"/>
  <c r="E1541" i="4"/>
  <c r="E1650" i="4"/>
  <c r="E1950" i="4"/>
  <c r="E1808" i="4"/>
  <c r="E1847" i="4"/>
  <c r="E1880" i="4"/>
  <c r="E2145" i="4"/>
  <c r="E2057" i="4"/>
  <c r="E2034" i="4"/>
  <c r="E2197" i="4"/>
  <c r="E2362" i="4"/>
  <c r="E2221" i="4"/>
  <c r="E2486" i="4"/>
  <c r="E2355" i="4"/>
  <c r="E2356" i="4"/>
  <c r="E2418" i="4"/>
  <c r="E2417" i="4"/>
  <c r="E2513" i="4"/>
  <c r="E546" i="4"/>
  <c r="E213" i="4"/>
  <c r="E336" i="4"/>
  <c r="E355" i="4"/>
  <c r="E188" i="4"/>
  <c r="E618" i="4"/>
  <c r="E323" i="4"/>
  <c r="E93" i="4"/>
  <c r="E360" i="4"/>
  <c r="E516" i="4"/>
  <c r="E694" i="4"/>
  <c r="E358" i="4"/>
  <c r="E1260" i="4"/>
  <c r="E851" i="4"/>
  <c r="E1549" i="4"/>
  <c r="E1004" i="4"/>
  <c r="E1028" i="4"/>
  <c r="E1194" i="4"/>
  <c r="E935" i="4"/>
  <c r="E1058" i="4"/>
  <c r="E1148" i="4"/>
  <c r="E1517" i="4"/>
  <c r="E1367" i="4"/>
  <c r="E1468" i="4"/>
  <c r="E1532" i="4"/>
  <c r="E1449" i="4"/>
  <c r="E1639" i="4"/>
  <c r="E1767" i="4"/>
  <c r="E1883" i="4"/>
  <c r="E2098" i="4"/>
  <c r="E2164" i="4"/>
  <c r="E2610" i="4"/>
  <c r="E2445" i="4"/>
  <c r="E2461" i="4"/>
  <c r="E23" i="4"/>
  <c r="E56" i="4"/>
  <c r="E101" i="4"/>
  <c r="E344" i="4"/>
  <c r="E482" i="4"/>
  <c r="E626" i="4"/>
  <c r="E158" i="4"/>
  <c r="E331" i="4"/>
  <c r="E695" i="4"/>
  <c r="E507" i="4"/>
  <c r="E118" i="4"/>
  <c r="E150" i="4"/>
  <c r="E261" i="4"/>
  <c r="E738" i="4"/>
  <c r="E182" i="4"/>
  <c r="E288" i="4"/>
  <c r="E387" i="4"/>
  <c r="E660" i="4"/>
  <c r="E206" i="4"/>
  <c r="E229" i="4"/>
  <c r="E77" i="4"/>
  <c r="E272" i="4"/>
  <c r="E291" i="4"/>
  <c r="E35" i="4"/>
  <c r="E172" i="4"/>
  <c r="E455" i="4"/>
  <c r="E579" i="4"/>
  <c r="E274" i="4"/>
  <c r="E338" i="4"/>
  <c r="E116" i="4"/>
  <c r="E383" i="4"/>
  <c r="E65" i="4"/>
  <c r="E82" i="4"/>
  <c r="E129" i="4"/>
  <c r="E146" i="4"/>
  <c r="E193" i="4"/>
  <c r="E210" i="4"/>
  <c r="E257" i="4"/>
  <c r="E441" i="4"/>
  <c r="E418" i="4"/>
  <c r="E740" i="4"/>
  <c r="E18" i="4"/>
  <c r="E417" i="4"/>
  <c r="E710" i="4"/>
  <c r="E278" i="4"/>
  <c r="E310" i="4"/>
  <c r="E342" i="4"/>
  <c r="E374" i="4"/>
  <c r="E514" i="4"/>
  <c r="E988" i="4"/>
  <c r="E1161" i="4"/>
  <c r="E454" i="4"/>
  <c r="E587" i="4"/>
  <c r="E715" i="4"/>
  <c r="E882" i="4"/>
  <c r="E928" i="4"/>
  <c r="E1129" i="4"/>
  <c r="E539" i="4"/>
  <c r="E667" i="4"/>
  <c r="E436" i="4"/>
  <c r="E620" i="4"/>
  <c r="E679" i="4"/>
  <c r="E586" i="4"/>
  <c r="E683" i="4"/>
  <c r="E751" i="4"/>
  <c r="E862" i="4"/>
  <c r="E1120" i="4"/>
  <c r="E1312" i="4"/>
  <c r="E1188" i="4"/>
  <c r="E801" i="4"/>
  <c r="E762" i="4"/>
  <c r="E1108" i="4"/>
  <c r="E931" i="4"/>
  <c r="E1240" i="4"/>
  <c r="E1073" i="4"/>
  <c r="E1130" i="4"/>
  <c r="E1201" i="4"/>
  <c r="E1359" i="4"/>
  <c r="E1417" i="4"/>
  <c r="E1647" i="4"/>
  <c r="E1049" i="4"/>
  <c r="E1068" i="4"/>
  <c r="E1100" i="4"/>
  <c r="E1132" i="4"/>
  <c r="E1164" i="4"/>
  <c r="E1196" i="4"/>
  <c r="E1228" i="4"/>
  <c r="E1361" i="4"/>
  <c r="E1441" i="4"/>
  <c r="E1481" i="4"/>
  <c r="E1508" i="4"/>
  <c r="E1405" i="4"/>
  <c r="E1448" i="4"/>
  <c r="E1660" i="4"/>
  <c r="E1530" i="4"/>
  <c r="E1432" i="4"/>
  <c r="E1484" i="4"/>
  <c r="E1553" i="4"/>
  <c r="E1846" i="4"/>
  <c r="E1585" i="4"/>
  <c r="E1615" i="4"/>
  <c r="E1760" i="4"/>
  <c r="E1570" i="4"/>
  <c r="E1584" i="4"/>
  <c r="E1955" i="4"/>
  <c r="E1822" i="4"/>
  <c r="E1831" i="4"/>
  <c r="E1586" i="4"/>
  <c r="E1953" i="4"/>
  <c r="E1759" i="4"/>
  <c r="E1919" i="4"/>
  <c r="E1803" i="4"/>
  <c r="E1926" i="4"/>
  <c r="E1680" i="4"/>
  <c r="E1720" i="4"/>
  <c r="E1775" i="4"/>
  <c r="E1839" i="4"/>
  <c r="E1875" i="4"/>
  <c r="E1946" i="4"/>
  <c r="E2002" i="4"/>
  <c r="E2000" i="4"/>
  <c r="E2013" i="4"/>
  <c r="E2114" i="4"/>
  <c r="E2021" i="4"/>
  <c r="E2096" i="4"/>
  <c r="E2135" i="4"/>
  <c r="E2078" i="4"/>
  <c r="E2219" i="4"/>
  <c r="E2065" i="4"/>
  <c r="E2017" i="4"/>
  <c r="E2129" i="4"/>
  <c r="E2042" i="4"/>
  <c r="E2150" i="4"/>
  <c r="E2016" i="4"/>
  <c r="E2134" i="4"/>
  <c r="E2181" i="4"/>
  <c r="E2227" i="4"/>
  <c r="E2258" i="4"/>
  <c r="E2171" i="4"/>
  <c r="E2253" i="4"/>
  <c r="E2279" i="4"/>
  <c r="E2246" i="4"/>
  <c r="E2277" i="4"/>
  <c r="E2330" i="4"/>
  <c r="E2209" i="4"/>
  <c r="E2259" i="4"/>
  <c r="E2462" i="4"/>
  <c r="E2300" i="4"/>
  <c r="E2320" i="4"/>
  <c r="E2426" i="4"/>
  <c r="E2287" i="4"/>
  <c r="E2310" i="4"/>
  <c r="E2429" i="4"/>
  <c r="E2437" i="4"/>
  <c r="E2454" i="4"/>
  <c r="E2531" i="4"/>
  <c r="E2450" i="4"/>
  <c r="E2441" i="4"/>
  <c r="E2146" i="4"/>
  <c r="E2304" i="4"/>
  <c r="E2571" i="4"/>
  <c r="E2597" i="4"/>
  <c r="E457" i="4"/>
  <c r="E189" i="4"/>
  <c r="E424" i="4"/>
  <c r="E282" i="4"/>
  <c r="E346" i="4"/>
  <c r="E60" i="4"/>
  <c r="E422" i="4"/>
  <c r="E644" i="4"/>
  <c r="E262" i="4"/>
  <c r="E1268" i="4"/>
  <c r="E1276" i="4"/>
  <c r="E956" i="4"/>
  <c r="E921" i="4"/>
  <c r="E1323" i="4"/>
  <c r="E1407" i="4"/>
  <c r="E1514" i="4"/>
  <c r="E1560" i="4"/>
  <c r="E1927" i="4"/>
  <c r="E1739" i="4"/>
  <c r="E1947" i="4"/>
  <c r="E1783" i="4"/>
  <c r="E1957" i="4"/>
  <c r="E1985" i="4"/>
  <c r="E2270" i="4"/>
  <c r="E2523" i="4"/>
  <c r="E2433" i="4"/>
  <c r="E2516" i="4"/>
  <c r="E2568" i="4"/>
  <c r="E299" i="4"/>
  <c r="E846" i="4"/>
  <c r="E178" i="4"/>
  <c r="E390" i="4"/>
  <c r="E524" i="4"/>
  <c r="E438" i="4"/>
  <c r="E523" i="4"/>
  <c r="E651" i="4"/>
  <c r="E495" i="4"/>
  <c r="E996" i="4"/>
  <c r="E1545" i="4"/>
  <c r="E1319" i="4"/>
  <c r="E1798" i="4"/>
  <c r="E1855" i="4"/>
  <c r="E1902" i="4"/>
  <c r="E2038" i="4"/>
  <c r="E2122" i="4"/>
  <c r="E2299" i="4"/>
  <c r="E2370" i="4"/>
  <c r="E2425" i="4"/>
  <c r="E2421" i="4"/>
  <c r="E2466" i="4"/>
  <c r="E2521" i="4"/>
  <c r="E2588" i="4"/>
  <c r="E2524" i="4"/>
  <c r="E2570" i="4"/>
  <c r="E2590" i="4"/>
  <c r="E2585" i="4"/>
  <c r="E95" i="4"/>
  <c r="E174" i="4"/>
  <c r="E639" i="4"/>
  <c r="E468" i="4"/>
  <c r="E214" i="4"/>
  <c r="E197" i="4"/>
  <c r="E431" i="4"/>
  <c r="E24" i="4"/>
  <c r="E596" i="4"/>
  <c r="E109" i="4"/>
  <c r="E265" i="4"/>
  <c r="E490" i="4"/>
  <c r="E583" i="4"/>
  <c r="E28" i="4"/>
  <c r="E117" i="4"/>
  <c r="E558" i="4"/>
  <c r="E298" i="4"/>
  <c r="E362" i="4"/>
  <c r="E854" i="4"/>
  <c r="E58" i="4"/>
  <c r="E76" i="4"/>
  <c r="E140" i="4"/>
  <c r="E196" i="4"/>
  <c r="E627" i="4"/>
  <c r="E1039" i="4"/>
  <c r="E89" i="4"/>
  <c r="E106" i="4"/>
  <c r="E153" i="4"/>
  <c r="E170" i="4"/>
  <c r="E217" i="4"/>
  <c r="E234" i="4"/>
  <c r="E905" i="4"/>
  <c r="E402" i="4"/>
  <c r="E707" i="4"/>
  <c r="E26" i="4"/>
  <c r="E407" i="4"/>
  <c r="E419" i="4"/>
  <c r="E630" i="4"/>
  <c r="E578" i="4"/>
  <c r="E1225" i="4"/>
  <c r="E510" i="4"/>
  <c r="E591" i="4"/>
  <c r="E638" i="4"/>
  <c r="E719" i="4"/>
  <c r="E830" i="4"/>
  <c r="E902" i="4"/>
  <c r="E983" i="4"/>
  <c r="E1042" i="4"/>
  <c r="E1002" i="4"/>
  <c r="E1209" i="4"/>
  <c r="E543" i="4"/>
  <c r="E590" i="4"/>
  <c r="E671" i="4"/>
  <c r="E718" i="4"/>
  <c r="E847" i="4"/>
  <c r="E889" i="4"/>
  <c r="E443" i="4"/>
  <c r="E470" i="4"/>
  <c r="E547" i="4"/>
  <c r="E992" i="4"/>
  <c r="E522" i="4"/>
  <c r="E619" i="4"/>
  <c r="E687" i="4"/>
  <c r="E915" i="4"/>
  <c r="E1138" i="4"/>
  <c r="E761" i="4"/>
  <c r="E825" i="4"/>
  <c r="E1136" i="4"/>
  <c r="E1232" i="4"/>
  <c r="E1353" i="4"/>
  <c r="E939" i="4"/>
  <c r="E1385" i="4"/>
  <c r="E1089" i="4"/>
  <c r="E1146" i="4"/>
  <c r="E1217" i="4"/>
  <c r="E1292" i="4"/>
  <c r="E1533" i="4"/>
  <c r="E1052" i="4"/>
  <c r="E980" i="4"/>
  <c r="E1018" i="4"/>
  <c r="E1064" i="4"/>
  <c r="E1408" i="4"/>
  <c r="E1621" i="4"/>
  <c r="E1393" i="4"/>
  <c r="E1497" i="4"/>
  <c r="E1524" i="4"/>
  <c r="E1315" i="4"/>
  <c r="E1335" i="4"/>
  <c r="E1411" i="4"/>
  <c r="E1466" i="4"/>
  <c r="E1552" i="4"/>
  <c r="E1630" i="4"/>
  <c r="E1251" i="4"/>
  <c r="E1337" i="4"/>
  <c r="E1614" i="4"/>
  <c r="E1349" i="4"/>
  <c r="E1387" i="4"/>
  <c r="E1482" i="4"/>
  <c r="E1473" i="4"/>
  <c r="E1500" i="4"/>
  <c r="E1525" i="4"/>
  <c r="E1575" i="4"/>
  <c r="E1512" i="4"/>
  <c r="E1743" i="4"/>
  <c r="E1431" i="4"/>
  <c r="E1763" i="4"/>
  <c r="E1581" i="4"/>
  <c r="E1655" i="4"/>
  <c r="E1420" i="4"/>
  <c r="E1641" i="4"/>
  <c r="E1779" i="4"/>
  <c r="E1569" i="4"/>
  <c r="E1791" i="4"/>
  <c r="E1707" i="4"/>
  <c r="E1792" i="4"/>
  <c r="E1838" i="4"/>
  <c r="E1911" i="4"/>
  <c r="E1755" i="4"/>
  <c r="E1806" i="4"/>
  <c r="E1894" i="4"/>
  <c r="E1688" i="4"/>
  <c r="E1974" i="4"/>
  <c r="E1987" i="4"/>
  <c r="E2005" i="4"/>
  <c r="E2049" i="4"/>
  <c r="E2121" i="4"/>
  <c r="E1995" i="4"/>
  <c r="E2072" i="4"/>
  <c r="E2026" i="4"/>
  <c r="E2071" i="4"/>
  <c r="E2158" i="4"/>
  <c r="E2307" i="4"/>
  <c r="E2095" i="4"/>
  <c r="E2106" i="4"/>
  <c r="E2198" i="4"/>
  <c r="E2182" i="4"/>
  <c r="E2321" i="4"/>
  <c r="E2190" i="4"/>
  <c r="E2161" i="4"/>
  <c r="E2172" i="4"/>
  <c r="E2180" i="4"/>
  <c r="E2226" i="4"/>
  <c r="E2446" i="4"/>
  <c r="E2291" i="4"/>
  <c r="E2522" i="4"/>
  <c r="E2577" i="4"/>
  <c r="E2292" i="4"/>
  <c r="E2289" i="4"/>
  <c r="E2318" i="4"/>
  <c r="E2548" i="4"/>
  <c r="E2353" i="4"/>
  <c r="E2551" i="4"/>
  <c r="E2347" i="4"/>
  <c r="E2371" i="4"/>
  <c r="E2478" i="4"/>
  <c r="E2380" i="4"/>
  <c r="E2430" i="4"/>
  <c r="E2399" i="4"/>
  <c r="E2470" i="4"/>
  <c r="E2538" i="4"/>
  <c r="E2595" i="4"/>
  <c r="E2581" i="4"/>
  <c r="E2599" i="4"/>
  <c r="E1751" i="4"/>
  <c r="E1594" i="4"/>
  <c r="E1646" i="4"/>
  <c r="E1774" i="4"/>
  <c r="E1867" i="4"/>
  <c r="E1934" i="4"/>
  <c r="E1696" i="4"/>
  <c r="E2031" i="4"/>
  <c r="E2087" i="4"/>
  <c r="E1975" i="4"/>
  <c r="E2126" i="4"/>
  <c r="E2151" i="4"/>
  <c r="E2128" i="4"/>
  <c r="E2274" i="4"/>
  <c r="E2269" i="4"/>
  <c r="E2339" i="4"/>
  <c r="E2323" i="4"/>
  <c r="E2490" i="4"/>
  <c r="E2530" i="4"/>
  <c r="E2422" i="4"/>
  <c r="E2501" i="4"/>
  <c r="E2511" i="4"/>
  <c r="E1020" i="4"/>
  <c r="E228" i="4"/>
  <c r="E391" i="4"/>
  <c r="E410" i="4"/>
  <c r="E73" i="4"/>
  <c r="E137" i="4"/>
  <c r="E201" i="4"/>
  <c r="E403" i="4"/>
  <c r="E502" i="4"/>
  <c r="E945" i="4"/>
  <c r="E754" i="4"/>
  <c r="E1025" i="4"/>
  <c r="E1121" i="4"/>
  <c r="E1308" i="4"/>
  <c r="E1710" i="4"/>
  <c r="E1400" i="4"/>
  <c r="E1949" i="4"/>
  <c r="E1686" i="4"/>
  <c r="E1931" i="4"/>
  <c r="E1649" i="4"/>
  <c r="E1747" i="4"/>
  <c r="E1915" i="4"/>
  <c r="E1994" i="4"/>
  <c r="E1832" i="4"/>
  <c r="E1864" i="4"/>
  <c r="E1928" i="4"/>
  <c r="E2029" i="4"/>
  <c r="E2245" i="4"/>
  <c r="E2163" i="4"/>
  <c r="E2603" i="4"/>
  <c r="E433" i="4"/>
  <c r="E164" i="4"/>
  <c r="E86" i="4"/>
  <c r="E61" i="4"/>
  <c r="E212" i="4"/>
  <c r="E25" i="4"/>
  <c r="E85" i="4"/>
  <c r="E370" i="4"/>
  <c r="E225" i="4"/>
  <c r="E897" i="4"/>
  <c r="E266" i="4"/>
  <c r="E415" i="4"/>
  <c r="E670" i="4"/>
  <c r="E1629" i="4"/>
  <c r="E1137" i="4"/>
  <c r="E1277" i="4"/>
  <c r="E1565" i="4"/>
  <c r="E1521" i="4"/>
  <c r="E1744" i="4"/>
  <c r="E1589" i="4"/>
  <c r="E1691" i="4"/>
  <c r="E1704" i="4"/>
  <c r="E1997" i="4"/>
  <c r="E1964" i="4"/>
  <c r="E2154" i="4"/>
  <c r="E2306" i="4"/>
  <c r="E2202" i="4"/>
  <c r="E2064" i="4"/>
  <c r="E2296" i="4"/>
  <c r="E2396" i="4"/>
  <c r="E2543" i="4"/>
  <c r="E111" i="4"/>
  <c r="E157" i="4"/>
  <c r="E562" i="4"/>
  <c r="E674" i="4"/>
  <c r="E746" i="4"/>
  <c r="E43" i="4"/>
  <c r="E376" i="4"/>
  <c r="E486" i="4"/>
  <c r="E610" i="4"/>
  <c r="E750" i="4"/>
  <c r="E567" i="4"/>
  <c r="E57" i="4"/>
  <c r="E275" i="4"/>
  <c r="E339" i="4"/>
  <c r="E554" i="4"/>
  <c r="E347" i="4"/>
  <c r="E238" i="4"/>
  <c r="E392" i="4"/>
  <c r="E19" i="4"/>
  <c r="E125" i="4"/>
  <c r="E205" i="4"/>
  <c r="E682" i="4"/>
  <c r="E62" i="4"/>
  <c r="E296" i="4"/>
  <c r="E923" i="4"/>
  <c r="E515" i="4"/>
  <c r="E322" i="4"/>
  <c r="E386" i="4"/>
  <c r="E412" i="4"/>
  <c r="E100" i="4"/>
  <c r="E271" i="4"/>
  <c r="E287" i="4"/>
  <c r="E303" i="4"/>
  <c r="E319" i="4"/>
  <c r="E335" i="4"/>
  <c r="E351" i="4"/>
  <c r="E367" i="4"/>
  <c r="E960" i="4"/>
  <c r="E1461" i="4"/>
  <c r="E66" i="4"/>
  <c r="E113" i="4"/>
  <c r="E130" i="4"/>
  <c r="E177" i="4"/>
  <c r="E194" i="4"/>
  <c r="E241" i="4"/>
  <c r="E258" i="4"/>
  <c r="E888" i="4"/>
  <c r="E273" i="4"/>
  <c r="E289" i="4"/>
  <c r="E305" i="4"/>
  <c r="E321" i="4"/>
  <c r="E337" i="4"/>
  <c r="E353" i="4"/>
  <c r="E369" i="4"/>
  <c r="E385" i="4"/>
  <c r="E401" i="4"/>
  <c r="E582" i="4"/>
  <c r="E270" i="4"/>
  <c r="E302" i="4"/>
  <c r="E334" i="4"/>
  <c r="E366" i="4"/>
  <c r="E398" i="4"/>
  <c r="E447" i="4"/>
  <c r="E642" i="4"/>
  <c r="E1057" i="4"/>
  <c r="E1452" i="4"/>
  <c r="E430" i="4"/>
  <c r="E462" i="4"/>
  <c r="E1122" i="4"/>
  <c r="E842" i="4"/>
  <c r="E940" i="4"/>
  <c r="E984" i="4"/>
  <c r="E1090" i="4"/>
  <c r="E1184" i="4"/>
  <c r="E1097" i="4"/>
  <c r="E444" i="4"/>
  <c r="E492" i="4"/>
  <c r="E551" i="4"/>
  <c r="E662" i="4"/>
  <c r="E739" i="4"/>
  <c r="E839" i="4"/>
  <c r="E859" i="4"/>
  <c r="E1113" i="4"/>
  <c r="E555" i="4"/>
  <c r="E623" i="4"/>
  <c r="E962" i="4"/>
  <c r="E1081" i="4"/>
  <c r="E1154" i="4"/>
  <c r="E883" i="4"/>
  <c r="E1218" i="4"/>
  <c r="E785" i="4"/>
  <c r="E977" i="4"/>
  <c r="E881" i="4"/>
  <c r="E1444" i="4"/>
  <c r="E948" i="4"/>
  <c r="E1041" i="4"/>
  <c r="E1501" i="4"/>
  <c r="E1316" i="4"/>
  <c r="E1105" i="4"/>
  <c r="E1162" i="4"/>
  <c r="E1233" i="4"/>
  <c r="E952" i="4"/>
  <c r="E985" i="4"/>
  <c r="E1056" i="4"/>
  <c r="E1414" i="4"/>
  <c r="E1007" i="4"/>
  <c r="E1112" i="4"/>
  <c r="E1301" i="4"/>
  <c r="E1513" i="4"/>
  <c r="E1540" i="4"/>
  <c r="E1341" i="4"/>
  <c r="E1416" i="4"/>
  <c r="E1536" i="4"/>
  <c r="E1259" i="4"/>
  <c r="E1311" i="4"/>
  <c r="E1256" i="4"/>
  <c r="E1272" i="4"/>
  <c r="E1288" i="4"/>
  <c r="E1304" i="4"/>
  <c r="E1392" i="4"/>
  <c r="E1430" i="4"/>
  <c r="E1460" i="4"/>
  <c r="E1562" i="4"/>
  <c r="E1409" i="4"/>
  <c r="E1489" i="4"/>
  <c r="E1516" i="4"/>
  <c r="E1590" i="4"/>
  <c r="E1679" i="4"/>
  <c r="E1795" i="4"/>
  <c r="E1675" i="4"/>
  <c r="E1942" i="4"/>
  <c r="E1948" i="4"/>
  <c r="E1609" i="4"/>
  <c r="E1578" i="4"/>
  <c r="E1887" i="4"/>
  <c r="E1923" i="4"/>
  <c r="E1879" i="4"/>
  <c r="E1742" i="4"/>
  <c r="E1862" i="4"/>
  <c r="E1728" i="4"/>
  <c r="E1843" i="4"/>
  <c r="E1935" i="4"/>
  <c r="E2030" i="4"/>
  <c r="E1999" i="4"/>
  <c r="E2006" i="4"/>
  <c r="E2040" i="4"/>
  <c r="E2058" i="4"/>
  <c r="E2278" i="4"/>
  <c r="E2120" i="4"/>
  <c r="E2045" i="4"/>
  <c r="E2102" i="4"/>
  <c r="E2254" i="4"/>
  <c r="E2238" i="4"/>
  <c r="E2162" i="4"/>
  <c r="E2290" i="4"/>
  <c r="E2601" i="4"/>
  <c r="E2457" i="4"/>
  <c r="E2415" i="4"/>
  <c r="E2519" i="4"/>
  <c r="E2586" i="4"/>
  <c r="E498" i="4"/>
  <c r="E742" i="4"/>
  <c r="E32" i="4"/>
  <c r="E69" i="4"/>
  <c r="E110" i="4"/>
  <c r="E269" i="4"/>
  <c r="E312" i="4"/>
  <c r="E36" i="4"/>
  <c r="E222" i="4"/>
  <c r="E245" i="4"/>
  <c r="E678" i="4"/>
  <c r="E395" i="4"/>
  <c r="E39" i="4"/>
  <c r="E49" i="4"/>
  <c r="E154" i="4"/>
  <c r="E263" i="4"/>
  <c r="E580" i="4"/>
  <c r="E548" i="4"/>
  <c r="E684" i="4"/>
  <c r="E559" i="4"/>
  <c r="E1001" i="4"/>
  <c r="E1633" i="4"/>
  <c r="E1273" i="4"/>
  <c r="E1800" i="4"/>
  <c r="E1631" i="4"/>
  <c r="E1956" i="4"/>
  <c r="E1823" i="4"/>
  <c r="E1959" i="4"/>
  <c r="E1979" i="4"/>
  <c r="E1912" i="4"/>
  <c r="E2144" i="4"/>
  <c r="E2393" i="4"/>
  <c r="E2493" i="4"/>
  <c r="E2602" i="4"/>
  <c r="E134" i="4"/>
  <c r="E550" i="4"/>
  <c r="E126" i="4"/>
  <c r="E1186" i="4"/>
  <c r="E84" i="4"/>
  <c r="E204" i="4"/>
  <c r="E294" i="4"/>
  <c r="E943" i="4"/>
  <c r="E1202" i="4"/>
  <c r="E475" i="4"/>
  <c r="E603" i="4"/>
  <c r="E731" i="4"/>
  <c r="E865" i="4"/>
  <c r="E954" i="4"/>
  <c r="E769" i="4"/>
  <c r="E1116" i="4"/>
  <c r="E1212" i="4"/>
  <c r="E1768" i="4"/>
  <c r="E1352" i="4"/>
  <c r="E1369" i="4"/>
  <c r="E1656" i="4"/>
  <c r="E1617" i="4"/>
  <c r="E1891" i="4"/>
  <c r="E1787" i="4"/>
  <c r="E1736" i="4"/>
  <c r="E1903" i="4"/>
  <c r="E2119" i="4"/>
  <c r="E2063" i="4"/>
  <c r="E2506" i="4"/>
  <c r="B37" i="15"/>
  <c r="F19" i="15"/>
  <c r="C7" i="11"/>
  <c r="E6" i="5"/>
  <c r="H17" i="15"/>
  <c r="B35" i="15"/>
  <c r="F64" i="9"/>
  <c r="F56" i="9"/>
  <c r="F48" i="9"/>
  <c r="F40" i="9"/>
  <c r="F58" i="9"/>
  <c r="F50" i="9"/>
  <c r="F63" i="9"/>
  <c r="F55" i="9"/>
  <c r="F47" i="9"/>
  <c r="F62" i="9"/>
  <c r="F61" i="9"/>
  <c r="F52" i="9"/>
  <c r="F41" i="9"/>
  <c r="F32" i="9"/>
  <c r="F24" i="9"/>
  <c r="F51" i="9"/>
  <c r="F37" i="9"/>
  <c r="F29" i="9"/>
  <c r="F21" i="9"/>
  <c r="F60" i="9"/>
  <c r="F57" i="9"/>
  <c r="F43" i="9"/>
  <c r="F42" i="9"/>
  <c r="F35" i="9"/>
  <c r="F22" i="9"/>
  <c r="F20" i="9"/>
  <c r="F64" i="8"/>
  <c r="F58" i="8"/>
  <c r="F50" i="8"/>
  <c r="F33" i="9"/>
  <c r="F18" i="9"/>
  <c r="F46" i="9"/>
  <c r="F26" i="9"/>
  <c r="F62" i="8"/>
  <c r="F54" i="8"/>
  <c r="F46" i="8"/>
  <c r="F49" i="9"/>
  <c r="F39" i="9"/>
  <c r="F28" i="9"/>
  <c r="F16" i="9"/>
  <c r="F42" i="8"/>
  <c r="F34" i="8"/>
  <c r="F26" i="8"/>
  <c r="F18" i="8"/>
  <c r="F53" i="9"/>
  <c r="F17" i="9"/>
  <c r="F63" i="8"/>
  <c r="F49" i="8"/>
  <c r="F48" i="8"/>
  <c r="F47" i="8"/>
  <c r="F39" i="8"/>
  <c r="F31" i="8"/>
  <c r="F23" i="8"/>
  <c r="F15" i="8"/>
  <c r="F45" i="9"/>
  <c r="F36" i="8"/>
  <c r="F28" i="8"/>
  <c r="F20" i="8"/>
  <c r="F30" i="9"/>
  <c r="F19" i="9"/>
  <c r="F57" i="8"/>
  <c r="F56" i="8"/>
  <c r="F55" i="8"/>
  <c r="F27" i="9"/>
  <c r="F44" i="8"/>
  <c r="F35" i="8"/>
  <c r="F25" i="8"/>
  <c r="F24" i="8"/>
  <c r="F38" i="9"/>
  <c r="F36" i="9"/>
  <c r="F34" i="9"/>
  <c r="F25" i="9"/>
  <c r="F23" i="9"/>
  <c r="F61" i="8"/>
  <c r="F59" i="8"/>
  <c r="F52" i="8"/>
  <c r="F45" i="8"/>
  <c r="F54" i="9"/>
  <c r="F38" i="8"/>
  <c r="F27" i="8"/>
  <c r="F17" i="8"/>
  <c r="F16" i="8"/>
  <c r="F37" i="8"/>
  <c r="F14" i="8"/>
  <c r="F31" i="9"/>
  <c r="F14" i="9"/>
  <c r="F53" i="8"/>
  <c r="F41" i="8"/>
  <c r="F40" i="8"/>
  <c r="F44" i="9"/>
  <c r="F43" i="8"/>
  <c r="F29" i="8"/>
  <c r="F19" i="8"/>
  <c r="F51" i="8"/>
  <c r="F32" i="8"/>
  <c r="F21" i="8"/>
  <c r="F30" i="8"/>
  <c r="F59" i="9"/>
  <c r="F15" i="9"/>
  <c r="F22" i="8"/>
  <c r="F33" i="8"/>
  <c r="F60" i="8"/>
  <c r="B12" i="10"/>
  <c r="G8" i="11"/>
  <c r="G6" i="11"/>
  <c r="G5" i="11"/>
  <c r="G7" i="11"/>
  <c r="C6" i="11"/>
  <c r="O11" i="14" l="1"/>
  <c r="S10" i="14"/>
  <c r="U5" i="14"/>
  <c r="U9" i="14"/>
  <c r="K5" i="14"/>
  <c r="T9" i="14"/>
  <c r="M13" i="14"/>
  <c r="Q7" i="14"/>
  <c r="N7" i="14"/>
  <c r="L7" i="14"/>
  <c r="L10" i="14"/>
  <c r="N11" i="14"/>
  <c r="T13" i="14"/>
  <c r="T10" i="14"/>
  <c r="D6" i="6"/>
  <c r="B13" i="14" s="1"/>
  <c r="E2592" i="4"/>
  <c r="E2569" i="4"/>
  <c r="E2534" i="4"/>
  <c r="E2552" i="4"/>
  <c r="E2480" i="4"/>
  <c r="F2480" i="4" s="1"/>
  <c r="E2495" i="4"/>
  <c r="E2537" i="4"/>
  <c r="F2537" i="4" s="1"/>
  <c r="E2366" i="4"/>
  <c r="F2366" i="4" s="1"/>
  <c r="E2391" i="4"/>
  <c r="F2391" i="4" s="1"/>
  <c r="E2341" i="4"/>
  <c r="E2439" i="4"/>
  <c r="E2558" i="4"/>
  <c r="E2407" i="4"/>
  <c r="E2475" i="4"/>
  <c r="E2271" i="4"/>
  <c r="F2271" i="4" s="1"/>
  <c r="E2367" i="4"/>
  <c r="F2367" i="4" s="1"/>
  <c r="E2423" i="4"/>
  <c r="E2476" i="4"/>
  <c r="E2316" i="4"/>
  <c r="E2195" i="4"/>
  <c r="F2195" i="4" s="1"/>
  <c r="E2115" i="4"/>
  <c r="F2115" i="4" s="1"/>
  <c r="E2224" i="4"/>
  <c r="E2322" i="4"/>
  <c r="F2322" i="4" s="1"/>
  <c r="E2327" i="4"/>
  <c r="F2327" i="4" s="1"/>
  <c r="E2192" i="4"/>
  <c r="E2051" i="4"/>
  <c r="E1989" i="4"/>
  <c r="E2132" i="4"/>
  <c r="E2028" i="4"/>
  <c r="F2028" i="4" s="1"/>
  <c r="E2101" i="4"/>
  <c r="E2207" i="4"/>
  <c r="F2207" i="4" s="1"/>
  <c r="E2092" i="4"/>
  <c r="E1906" i="4"/>
  <c r="F1906" i="4" s="1"/>
  <c r="E1842" i="4"/>
  <c r="E1778" i="4"/>
  <c r="E1965" i="4"/>
  <c r="E1881" i="4"/>
  <c r="F1881" i="4" s="1"/>
  <c r="E1817" i="4"/>
  <c r="E1992" i="4"/>
  <c r="E2076" i="4"/>
  <c r="F2076" i="4" s="1"/>
  <c r="E1993" i="4"/>
  <c r="F1993" i="4" s="1"/>
  <c r="E1780" i="4"/>
  <c r="E1706" i="4"/>
  <c r="E1674" i="4"/>
  <c r="F1674" i="4" s="1"/>
  <c r="E1868" i="4"/>
  <c r="F1868" i="4" s="1"/>
  <c r="E2252" i="4"/>
  <c r="E1940" i="4"/>
  <c r="E1756" i="4"/>
  <c r="E1709" i="4"/>
  <c r="F1709" i="4" s="1"/>
  <c r="E1772" i="4"/>
  <c r="E1580" i="4"/>
  <c r="E1837" i="4"/>
  <c r="E1620" i="4"/>
  <c r="F1620" i="4" s="1"/>
  <c r="E1592" i="4"/>
  <c r="E1564" i="4"/>
  <c r="E1909" i="4"/>
  <c r="F1909" i="4" s="1"/>
  <c r="E1568" i="4"/>
  <c r="F1568" i="4" s="1"/>
  <c r="E1453" i="4"/>
  <c r="E1386" i="4"/>
  <c r="E1321" i="4"/>
  <c r="E1213" i="4"/>
  <c r="F1213" i="4" s="1"/>
  <c r="E1149" i="4"/>
  <c r="E1085" i="4"/>
  <c r="F1085" i="4" s="1"/>
  <c r="E1539" i="4"/>
  <c r="F1539" i="4" s="1"/>
  <c r="E1451" i="4"/>
  <c r="F1451" i="4" s="1"/>
  <c r="E1334" i="4"/>
  <c r="E1566" i="4"/>
  <c r="E1410" i="4"/>
  <c r="K10" i="14"/>
  <c r="M5" i="14"/>
  <c r="M9" i="14"/>
  <c r="P15" i="14"/>
  <c r="L9" i="14"/>
  <c r="T12" i="14"/>
  <c r="Q5" i="14"/>
  <c r="P6" i="14"/>
  <c r="O6" i="14"/>
  <c r="N6" i="14"/>
  <c r="N9" i="14"/>
  <c r="D5" i="6"/>
  <c r="N8" i="14"/>
  <c r="T7" i="14"/>
  <c r="E2584" i="4"/>
  <c r="E2561" i="4"/>
  <c r="E2533" i="4"/>
  <c r="F2533" i="4" s="1"/>
  <c r="E2550" i="4"/>
  <c r="E2472" i="4"/>
  <c r="E2487" i="4"/>
  <c r="F2487" i="4" s="1"/>
  <c r="E2456" i="4"/>
  <c r="F2456" i="4" s="1"/>
  <c r="E2358" i="4"/>
  <c r="E2390" i="4"/>
  <c r="E2333" i="4"/>
  <c r="F2333" i="4" s="1"/>
  <c r="E2428" i="4"/>
  <c r="F2428" i="4" s="1"/>
  <c r="E2452" i="4"/>
  <c r="F2452" i="4" s="1"/>
  <c r="E2403" i="4"/>
  <c r="F2403" i="4" s="1"/>
  <c r="E2468" i="4"/>
  <c r="F2468" i="4" s="1"/>
  <c r="E2263" i="4"/>
  <c r="E2319" i="4"/>
  <c r="E2360" i="4"/>
  <c r="E2368" i="4"/>
  <c r="F2368" i="4" s="1"/>
  <c r="E2268" i="4"/>
  <c r="F2268" i="4" s="1"/>
  <c r="E2187" i="4"/>
  <c r="E2107" i="4"/>
  <c r="E2200" i="4"/>
  <c r="F2200" i="4" s="1"/>
  <c r="E2308" i="4"/>
  <c r="F2308" i="4" s="1"/>
  <c r="E2265" i="4"/>
  <c r="E2191" i="4"/>
  <c r="E2203" i="4"/>
  <c r="E2376" i="4"/>
  <c r="E2116" i="4"/>
  <c r="E2027" i="4"/>
  <c r="F2027" i="4" s="1"/>
  <c r="E2085" i="4"/>
  <c r="F2085" i="4" s="1"/>
  <c r="E2183" i="4"/>
  <c r="F2183" i="4" s="1"/>
  <c r="E2032" i="4"/>
  <c r="E1898" i="4"/>
  <c r="E1834" i="4"/>
  <c r="E1770" i="4"/>
  <c r="F1770" i="4" s="1"/>
  <c r="E1937" i="4"/>
  <c r="E1873" i="4"/>
  <c r="F1873" i="4" s="1"/>
  <c r="E1809" i="4"/>
  <c r="F1809" i="4" s="1"/>
  <c r="E2070" i="4"/>
  <c r="F2070" i="4" s="1"/>
  <c r="E1976" i="4"/>
  <c r="F1976" i="4" s="1"/>
  <c r="E1970" i="4"/>
  <c r="E1745" i="4"/>
  <c r="E1705" i="4"/>
  <c r="F1705" i="4" s="1"/>
  <c r="E1673" i="4"/>
  <c r="E1853" i="4"/>
  <c r="E1829" i="4"/>
  <c r="F1829" i="4" s="1"/>
  <c r="E1925" i="4"/>
  <c r="F1925" i="4" s="1"/>
  <c r="E1753" i="4"/>
  <c r="E1708" i="4"/>
  <c r="E1740" i="4"/>
  <c r="E1579" i="4"/>
  <c r="F1579" i="4" s="1"/>
  <c r="E1828" i="4"/>
  <c r="E1619" i="4"/>
  <c r="E1447" i="4"/>
  <c r="F1447" i="4" s="1"/>
  <c r="E1916" i="4"/>
  <c r="E1869" i="4"/>
  <c r="E1443" i="4"/>
  <c r="E1445" i="4"/>
  <c r="E1383" i="4"/>
  <c r="F1383" i="4" s="1"/>
  <c r="E1317" i="4"/>
  <c r="E1205" i="4"/>
  <c r="E1141" i="4"/>
  <c r="F1141" i="4" s="1"/>
  <c r="E1077" i="4"/>
  <c r="F1077" i="4" s="1"/>
  <c r="E1523" i="4"/>
  <c r="E1435" i="4"/>
  <c r="E1318" i="4"/>
  <c r="F1318" i="4" s="1"/>
  <c r="E1550" i="4"/>
  <c r="E1378" i="4"/>
  <c r="O9" i="14"/>
  <c r="Q15" i="14"/>
  <c r="S8" i="14"/>
  <c r="O14" i="14"/>
  <c r="R8" i="14"/>
  <c r="S11" i="14"/>
  <c r="S15" i="14"/>
  <c r="U8" i="14"/>
  <c r="P14" i="14"/>
  <c r="K8" i="14"/>
  <c r="N13" i="14"/>
  <c r="R6" i="14"/>
  <c r="K11" i="14"/>
  <c r="Q14" i="14"/>
  <c r="M14" i="14"/>
  <c r="L15" i="14"/>
  <c r="K13" i="14"/>
  <c r="R15" i="14"/>
  <c r="L13" i="14"/>
  <c r="L6" i="14"/>
  <c r="O8" i="14"/>
  <c r="E2611" i="4"/>
  <c r="D7" i="6"/>
  <c r="B14" i="14" s="1"/>
  <c r="E2525" i="4"/>
  <c r="E2520" i="4"/>
  <c r="Q9" i="14"/>
  <c r="E2471" i="4"/>
  <c r="F2471" i="4" s="1"/>
  <c r="E2436" i="4"/>
  <c r="E2491" i="4"/>
  <c r="E2381" i="4"/>
  <c r="E2317" i="4"/>
  <c r="F2317" i="4" s="1"/>
  <c r="E2499" i="4"/>
  <c r="E2440" i="4"/>
  <c r="E2395" i="4"/>
  <c r="F2395" i="4" s="1"/>
  <c r="E2404" i="4"/>
  <c r="F2404" i="4" s="1"/>
  <c r="E2247" i="4"/>
  <c r="E2303" i="4"/>
  <c r="E2342" i="4"/>
  <c r="E2334" i="4"/>
  <c r="F2334" i="4" s="1"/>
  <c r="E2233" i="4"/>
  <c r="E2155" i="4"/>
  <c r="E2091" i="4"/>
  <c r="F2091" i="4" s="1"/>
  <c r="E2264" i="4"/>
  <c r="F2264" i="4" s="1"/>
  <c r="E2240" i="4"/>
  <c r="E2455" i="4"/>
  <c r="E2109" i="4"/>
  <c r="E2156" i="4"/>
  <c r="E2223" i="4"/>
  <c r="E2084" i="4"/>
  <c r="E2212" i="4"/>
  <c r="F2212" i="4" s="1"/>
  <c r="E2019" i="4"/>
  <c r="F2019" i="4" s="1"/>
  <c r="E1991" i="4"/>
  <c r="E1978" i="4"/>
  <c r="E1882" i="4"/>
  <c r="E1818" i="4"/>
  <c r="F1818" i="4" s="1"/>
  <c r="E1754" i="4"/>
  <c r="E1921" i="4"/>
  <c r="E1857" i="4"/>
  <c r="F1857" i="4" s="1"/>
  <c r="E1793" i="4"/>
  <c r="F1793" i="4" s="1"/>
  <c r="E2023" i="4"/>
  <c r="E1952" i="4"/>
  <c r="E1941" i="4"/>
  <c r="E1729" i="4"/>
  <c r="E1697" i="4"/>
  <c r="E1963" i="4"/>
  <c r="E1773" i="4"/>
  <c r="F1773" i="4" s="1"/>
  <c r="E1797" i="4"/>
  <c r="F1797" i="4" s="1"/>
  <c r="E1893" i="4"/>
  <c r="E1732" i="4"/>
  <c r="E1700" i="4"/>
  <c r="E1671" i="4"/>
  <c r="F1671" i="4" s="1"/>
  <c r="E1668" i="4"/>
  <c r="E1684" i="4"/>
  <c r="E1814" i="4"/>
  <c r="F1814" i="4" s="1"/>
  <c r="E1429" i="4"/>
  <c r="F1429" i="4" s="1"/>
  <c r="E1741" i="4"/>
  <c r="E1692" i="4"/>
  <c r="E1924" i="4"/>
  <c r="E1427" i="4"/>
  <c r="F1427" i="4" s="1"/>
  <c r="E1357" i="4"/>
  <c r="E1309" i="4"/>
  <c r="E1189" i="4"/>
  <c r="F1189" i="4" s="1"/>
  <c r="E1125" i="4"/>
  <c r="F1125" i="4" s="1"/>
  <c r="E1061" i="4"/>
  <c r="E1507" i="4"/>
  <c r="E1404" i="4"/>
  <c r="E1727" i="4"/>
  <c r="F1727" i="4" s="1"/>
  <c r="E1518" i="4"/>
  <c r="E1306" i="4"/>
  <c r="E1243" i="4"/>
  <c r="F1243" i="4" s="1"/>
  <c r="E1179" i="4"/>
  <c r="F1179" i="4" s="1"/>
  <c r="K15" i="14"/>
  <c r="M8" i="14"/>
  <c r="O13" i="14"/>
  <c r="S7" i="14"/>
  <c r="M12" i="14"/>
  <c r="R5" i="14"/>
  <c r="O10" i="14"/>
  <c r="S13" i="14"/>
  <c r="R13" i="14"/>
  <c r="L14" i="14"/>
  <c r="R9" i="14"/>
  <c r="R10" i="14"/>
  <c r="B10" i="15"/>
  <c r="K14" i="14"/>
  <c r="H5" i="5"/>
  <c r="B13" i="15" s="1"/>
  <c r="E2607" i="4"/>
  <c r="F2607" i="4" s="1"/>
  <c r="E2612" i="4"/>
  <c r="E2518" i="4"/>
  <c r="E2512" i="4"/>
  <c r="E2573" i="4"/>
  <c r="F2573" i="4" s="1"/>
  <c r="E2463" i="4"/>
  <c r="E2427" i="4"/>
  <c r="E2484" i="4"/>
  <c r="F2484" i="4" s="1"/>
  <c r="E2373" i="4"/>
  <c r="E2309" i="4"/>
  <c r="E2492" i="4"/>
  <c r="E2431" i="4"/>
  <c r="E2394" i="4"/>
  <c r="E2384" i="4"/>
  <c r="E2239" i="4"/>
  <c r="E2301" i="4"/>
  <c r="F2301" i="4" s="1"/>
  <c r="E2483" i="4"/>
  <c r="F2483" i="4" s="1"/>
  <c r="E2413" i="4"/>
  <c r="E2217" i="4"/>
  <c r="E2147" i="4"/>
  <c r="E2083" i="4"/>
  <c r="F2083" i="4" s="1"/>
  <c r="E2249" i="4"/>
  <c r="E2225" i="4"/>
  <c r="E2359" i="4"/>
  <c r="F2359" i="4" s="1"/>
  <c r="E2093" i="4"/>
  <c r="F2093" i="4" s="1"/>
  <c r="E2141" i="4"/>
  <c r="E2220" i="4"/>
  <c r="E2036" i="4"/>
  <c r="F2036" i="4" s="1"/>
  <c r="E2176" i="4"/>
  <c r="F2176" i="4" s="1"/>
  <c r="E2004" i="4"/>
  <c r="E1981" i="4"/>
  <c r="E1938" i="4"/>
  <c r="F1938" i="4" s="1"/>
  <c r="E1874" i="4"/>
  <c r="E1810" i="4"/>
  <c r="E2344" i="4"/>
  <c r="E1913" i="4"/>
  <c r="F1913" i="4" s="1"/>
  <c r="E1849" i="4"/>
  <c r="E1785" i="4"/>
  <c r="E2012" i="4"/>
  <c r="E1944" i="4"/>
  <c r="E1984" i="4"/>
  <c r="E1722" i="4"/>
  <c r="E1690" i="4"/>
  <c r="E1932" i="4"/>
  <c r="E1764" i="4"/>
  <c r="F1764" i="4" s="1"/>
  <c r="E1781" i="4"/>
  <c r="E1876" i="4"/>
  <c r="E1725" i="4"/>
  <c r="F1725" i="4" s="1"/>
  <c r="E2060" i="4"/>
  <c r="F2060" i="4" s="1"/>
  <c r="E1628" i="4"/>
  <c r="E1663" i="4"/>
  <c r="E1677" i="4"/>
  <c r="F1677" i="4" s="1"/>
  <c r="E1757" i="4"/>
  <c r="F1757" i="4" s="1"/>
  <c r="E1901" i="4"/>
  <c r="E1735" i="4"/>
  <c r="E1654" i="4"/>
  <c r="F1654" i="4" s="1"/>
  <c r="E1860" i="4"/>
  <c r="E1418" i="4"/>
  <c r="E1354" i="4"/>
  <c r="E1245" i="4"/>
  <c r="E1181" i="4"/>
  <c r="F1181" i="4" s="1"/>
  <c r="E1117" i="4"/>
  <c r="E1884" i="4"/>
  <c r="E1493" i="4"/>
  <c r="F1493" i="4" s="1"/>
  <c r="E1398" i="4"/>
  <c r="F1398" i="4" s="1"/>
  <c r="E1685" i="4"/>
  <c r="E1502" i="4"/>
  <c r="E1298" i="4"/>
  <c r="E1235" i="4"/>
  <c r="F1235" i="4" s="1"/>
  <c r="E1171" i="4"/>
  <c r="Q6" i="14"/>
  <c r="L12" i="14"/>
  <c r="R7" i="14"/>
  <c r="U12" i="14"/>
  <c r="K7" i="14"/>
  <c r="U11" i="14"/>
  <c r="U6" i="14"/>
  <c r="F1001" i="4"/>
  <c r="F1609" i="4"/>
  <c r="F623" i="4"/>
  <c r="F353" i="4"/>
  <c r="F275" i="4"/>
  <c r="F1686" i="4"/>
  <c r="F2478" i="4"/>
  <c r="F1581" i="4"/>
  <c r="F547" i="4"/>
  <c r="F265" i="4"/>
  <c r="F523" i="4"/>
  <c r="F2450" i="4"/>
  <c r="F1953" i="4"/>
  <c r="F620" i="4"/>
  <c r="F261" i="4"/>
  <c r="F2034" i="4"/>
  <c r="F2069" i="4"/>
  <c r="F1591" i="4"/>
  <c r="F716" i="4"/>
  <c r="F1782" i="4"/>
  <c r="F2546" i="4"/>
  <c r="F2315" i="4"/>
  <c r="F1226" i="4"/>
  <c r="F531" i="4"/>
  <c r="F2379" i="4"/>
  <c r="F1044" i="4"/>
  <c r="F2165" i="4"/>
  <c r="F1375" i="4"/>
  <c r="F702" i="4"/>
  <c r="F1204" i="4"/>
  <c r="F30" i="4"/>
  <c r="F525" i="4"/>
  <c r="F67" i="4"/>
  <c r="F300" i="4"/>
  <c r="F293" i="4"/>
  <c r="F1134" i="4"/>
  <c r="F569" i="4"/>
  <c r="F898" i="4"/>
  <c r="F1030" i="4"/>
  <c r="F982" i="4"/>
  <c r="F1293" i="4"/>
  <c r="F1396" i="4"/>
  <c r="F1258" i="4"/>
  <c r="F1443" i="4"/>
  <c r="F2191" i="4"/>
  <c r="F559" i="4"/>
  <c r="F1948" i="4"/>
  <c r="F444" i="4"/>
  <c r="F386" i="4"/>
  <c r="F86" i="4"/>
  <c r="F2581" i="4"/>
  <c r="F1974" i="4"/>
  <c r="F1146" i="4"/>
  <c r="F362" i="4"/>
  <c r="F2433" i="4"/>
  <c r="F2042" i="4"/>
  <c r="F1130" i="4"/>
  <c r="F274" i="4"/>
  <c r="F851" i="4"/>
  <c r="F2025" i="4"/>
  <c r="F1634" i="4"/>
  <c r="F435" i="4"/>
  <c r="F79" i="4"/>
  <c r="F975" i="4"/>
  <c r="F2477" i="4"/>
  <c r="F1548" i="4"/>
  <c r="F361" i="4"/>
  <c r="F280" i="4"/>
  <c r="F1377" i="4"/>
  <c r="F2555" i="4"/>
  <c r="F1702" i="4"/>
  <c r="F607" i="4"/>
  <c r="F221" i="4"/>
  <c r="F764" i="4"/>
  <c r="F466" i="4"/>
  <c r="F768" i="4"/>
  <c r="F713" i="4"/>
  <c r="F780" i="4"/>
  <c r="F788" i="4"/>
  <c r="F815" i="4"/>
  <c r="F568" i="4"/>
  <c r="F826" i="4"/>
  <c r="F1333" i="4"/>
  <c r="F981" i="4"/>
  <c r="F1454" i="4"/>
  <c r="F1266" i="4"/>
  <c r="F1580" i="4"/>
  <c r="F1817" i="4"/>
  <c r="F2051" i="4"/>
  <c r="F2569" i="4"/>
  <c r="F1212" i="4"/>
  <c r="F134" i="4"/>
  <c r="F684" i="4"/>
  <c r="F32" i="4"/>
  <c r="F2058" i="4"/>
  <c r="F1862" i="4"/>
  <c r="F1562" i="4"/>
  <c r="F1311" i="4"/>
  <c r="F1112" i="4"/>
  <c r="F1105" i="4"/>
  <c r="F785" i="4"/>
  <c r="F1113" i="4"/>
  <c r="F1097" i="4"/>
  <c r="F430" i="4"/>
  <c r="F302" i="4"/>
  <c r="F321" i="4"/>
  <c r="F177" i="4"/>
  <c r="F335" i="4"/>
  <c r="F322" i="4"/>
  <c r="F19" i="4"/>
  <c r="F567" i="4"/>
  <c r="F562" i="4"/>
  <c r="F2306" i="4"/>
  <c r="F1521" i="4"/>
  <c r="F897" i="4"/>
  <c r="F164" i="4"/>
  <c r="F1832" i="4"/>
  <c r="F1400" i="4"/>
  <c r="F403" i="4"/>
  <c r="F2511" i="4"/>
  <c r="F2274" i="4"/>
  <c r="F1934" i="4"/>
  <c r="F2595" i="4"/>
  <c r="F2347" i="4"/>
  <c r="F2522" i="4"/>
  <c r="F2321" i="4"/>
  <c r="F2026" i="4"/>
  <c r="F1688" i="4"/>
  <c r="F1791" i="4"/>
  <c r="F1431" i="4"/>
  <c r="F1387" i="4"/>
  <c r="F1411" i="4"/>
  <c r="F1064" i="4"/>
  <c r="F1089" i="4"/>
  <c r="F1138" i="4"/>
  <c r="F443" i="4"/>
  <c r="F1002" i="4"/>
  <c r="F510" i="4"/>
  <c r="F402" i="4"/>
  <c r="F1039" i="4"/>
  <c r="F298" i="4"/>
  <c r="F596" i="4"/>
  <c r="F95" i="4"/>
  <c r="F2421" i="4"/>
  <c r="F1798" i="4"/>
  <c r="F524" i="4"/>
  <c r="F2523" i="4"/>
  <c r="F1560" i="4"/>
  <c r="F262" i="4"/>
  <c r="F457" i="4"/>
  <c r="F2454" i="4"/>
  <c r="F2462" i="4"/>
  <c r="F2171" i="4"/>
  <c r="F2129" i="4"/>
  <c r="F2114" i="4"/>
  <c r="F1720" i="4"/>
  <c r="F1831" i="4"/>
  <c r="F1846" i="4"/>
  <c r="F1508" i="4"/>
  <c r="F1100" i="4"/>
  <c r="F1073" i="4"/>
  <c r="F1120" i="4"/>
  <c r="F667" i="4"/>
  <c r="F1161" i="4"/>
  <c r="F417" i="4"/>
  <c r="F146" i="4"/>
  <c r="F579" i="4"/>
  <c r="F206" i="4"/>
  <c r="F118" i="4"/>
  <c r="F101" i="4"/>
  <c r="F1883" i="4"/>
  <c r="F1148" i="4"/>
  <c r="F1260" i="4"/>
  <c r="F188" i="4"/>
  <c r="F2356" i="4"/>
  <c r="F2145" i="4"/>
  <c r="F1458" i="4"/>
  <c r="F237" i="4"/>
  <c r="F2547" i="4"/>
  <c r="F2229" i="4"/>
  <c r="F2056" i="4"/>
  <c r="F2018" i="4"/>
  <c r="F1888" i="4"/>
  <c r="F1752" i="4"/>
  <c r="F1577" i="4"/>
  <c r="F1582" i="4"/>
  <c r="F1381" i="4"/>
  <c r="F1299" i="4"/>
  <c r="F1492" i="4"/>
  <c r="F1356" i="4"/>
  <c r="F1076" i="4"/>
  <c r="F650" i="4"/>
  <c r="F884" i="4"/>
  <c r="F423" i="4"/>
  <c r="F105" i="4"/>
  <c r="F378" i="4"/>
  <c r="F102" i="4"/>
  <c r="F315" i="4"/>
  <c r="F2544" i="4"/>
  <c r="F1899" i="4"/>
  <c r="F242" i="4"/>
  <c r="F2498" i="4"/>
  <c r="F1496" i="4"/>
  <c r="F734" i="4"/>
  <c r="F2331" i="4"/>
  <c r="F2594" i="4"/>
  <c r="F2372" i="4"/>
  <c r="F2527" i="4"/>
  <c r="F2363" i="4"/>
  <c r="F2345" i="4"/>
  <c r="F2213" i="4"/>
  <c r="F2033" i="4"/>
  <c r="F2048" i="4"/>
  <c r="F1870" i="4"/>
  <c r="F1601" i="4"/>
  <c r="F1537" i="4"/>
  <c r="F1248" i="4"/>
  <c r="F963" i="4"/>
  <c r="F1098" i="4"/>
  <c r="F1177" i="4"/>
  <c r="F748" i="4"/>
  <c r="F970" i="4"/>
  <c r="F350" i="4"/>
  <c r="F345" i="4"/>
  <c r="F209" i="4"/>
  <c r="F663" i="4"/>
  <c r="F311" i="4"/>
  <c r="F290" i="4"/>
  <c r="F307" i="4"/>
  <c r="F198" i="4"/>
  <c r="F2153" i="4"/>
  <c r="F1863" i="4"/>
  <c r="F1084" i="4"/>
  <c r="F326" i="4"/>
  <c r="F165" i="4"/>
  <c r="F2237" i="4"/>
  <c r="F1610" i="4"/>
  <c r="F743" i="4"/>
  <c r="F2563" i="4"/>
  <c r="F2234" i="4"/>
  <c r="F2583" i="4"/>
  <c r="F2364" i="4"/>
  <c r="F2449" i="4"/>
  <c r="F2166" i="4"/>
  <c r="F2267" i="4"/>
  <c r="F2010" i="4"/>
  <c r="F1750" i="4"/>
  <c r="F2009" i="4"/>
  <c r="F1544" i="4"/>
  <c r="F1283" i="4"/>
  <c r="F1388" i="4"/>
  <c r="F1216" i="4"/>
  <c r="F831" i="4"/>
  <c r="F427" i="4"/>
  <c r="F526" i="4"/>
  <c r="F574" i="4"/>
  <c r="F408" i="4"/>
  <c r="F202" i="4"/>
  <c r="F375" i="4"/>
  <c r="F406" i="4"/>
  <c r="F252" i="4"/>
  <c r="F133" i="4"/>
  <c r="F37" i="4"/>
  <c r="F833" i="4"/>
  <c r="F224" i="4"/>
  <c r="F71" i="4"/>
  <c r="F732" i="4"/>
  <c r="F184" i="4"/>
  <c r="F64" i="4"/>
  <c r="F192" i="4"/>
  <c r="F890" i="4"/>
  <c r="F223" i="4"/>
  <c r="F521" i="4"/>
  <c r="F653" i="4"/>
  <c r="F520" i="4"/>
  <c r="F648" i="4"/>
  <c r="F763" i="4"/>
  <c r="F544" i="4"/>
  <c r="F784" i="4"/>
  <c r="F83" i="4"/>
  <c r="F147" i="4"/>
  <c r="F211" i="4"/>
  <c r="F508" i="4"/>
  <c r="F759" i="4"/>
  <c r="F819" i="4"/>
  <c r="F316" i="4"/>
  <c r="F380" i="4"/>
  <c r="F681" i="4"/>
  <c r="F866" i="4"/>
  <c r="F549" i="4"/>
  <c r="F790" i="4"/>
  <c r="F309" i="4"/>
  <c r="F373" i="4"/>
  <c r="F440" i="4"/>
  <c r="F541" i="4"/>
  <c r="F728" i="4"/>
  <c r="F795" i="4"/>
  <c r="F1118" i="4"/>
  <c r="F892" i="4"/>
  <c r="F1426" i="4"/>
  <c r="F570" i="4"/>
  <c r="F698" i="4"/>
  <c r="F823" i="4"/>
  <c r="F1021" i="4"/>
  <c r="F461" i="4"/>
  <c r="F629" i="4"/>
  <c r="F807" i="4"/>
  <c r="F933" i="4"/>
  <c r="F573" i="4"/>
  <c r="F701" i="4"/>
  <c r="F813" i="4"/>
  <c r="F968" i="4"/>
  <c r="F944" i="4"/>
  <c r="F863" i="4"/>
  <c r="F1661" i="4"/>
  <c r="F872" i="4"/>
  <c r="F1255" i="4"/>
  <c r="F1079" i="4"/>
  <c r="F1207" i="4"/>
  <c r="F1450" i="4"/>
  <c r="F978" i="4"/>
  <c r="F1362" i="4"/>
  <c r="F1023" i="4"/>
  <c r="F1519" i="4"/>
  <c r="F1038" i="4"/>
  <c r="F1174" i="4"/>
  <c r="F1391" i="4"/>
  <c r="F990" i="4"/>
  <c r="F1135" i="4"/>
  <c r="F1199" i="4"/>
  <c r="F1506" i="4"/>
  <c r="F1503" i="4"/>
  <c r="F1531" i="4"/>
  <c r="F1687" i="4"/>
  <c r="F1933" i="4"/>
  <c r="F1456" i="4"/>
  <c r="F1643" i="4"/>
  <c r="F1019" i="4"/>
  <c r="F1083" i="4"/>
  <c r="F1147" i="4"/>
  <c r="F1211" i="4"/>
  <c r="F1274" i="4"/>
  <c r="F1462" i="4"/>
  <c r="F1608" i="4"/>
  <c r="F1340" i="4"/>
  <c r="F1475" i="4"/>
  <c r="F1555" i="4"/>
  <c r="F1093" i="4"/>
  <c r="F1157" i="4"/>
  <c r="F1221" i="4"/>
  <c r="F1325" i="4"/>
  <c r="F1389" i="4"/>
  <c r="F1588" i="4"/>
  <c r="F1635" i="4"/>
  <c r="F1314" i="4"/>
  <c r="F1613" i="4"/>
  <c r="F1622" i="4"/>
  <c r="F1651" i="4"/>
  <c r="F1852" i="4"/>
  <c r="F1595" i="4"/>
  <c r="F1805" i="4"/>
  <c r="F1716" i="4"/>
  <c r="F1765" i="4"/>
  <c r="F1971" i="4"/>
  <c r="F1737" i="4"/>
  <c r="F1885" i="4"/>
  <c r="F1681" i="4"/>
  <c r="F1713" i="4"/>
  <c r="F1796" i="4"/>
  <c r="F2014" i="4"/>
  <c r="F2108" i="4"/>
  <c r="F2015" i="4"/>
  <c r="F1825" i="4"/>
  <c r="F1889" i="4"/>
  <c r="F1973" i="4"/>
  <c r="F1786" i="4"/>
  <c r="F1850" i="4"/>
  <c r="F1914" i="4"/>
  <c r="F2124" i="4"/>
  <c r="F2075" i="4"/>
  <c r="F2117" i="4"/>
  <c r="F2186" i="4"/>
  <c r="F2149" i="4"/>
  <c r="F2043" i="4"/>
  <c r="F2052" i="4"/>
  <c r="F2241" i="4"/>
  <c r="F2560" i="4"/>
  <c r="F2346" i="4"/>
  <c r="F2244" i="4"/>
  <c r="F2123" i="4"/>
  <c r="F2199" i="4"/>
  <c r="F2336" i="4"/>
  <c r="F2305" i="4"/>
  <c r="F2444" i="4"/>
  <c r="F2397" i="4"/>
  <c r="F2328" i="4"/>
  <c r="F2500" i="4"/>
  <c r="F2412" i="4"/>
  <c r="F2411" i="4"/>
  <c r="F2448" i="4"/>
  <c r="F2349" i="4"/>
  <c r="F2392" i="4"/>
  <c r="F2374" i="4"/>
  <c r="F2566" i="4"/>
  <c r="F2503" i="4"/>
  <c r="F2488" i="4"/>
  <c r="F2541" i="4"/>
  <c r="F2609" i="4"/>
  <c r="F2608" i="4"/>
  <c r="F2600" i="4"/>
  <c r="F1352" i="4"/>
  <c r="F110" i="4"/>
  <c r="F1272" i="4"/>
  <c r="F1122" i="4"/>
  <c r="F205" i="4"/>
  <c r="F61" i="4"/>
  <c r="F2031" i="4"/>
  <c r="F1987" i="4"/>
  <c r="F1552" i="4"/>
  <c r="F638" i="4"/>
  <c r="F2521" i="4"/>
  <c r="F424" i="4"/>
  <c r="F1839" i="4"/>
  <c r="F1201" i="4"/>
  <c r="F338" i="4"/>
  <c r="F1367" i="4"/>
  <c r="F1541" i="4"/>
  <c r="F1920" i="4"/>
  <c r="F1734" i="4"/>
  <c r="F169" i="4"/>
  <c r="F452" i="4"/>
  <c r="F2539" i="4"/>
  <c r="F2103" i="4"/>
  <c r="F1280" i="4"/>
  <c r="F1074" i="4"/>
  <c r="F343" i="4"/>
  <c r="F1939" i="4"/>
  <c r="F1368" i="4"/>
  <c r="F2312" i="4"/>
  <c r="F1653" i="4"/>
  <c r="F654" i="4"/>
  <c r="F52" i="4"/>
  <c r="F538" i="4"/>
  <c r="F1022" i="4"/>
  <c r="F766" i="4"/>
  <c r="F709" i="4"/>
  <c r="F741" i="4"/>
  <c r="F481" i="4"/>
  <c r="F557" i="4"/>
  <c r="F765" i="4"/>
  <c r="F869" i="4"/>
  <c r="F1175" i="4"/>
  <c r="F1394" i="4"/>
  <c r="F1183" i="4"/>
  <c r="F1648" i="4"/>
  <c r="F1131" i="4"/>
  <c r="F1317" i="4"/>
  <c r="F1740" i="4"/>
  <c r="F1853" i="4"/>
  <c r="F2550" i="4"/>
  <c r="F2584" i="4"/>
  <c r="F475" i="4"/>
  <c r="F2601" i="4"/>
  <c r="F1301" i="4"/>
  <c r="F334" i="4"/>
  <c r="F125" i="4"/>
  <c r="F266" i="4"/>
  <c r="F1020" i="4"/>
  <c r="F2577" i="4"/>
  <c r="F1763" i="4"/>
  <c r="F470" i="4"/>
  <c r="F109" i="4"/>
  <c r="F1927" i="4"/>
  <c r="F2300" i="4"/>
  <c r="F1586" i="4"/>
  <c r="F1312" i="4"/>
  <c r="F229" i="4"/>
  <c r="F618" i="4"/>
  <c r="F2170" i="4"/>
  <c r="F1626" i="4"/>
  <c r="F1607" i="4"/>
  <c r="F518" i="4"/>
  <c r="F1637" i="4"/>
  <c r="F2596" i="4"/>
  <c r="F2210" i="4"/>
  <c r="F993" i="4"/>
  <c r="F999" i="4"/>
  <c r="F354" i="4"/>
  <c r="F1026" i="4"/>
  <c r="F2556" i="4"/>
  <c r="F2189" i="4"/>
  <c r="F1574" i="4"/>
  <c r="F655" i="4"/>
  <c r="F352" i="4"/>
  <c r="F55" i="4"/>
  <c r="F168" i="4"/>
  <c r="F530" i="4"/>
  <c r="F704" i="4"/>
  <c r="F528" i="4"/>
  <c r="F673" i="4"/>
  <c r="F561" i="4"/>
  <c r="F624" i="4"/>
  <c r="F922" i="4"/>
  <c r="F1063" i="4"/>
  <c r="F1459" i="4"/>
  <c r="F1192" i="4"/>
  <c r="F1669" i="4"/>
  <c r="F1139" i="4"/>
  <c r="F1386" i="4"/>
  <c r="F1592" i="4"/>
  <c r="F1706" i="4"/>
  <c r="F2132" i="4"/>
  <c r="F2476" i="4"/>
  <c r="F2475" i="4"/>
  <c r="F2439" i="4"/>
  <c r="T31" i="14"/>
  <c r="L31" i="14"/>
  <c r="P30" i="14"/>
  <c r="T29" i="14"/>
  <c r="L29" i="14"/>
  <c r="P28" i="14"/>
  <c r="T27" i="14"/>
  <c r="L27" i="14"/>
  <c r="T26" i="14"/>
  <c r="L26" i="14"/>
  <c r="T25" i="14"/>
  <c r="L25" i="14"/>
  <c r="P24" i="14"/>
  <c r="T23" i="14"/>
  <c r="L23" i="14"/>
  <c r="P22" i="14"/>
  <c r="N21" i="14"/>
  <c r="B13" i="10"/>
  <c r="B14" i="10" s="1"/>
  <c r="B17" i="10" s="1"/>
  <c r="C57" i="9"/>
  <c r="D57" i="9" s="1"/>
  <c r="C49" i="9"/>
  <c r="D49" i="9" s="1"/>
  <c r="C41" i="9"/>
  <c r="D41" i="9" s="1"/>
  <c r="R31" i="14"/>
  <c r="N30" i="14"/>
  <c r="R29" i="14"/>
  <c r="N28" i="14"/>
  <c r="R27" i="14"/>
  <c r="R26" i="14"/>
  <c r="R25" i="14"/>
  <c r="N24" i="14"/>
  <c r="R23" i="14"/>
  <c r="N22" i="14"/>
  <c r="T21" i="14"/>
  <c r="L21" i="14"/>
  <c r="C59" i="9"/>
  <c r="D59" i="9" s="1"/>
  <c r="C51" i="9"/>
  <c r="D51" i="9" s="1"/>
  <c r="Q31" i="14"/>
  <c r="U30" i="14"/>
  <c r="M30" i="14"/>
  <c r="Q29" i="14"/>
  <c r="U28" i="14"/>
  <c r="M28" i="14"/>
  <c r="Q27" i="14"/>
  <c r="Q26" i="14"/>
  <c r="Q25" i="14"/>
  <c r="U24" i="14"/>
  <c r="M24" i="14"/>
  <c r="Q23" i="14"/>
  <c r="U22" i="14"/>
  <c r="M22" i="14"/>
  <c r="S21" i="14"/>
  <c r="K21" i="14"/>
  <c r="C64" i="9"/>
  <c r="D64" i="9" s="1"/>
  <c r="C56" i="9"/>
  <c r="D56" i="9" s="1"/>
  <c r="C48" i="9"/>
  <c r="D48" i="9" s="1"/>
  <c r="P31" i="14"/>
  <c r="T30" i="14"/>
  <c r="L30" i="14"/>
  <c r="P29" i="14"/>
  <c r="T28" i="14"/>
  <c r="L28" i="14"/>
  <c r="P27" i="14"/>
  <c r="P26" i="14"/>
  <c r="P25" i="14"/>
  <c r="T24" i="14"/>
  <c r="L24" i="14"/>
  <c r="P23" i="14"/>
  <c r="T22" i="14"/>
  <c r="L22" i="14"/>
  <c r="R21" i="14"/>
  <c r="O31" i="14"/>
  <c r="O30" i="14"/>
  <c r="K29" i="14"/>
  <c r="U27" i="14"/>
  <c r="K26" i="14"/>
  <c r="O25" i="14"/>
  <c r="O24" i="14"/>
  <c r="K23" i="14"/>
  <c r="C58" i="9"/>
  <c r="D58" i="9" s="1"/>
  <c r="C33" i="9"/>
  <c r="D33" i="9" s="1"/>
  <c r="C25" i="9"/>
  <c r="D25" i="9" s="1"/>
  <c r="F5" i="15"/>
  <c r="N31" i="14"/>
  <c r="K30" i="14"/>
  <c r="S27" i="14"/>
  <c r="N25" i="14"/>
  <c r="K24" i="14"/>
  <c r="U21" i="14"/>
  <c r="C61" i="9"/>
  <c r="D61" i="9" s="1"/>
  <c r="C60" i="9"/>
  <c r="D60" i="9" s="1"/>
  <c r="C42" i="9"/>
  <c r="D42" i="9" s="1"/>
  <c r="C38" i="9"/>
  <c r="D38" i="9" s="1"/>
  <c r="C30" i="9"/>
  <c r="D30" i="9" s="1"/>
  <c r="C22" i="9"/>
  <c r="D22" i="9" s="1"/>
  <c r="C14" i="9"/>
  <c r="D14" i="9" s="1"/>
  <c r="M31" i="14"/>
  <c r="S28" i="14"/>
  <c r="O27" i="14"/>
  <c r="M25" i="14"/>
  <c r="S22" i="14"/>
  <c r="Q21" i="14"/>
  <c r="S29" i="14"/>
  <c r="Q28" i="14"/>
  <c r="M27" i="14"/>
  <c r="S26" i="14"/>
  <c r="S23" i="14"/>
  <c r="Q22" i="14"/>
  <c r="O21" i="14"/>
  <c r="C54" i="9"/>
  <c r="D54" i="9" s="1"/>
  <c r="K28" i="14"/>
  <c r="Q24" i="14"/>
  <c r="O22" i="14"/>
  <c r="C40" i="9"/>
  <c r="D40" i="9" s="1"/>
  <c r="C39" i="9"/>
  <c r="D39" i="9" s="1"/>
  <c r="C37" i="9"/>
  <c r="D37" i="9" s="1"/>
  <c r="C16" i="9"/>
  <c r="D16" i="9" s="1"/>
  <c r="C59" i="8"/>
  <c r="D59" i="8" s="1"/>
  <c r="C51" i="8"/>
  <c r="D51" i="8" s="1"/>
  <c r="U31" i="14"/>
  <c r="U29" i="14"/>
  <c r="U26" i="14"/>
  <c r="K22" i="14"/>
  <c r="C36" i="9"/>
  <c r="D36" i="9" s="1"/>
  <c r="C35" i="9"/>
  <c r="D35" i="9" s="1"/>
  <c r="C24" i="9"/>
  <c r="D24" i="9" s="1"/>
  <c r="M29" i="14"/>
  <c r="M26" i="14"/>
  <c r="K25" i="14"/>
  <c r="N23" i="14"/>
  <c r="M21" i="14"/>
  <c r="C53" i="9"/>
  <c r="D53" i="9" s="1"/>
  <c r="C32" i="9"/>
  <c r="D32" i="9" s="1"/>
  <c r="C18" i="9"/>
  <c r="D18" i="9" s="1"/>
  <c r="C63" i="8"/>
  <c r="D63" i="8" s="1"/>
  <c r="C55" i="8"/>
  <c r="D55" i="8" s="1"/>
  <c r="C47" i="8"/>
  <c r="D47" i="8" s="1"/>
  <c r="Q30" i="14"/>
  <c r="N27" i="14"/>
  <c r="N26" i="14"/>
  <c r="R22" i="14"/>
  <c r="C62" i="9"/>
  <c r="D62" i="9" s="1"/>
  <c r="C46" i="9"/>
  <c r="D46" i="9" s="1"/>
  <c r="C44" i="9"/>
  <c r="D44" i="9" s="1"/>
  <c r="C23" i="9"/>
  <c r="D23" i="9" s="1"/>
  <c r="C20" i="9"/>
  <c r="D20" i="9" s="1"/>
  <c r="C54" i="8"/>
  <c r="D54" i="8" s="1"/>
  <c r="C35" i="8"/>
  <c r="D35" i="8" s="1"/>
  <c r="C27" i="8"/>
  <c r="D27" i="8" s="1"/>
  <c r="C19" i="8"/>
  <c r="D19" i="8" s="1"/>
  <c r="K27" i="14"/>
  <c r="S24" i="14"/>
  <c r="C55" i="9"/>
  <c r="D55" i="9" s="1"/>
  <c r="C31" i="9"/>
  <c r="D31" i="9" s="1"/>
  <c r="C15" i="9"/>
  <c r="D15" i="9" s="1"/>
  <c r="C53" i="8"/>
  <c r="D53" i="8" s="1"/>
  <c r="C52" i="8"/>
  <c r="D52" i="8" s="1"/>
  <c r="C43" i="8"/>
  <c r="D43" i="8" s="1"/>
  <c r="C40" i="8"/>
  <c r="D40" i="8" s="1"/>
  <c r="C32" i="8"/>
  <c r="D32" i="8" s="1"/>
  <c r="C24" i="8"/>
  <c r="D24" i="8" s="1"/>
  <c r="C16" i="8"/>
  <c r="D16" i="8" s="1"/>
  <c r="I6" i="5"/>
  <c r="O29" i="14"/>
  <c r="R24" i="14"/>
  <c r="P21" i="14"/>
  <c r="C47" i="9"/>
  <c r="D47" i="9" s="1"/>
  <c r="C28" i="9"/>
  <c r="D28" i="9" s="1"/>
  <c r="C21" i="9"/>
  <c r="D21" i="9" s="1"/>
  <c r="C50" i="8"/>
  <c r="D50" i="8" s="1"/>
  <c r="C37" i="8"/>
  <c r="D37" i="8" s="1"/>
  <c r="C29" i="8"/>
  <c r="D29" i="8" s="1"/>
  <c r="C21" i="8"/>
  <c r="D21" i="8" s="1"/>
  <c r="K31" i="14"/>
  <c r="U23" i="14"/>
  <c r="R28" i="14"/>
  <c r="O23" i="14"/>
  <c r="C52" i="9"/>
  <c r="D52" i="9" s="1"/>
  <c r="C50" i="9"/>
  <c r="D50" i="9" s="1"/>
  <c r="C43" i="9"/>
  <c r="D43" i="9" s="1"/>
  <c r="C61" i="8"/>
  <c r="D61" i="8" s="1"/>
  <c r="C60" i="8"/>
  <c r="D60" i="8" s="1"/>
  <c r="N29" i="14"/>
  <c r="S25" i="14"/>
  <c r="C19" i="9"/>
  <c r="D19" i="9" s="1"/>
  <c r="C58" i="8"/>
  <c r="D58" i="8" s="1"/>
  <c r="C49" i="8"/>
  <c r="D49" i="8" s="1"/>
  <c r="D6" i="7"/>
  <c r="H6" i="5"/>
  <c r="G2613" i="4"/>
  <c r="H2613" i="4" s="1"/>
  <c r="O26" i="14"/>
  <c r="C27" i="9"/>
  <c r="D27" i="9" s="1"/>
  <c r="C34" i="8"/>
  <c r="D34" i="8" s="1"/>
  <c r="C33" i="8"/>
  <c r="D33" i="8" s="1"/>
  <c r="C23" i="8"/>
  <c r="D23" i="8" s="1"/>
  <c r="C22" i="8"/>
  <c r="D22" i="8" s="1"/>
  <c r="D5" i="7"/>
  <c r="G2616" i="4"/>
  <c r="H2616" i="4" s="1"/>
  <c r="G2615" i="4"/>
  <c r="H2615" i="4" s="1"/>
  <c r="G2614" i="4"/>
  <c r="H2614" i="4" s="1"/>
  <c r="O28" i="14"/>
  <c r="C45" i="9"/>
  <c r="D45" i="9" s="1"/>
  <c r="C34" i="9"/>
  <c r="D34" i="9" s="1"/>
  <c r="C29" i="9"/>
  <c r="D29" i="9" s="1"/>
  <c r="C44" i="8"/>
  <c r="D44" i="8" s="1"/>
  <c r="G2608" i="4"/>
  <c r="H2608" i="4" s="1"/>
  <c r="G2607" i="4"/>
  <c r="H2607" i="4" s="1"/>
  <c r="S31" i="14"/>
  <c r="M23" i="14"/>
  <c r="C63" i="9"/>
  <c r="D63" i="9" s="1"/>
  <c r="C36" i="8"/>
  <c r="D36" i="8" s="1"/>
  <c r="C26" i="8"/>
  <c r="D26" i="8" s="1"/>
  <c r="C25" i="8"/>
  <c r="D25" i="8" s="1"/>
  <c r="C15" i="8"/>
  <c r="D15" i="8" s="1"/>
  <c r="C64" i="8"/>
  <c r="D64" i="8" s="1"/>
  <c r="C56" i="8"/>
  <c r="D56" i="8" s="1"/>
  <c r="C48" i="8"/>
  <c r="D48" i="8" s="1"/>
  <c r="C45" i="8"/>
  <c r="D45" i="8" s="1"/>
  <c r="C17" i="9"/>
  <c r="D17" i="9" s="1"/>
  <c r="C46" i="8"/>
  <c r="D46" i="8" s="1"/>
  <c r="C20" i="8"/>
  <c r="D20" i="8" s="1"/>
  <c r="C57" i="8"/>
  <c r="D57" i="8" s="1"/>
  <c r="C31" i="8"/>
  <c r="D31" i="8" s="1"/>
  <c r="G2537" i="4"/>
  <c r="H2537" i="4" s="1"/>
  <c r="C41" i="8"/>
  <c r="D41" i="8" s="1"/>
  <c r="C14" i="8"/>
  <c r="D14" i="8" s="1"/>
  <c r="G2600" i="4"/>
  <c r="H2600" i="4" s="1"/>
  <c r="G2576" i="4"/>
  <c r="H2576" i="4" s="1"/>
  <c r="U25" i="14"/>
  <c r="C26" i="9"/>
  <c r="D26" i="9" s="1"/>
  <c r="C62" i="8"/>
  <c r="D62" i="8" s="1"/>
  <c r="C38" i="8"/>
  <c r="D38" i="8" s="1"/>
  <c r="C17" i="8"/>
  <c r="D17" i="8" s="1"/>
  <c r="G2603" i="4"/>
  <c r="H2603" i="4" s="1"/>
  <c r="G2595" i="4"/>
  <c r="H2595" i="4" s="1"/>
  <c r="S30" i="14"/>
  <c r="G2592" i="4"/>
  <c r="H2592" i="4" s="1"/>
  <c r="G2584" i="4"/>
  <c r="H2584" i="4" s="1"/>
  <c r="G2574" i="4"/>
  <c r="H2574" i="4" s="1"/>
  <c r="G2566" i="4"/>
  <c r="H2566" i="4" s="1"/>
  <c r="R30" i="14"/>
  <c r="G2573" i="4"/>
  <c r="H2573" i="4" s="1"/>
  <c r="G2565" i="4"/>
  <c r="H2565" i="4" s="1"/>
  <c r="G2557" i="4"/>
  <c r="C28" i="8"/>
  <c r="D28" i="8" s="1"/>
  <c r="D8" i="7"/>
  <c r="D15" i="14" s="1"/>
  <c r="G2556" i="4"/>
  <c r="H2556" i="4" s="1"/>
  <c r="G2535" i="4"/>
  <c r="H2535" i="4" s="1"/>
  <c r="G2504" i="4"/>
  <c r="H2504" i="4" s="1"/>
  <c r="G2496" i="4"/>
  <c r="H2496" i="4" s="1"/>
  <c r="G2488" i="4"/>
  <c r="H2488" i="4" s="1"/>
  <c r="G2480" i="4"/>
  <c r="G2472" i="4"/>
  <c r="H2472" i="4" s="1"/>
  <c r="G2464" i="4"/>
  <c r="H2464" i="4" s="1"/>
  <c r="G2456" i="4"/>
  <c r="H2456" i="4" s="1"/>
  <c r="G2448" i="4"/>
  <c r="H2448" i="4" s="1"/>
  <c r="G2440" i="4"/>
  <c r="H2440" i="4" s="1"/>
  <c r="G2432" i="4"/>
  <c r="H2432" i="4" s="1"/>
  <c r="G2424" i="4"/>
  <c r="H2424" i="4" s="1"/>
  <c r="G2416" i="4"/>
  <c r="G2408" i="4"/>
  <c r="H2408" i="4" s="1"/>
  <c r="C39" i="8"/>
  <c r="D39" i="8" s="1"/>
  <c r="D7" i="7"/>
  <c r="G2585" i="4"/>
  <c r="H2585" i="4" s="1"/>
  <c r="G2550" i="4"/>
  <c r="H2550" i="4" s="1"/>
  <c r="G2593" i="4"/>
  <c r="H2593" i="4" s="1"/>
  <c r="G2547" i="4"/>
  <c r="H2547" i="4" s="1"/>
  <c r="G2542" i="4"/>
  <c r="H2542" i="4" s="1"/>
  <c r="G2529" i="4"/>
  <c r="H2529" i="4" s="1"/>
  <c r="G2521" i="4"/>
  <c r="H2521" i="4" s="1"/>
  <c r="G2513" i="4"/>
  <c r="H2513" i="4" s="1"/>
  <c r="G2563" i="4"/>
  <c r="H2563" i="4" s="1"/>
  <c r="G2548" i="4"/>
  <c r="H2548" i="4" s="1"/>
  <c r="C42" i="8"/>
  <c r="D42" i="8" s="1"/>
  <c r="C30" i="8"/>
  <c r="D30" i="8" s="1"/>
  <c r="C18" i="8"/>
  <c r="D18" i="8" s="1"/>
  <c r="G2571" i="4"/>
  <c r="H2571" i="4" s="1"/>
  <c r="G2564" i="4"/>
  <c r="H2564" i="4" s="1"/>
  <c r="G2540" i="4"/>
  <c r="H2540" i="4" s="1"/>
  <c r="G2532" i="4"/>
  <c r="H2532" i="4" s="1"/>
  <c r="G2524" i="4"/>
  <c r="H2524" i="4" s="1"/>
  <c r="G2516" i="4"/>
  <c r="H2516" i="4" s="1"/>
  <c r="G2507" i="4"/>
  <c r="H2507" i="4" s="1"/>
  <c r="G2499" i="4"/>
  <c r="H2499" i="4" s="1"/>
  <c r="G2491" i="4"/>
  <c r="H2491" i="4" s="1"/>
  <c r="G2483" i="4"/>
  <c r="H2483" i="4" s="1"/>
  <c r="G2475" i="4"/>
  <c r="H2475" i="4" s="1"/>
  <c r="G2467" i="4"/>
  <c r="H2467" i="4" s="1"/>
  <c r="G2459" i="4"/>
  <c r="H2459" i="4" s="1"/>
  <c r="G2451" i="4"/>
  <c r="H2451" i="4" s="1"/>
  <c r="G2443" i="4"/>
  <c r="H2443" i="4" s="1"/>
  <c r="G2435" i="4"/>
  <c r="G2427" i="4"/>
  <c r="H2427" i="4" s="1"/>
  <c r="G2419" i="4"/>
  <c r="H2419" i="4" s="1"/>
  <c r="G2534" i="4"/>
  <c r="H2534" i="4" s="1"/>
  <c r="G2506" i="4"/>
  <c r="H2506" i="4" s="1"/>
  <c r="G2489" i="4"/>
  <c r="H2489" i="4" s="1"/>
  <c r="G2474" i="4"/>
  <c r="H2474" i="4" s="1"/>
  <c r="G2433" i="4"/>
  <c r="H2433" i="4" s="1"/>
  <c r="G2430" i="4"/>
  <c r="H2430" i="4" s="1"/>
  <c r="G2418" i="4"/>
  <c r="H2418" i="4" s="1"/>
  <c r="G2406" i="4"/>
  <c r="H2406" i="4" s="1"/>
  <c r="G2400" i="4"/>
  <c r="H2400" i="4" s="1"/>
  <c r="G2392" i="4"/>
  <c r="H2392" i="4" s="1"/>
  <c r="G2526" i="4"/>
  <c r="H2526" i="4" s="1"/>
  <c r="G2445" i="4"/>
  <c r="H2445" i="4" s="1"/>
  <c r="G2442" i="4"/>
  <c r="H2442" i="4" s="1"/>
  <c r="G2411" i="4"/>
  <c r="G2410" i="4"/>
  <c r="H2410" i="4" s="1"/>
  <c r="G2518" i="4"/>
  <c r="H2518" i="4" s="1"/>
  <c r="G2497" i="4"/>
  <c r="H2497" i="4" s="1"/>
  <c r="G2482" i="4"/>
  <c r="H2482" i="4" s="1"/>
  <c r="G2465" i="4"/>
  <c r="H2465" i="4" s="1"/>
  <c r="G2403" i="4"/>
  <c r="H2403" i="4" s="1"/>
  <c r="G2395" i="4"/>
  <c r="H2395" i="4" s="1"/>
  <c r="G2572" i="4"/>
  <c r="G2558" i="4"/>
  <c r="H2558" i="4" s="1"/>
  <c r="G2533" i="4"/>
  <c r="H2533" i="4" s="1"/>
  <c r="G2505" i="4"/>
  <c r="H2505" i="4" s="1"/>
  <c r="G2490" i="4"/>
  <c r="H2490" i="4" s="1"/>
  <c r="G2473" i="4"/>
  <c r="H2473" i="4" s="1"/>
  <c r="G2376" i="4"/>
  <c r="H2376" i="4" s="1"/>
  <c r="G2368" i="4"/>
  <c r="H2368" i="4" s="1"/>
  <c r="G2360" i="4"/>
  <c r="H2360" i="4" s="1"/>
  <c r="G2555" i="4"/>
  <c r="H2555" i="4" s="1"/>
  <c r="G2527" i="4"/>
  <c r="H2527" i="4" s="1"/>
  <c r="G2525" i="4"/>
  <c r="H2525" i="4" s="1"/>
  <c r="G2458" i="4"/>
  <c r="H2458" i="4" s="1"/>
  <c r="G2383" i="4"/>
  <c r="H2383" i="4" s="1"/>
  <c r="G2375" i="4"/>
  <c r="H2375" i="4" s="1"/>
  <c r="G2367" i="4"/>
  <c r="H2367" i="4" s="1"/>
  <c r="G2359" i="4"/>
  <c r="H2359" i="4" s="1"/>
  <c r="G2351" i="4"/>
  <c r="H2351" i="4" s="1"/>
  <c r="G2343" i="4"/>
  <c r="H2343" i="4" s="1"/>
  <c r="G2517" i="4"/>
  <c r="H2517" i="4" s="1"/>
  <c r="G2389" i="4"/>
  <c r="H2389" i="4" s="1"/>
  <c r="G2382" i="4"/>
  <c r="H2382" i="4" s="1"/>
  <c r="G2357" i="4"/>
  <c r="H2357" i="4" s="1"/>
  <c r="G2342" i="4"/>
  <c r="H2342" i="4" s="1"/>
  <c r="G2320" i="4"/>
  <c r="H2320" i="4" s="1"/>
  <c r="G2312" i="4"/>
  <c r="H2312" i="4" s="1"/>
  <c r="G2304" i="4"/>
  <c r="H2304" i="4" s="1"/>
  <c r="G2277" i="4"/>
  <c r="H2277" i="4" s="1"/>
  <c r="G2269" i="4"/>
  <c r="H2269" i="4" s="1"/>
  <c r="G2261" i="4"/>
  <c r="H2261" i="4" s="1"/>
  <c r="G2253" i="4"/>
  <c r="H2253" i="4" s="1"/>
  <c r="G2245" i="4"/>
  <c r="H2245" i="4" s="1"/>
  <c r="G2237" i="4"/>
  <c r="G2229" i="4"/>
  <c r="H2229" i="4" s="1"/>
  <c r="G2352" i="4"/>
  <c r="H2352" i="4" s="1"/>
  <c r="G2333" i="4"/>
  <c r="H2333" i="4" s="1"/>
  <c r="G2519" i="4"/>
  <c r="H2519" i="4" s="1"/>
  <c r="G2498" i="4"/>
  <c r="H2498" i="4" s="1"/>
  <c r="G2453" i="4"/>
  <c r="H2453" i="4" s="1"/>
  <c r="G2417" i="4"/>
  <c r="H2417" i="4" s="1"/>
  <c r="G2409" i="4"/>
  <c r="H2409" i="4" s="1"/>
  <c r="G2365" i="4"/>
  <c r="H2365" i="4" s="1"/>
  <c r="G2358" i="4"/>
  <c r="H2358" i="4" s="1"/>
  <c r="G2349" i="4"/>
  <c r="H2349" i="4" s="1"/>
  <c r="G2334" i="4"/>
  <c r="H2334" i="4" s="1"/>
  <c r="G2450" i="4"/>
  <c r="H2450" i="4" s="1"/>
  <c r="G2414" i="4"/>
  <c r="H2414" i="4" s="1"/>
  <c r="G2390" i="4"/>
  <c r="H2390" i="4" s="1"/>
  <c r="G2335" i="4"/>
  <c r="G2325" i="4"/>
  <c r="H2325" i="4" s="1"/>
  <c r="G2324" i="4"/>
  <c r="H2324" i="4" s="1"/>
  <c r="G2441" i="4"/>
  <c r="H2441" i="4" s="1"/>
  <c r="G2438" i="4"/>
  <c r="H2438" i="4" s="1"/>
  <c r="G2373" i="4"/>
  <c r="H2373" i="4" s="1"/>
  <c r="G2366" i="4"/>
  <c r="H2366" i="4" s="1"/>
  <c r="G2350" i="4"/>
  <c r="H2350" i="4" s="1"/>
  <c r="G2326" i="4"/>
  <c r="H2326" i="4" s="1"/>
  <c r="G2405" i="4"/>
  <c r="H2405" i="4" s="1"/>
  <c r="G2398" i="4"/>
  <c r="H2398" i="4" s="1"/>
  <c r="G2344" i="4"/>
  <c r="H2344" i="4" s="1"/>
  <c r="G2327" i="4"/>
  <c r="H2327" i="4" s="1"/>
  <c r="G2272" i="4"/>
  <c r="H2272" i="4" s="1"/>
  <c r="G2264" i="4"/>
  <c r="H2264" i="4" s="1"/>
  <c r="G2256" i="4"/>
  <c r="H2256" i="4" s="1"/>
  <c r="G2248" i="4"/>
  <c r="H2248" i="4" s="1"/>
  <c r="G2240" i="4"/>
  <c r="H2240" i="4" s="1"/>
  <c r="G2232" i="4"/>
  <c r="H2232" i="4" s="1"/>
  <c r="G2224" i="4"/>
  <c r="H2224" i="4" s="1"/>
  <c r="G2216" i="4"/>
  <c r="H2216" i="4" s="1"/>
  <c r="G2208" i="4"/>
  <c r="H2208" i="4" s="1"/>
  <c r="G2200" i="4"/>
  <c r="H2200" i="4" s="1"/>
  <c r="G2318" i="4"/>
  <c r="H2318" i="4" s="1"/>
  <c r="G2294" i="4"/>
  <c r="H2294" i="4" s="1"/>
  <c r="G2270" i="4"/>
  <c r="H2270" i="4" s="1"/>
  <c r="G2266" i="4"/>
  <c r="H2266" i="4" s="1"/>
  <c r="G2221" i="4"/>
  <c r="H2221" i="4" s="1"/>
  <c r="G2209" i="4"/>
  <c r="H2209" i="4" s="1"/>
  <c r="G2153" i="4"/>
  <c r="H2153" i="4" s="1"/>
  <c r="G2145" i="4"/>
  <c r="H2145" i="4" s="1"/>
  <c r="G2137" i="4"/>
  <c r="H2137" i="4" s="1"/>
  <c r="G2129" i="4"/>
  <c r="G2121" i="4"/>
  <c r="H2121" i="4" s="1"/>
  <c r="G2113" i="4"/>
  <c r="H2113" i="4" s="1"/>
  <c r="G2105" i="4"/>
  <c r="H2105" i="4" s="1"/>
  <c r="G2097" i="4"/>
  <c r="H2097" i="4" s="1"/>
  <c r="G2089" i="4"/>
  <c r="H2089" i="4" s="1"/>
  <c r="G2081" i="4"/>
  <c r="H2081" i="4" s="1"/>
  <c r="G2466" i="4"/>
  <c r="H2466" i="4" s="1"/>
  <c r="G2255" i="4"/>
  <c r="H2255" i="4" s="1"/>
  <c r="G2168" i="4"/>
  <c r="H2168" i="4" s="1"/>
  <c r="G2160" i="4"/>
  <c r="H2160" i="4" s="1"/>
  <c r="G2341" i="4"/>
  <c r="H2341" i="4" s="1"/>
  <c r="G2308" i="4"/>
  <c r="H2308" i="4" s="1"/>
  <c r="G2303" i="4"/>
  <c r="H2303" i="4" s="1"/>
  <c r="G2301" i="4"/>
  <c r="H2301" i="4" s="1"/>
  <c r="G2296" i="4"/>
  <c r="H2296" i="4" s="1"/>
  <c r="G2286" i="4"/>
  <c r="H2286" i="4" s="1"/>
  <c r="G2279" i="4"/>
  <c r="H2279" i="4" s="1"/>
  <c r="G2231" i="4"/>
  <c r="H2231" i="4" s="1"/>
  <c r="G2317" i="4"/>
  <c r="H2317" i="4" s="1"/>
  <c r="G2310" i="4"/>
  <c r="H2310" i="4" s="1"/>
  <c r="G2271" i="4"/>
  <c r="H2271" i="4" s="1"/>
  <c r="G2192" i="4"/>
  <c r="H2192" i="4" s="1"/>
  <c r="G2191" i="4"/>
  <c r="H2191" i="4" s="1"/>
  <c r="G2481" i="4"/>
  <c r="H2481" i="4" s="1"/>
  <c r="G2421" i="4"/>
  <c r="H2421" i="4" s="1"/>
  <c r="G2381" i="4"/>
  <c r="H2381" i="4" s="1"/>
  <c r="G2374" i="4"/>
  <c r="H2374" i="4" s="1"/>
  <c r="G2319" i="4"/>
  <c r="H2319" i="4" s="1"/>
  <c r="G2293" i="4"/>
  <c r="H2293" i="4" s="1"/>
  <c r="G2288" i="4"/>
  <c r="H2288" i="4" s="1"/>
  <c r="G2247" i="4"/>
  <c r="H2247" i="4" s="1"/>
  <c r="G2215" i="4"/>
  <c r="H2215" i="4" s="1"/>
  <c r="G2184" i="4"/>
  <c r="H2184" i="4" s="1"/>
  <c r="G2183" i="4"/>
  <c r="H2183" i="4" s="1"/>
  <c r="G2295" i="4"/>
  <c r="H2295" i="4" s="1"/>
  <c r="G2223" i="4"/>
  <c r="H2223" i="4" s="1"/>
  <c r="G2207" i="4"/>
  <c r="H2207" i="4" s="1"/>
  <c r="G2186" i="4"/>
  <c r="H2186" i="4" s="1"/>
  <c r="G2177" i="4"/>
  <c r="H2177" i="4" s="1"/>
  <c r="G2176" i="4"/>
  <c r="H2176" i="4" s="1"/>
  <c r="G2175" i="4"/>
  <c r="H2175" i="4" s="1"/>
  <c r="G2156" i="4"/>
  <c r="H2156" i="4" s="1"/>
  <c r="G2148" i="4"/>
  <c r="H2148" i="4" s="1"/>
  <c r="G2285" i="4"/>
  <c r="H2285" i="4" s="1"/>
  <c r="G2132" i="4"/>
  <c r="H2132" i="4" s="1"/>
  <c r="G2116" i="4"/>
  <c r="H2116" i="4" s="1"/>
  <c r="G2100" i="4"/>
  <c r="H2100" i="4" s="1"/>
  <c r="G2084" i="4"/>
  <c r="H2084" i="4" s="1"/>
  <c r="G2073" i="4"/>
  <c r="H2073" i="4" s="1"/>
  <c r="G2036" i="4"/>
  <c r="H2036" i="4" s="1"/>
  <c r="G2035" i="4"/>
  <c r="H2035" i="4" s="1"/>
  <c r="G2311" i="4"/>
  <c r="H2311" i="4" s="1"/>
  <c r="G2138" i="4"/>
  <c r="H2138" i="4" s="1"/>
  <c r="G2122" i="4"/>
  <c r="H2122" i="4" s="1"/>
  <c r="G2106" i="4"/>
  <c r="H2106" i="4" s="1"/>
  <c r="G2090" i="4"/>
  <c r="H2090" i="4" s="1"/>
  <c r="G2028" i="4"/>
  <c r="H2028" i="4" s="1"/>
  <c r="G2027" i="4"/>
  <c r="H2027" i="4" s="1"/>
  <c r="G2340" i="4"/>
  <c r="H2340" i="4" s="1"/>
  <c r="G2287" i="4"/>
  <c r="H2287" i="4" s="1"/>
  <c r="G2280" i="4"/>
  <c r="H2280" i="4" s="1"/>
  <c r="G2239" i="4"/>
  <c r="H2239" i="4" s="1"/>
  <c r="G2217" i="4"/>
  <c r="H2217" i="4" s="1"/>
  <c r="G2154" i="4"/>
  <c r="G2147" i="4"/>
  <c r="H2147" i="4" s="1"/>
  <c r="G2074" i="4"/>
  <c r="H2074" i="4" s="1"/>
  <c r="G2020" i="4"/>
  <c r="H2020" i="4" s="1"/>
  <c r="G2019" i="4"/>
  <c r="H2019" i="4" s="1"/>
  <c r="G2004" i="4"/>
  <c r="H2004" i="4" s="1"/>
  <c r="G1996" i="4"/>
  <c r="H1996" i="4" s="1"/>
  <c r="G2250" i="4"/>
  <c r="H2250" i="4" s="1"/>
  <c r="G2178" i="4"/>
  <c r="H2178" i="4" s="1"/>
  <c r="G2139" i="4"/>
  <c r="H2139" i="4" s="1"/>
  <c r="G2123" i="4"/>
  <c r="H2123" i="4" s="1"/>
  <c r="G2107" i="4"/>
  <c r="H2107" i="4" s="1"/>
  <c r="G2091" i="4"/>
  <c r="H2091" i="4" s="1"/>
  <c r="G2075" i="4"/>
  <c r="H2075" i="4" s="1"/>
  <c r="G2065" i="4"/>
  <c r="H2065" i="4" s="1"/>
  <c r="G2058" i="4"/>
  <c r="H2058" i="4" s="1"/>
  <c r="G2012" i="4"/>
  <c r="H2012" i="4" s="1"/>
  <c r="G2011" i="4"/>
  <c r="H2011" i="4" s="1"/>
  <c r="G2316" i="4"/>
  <c r="H2316" i="4" s="1"/>
  <c r="G2230" i="4"/>
  <c r="H2230" i="4" s="1"/>
  <c r="G2155" i="4"/>
  <c r="H2155" i="4" s="1"/>
  <c r="G2124" i="4"/>
  <c r="H2124" i="4" s="1"/>
  <c r="G2108" i="4"/>
  <c r="H2108" i="4" s="1"/>
  <c r="G2092" i="4"/>
  <c r="H2092" i="4" s="1"/>
  <c r="G2076" i="4"/>
  <c r="H2076" i="4" s="1"/>
  <c r="G2060" i="4"/>
  <c r="H2060" i="4" s="1"/>
  <c r="G2059" i="4"/>
  <c r="H2059" i="4" s="1"/>
  <c r="G2014" i="4"/>
  <c r="H2014" i="4" s="1"/>
  <c r="G1992" i="4"/>
  <c r="H1992" i="4" s="1"/>
  <c r="G1984" i="4"/>
  <c r="H1984" i="4" s="1"/>
  <c r="G2199" i="4"/>
  <c r="H2199" i="4" s="1"/>
  <c r="G2140" i="4"/>
  <c r="H2140" i="4" s="1"/>
  <c r="G2130" i="4"/>
  <c r="H2130" i="4" s="1"/>
  <c r="G2114" i="4"/>
  <c r="H2114" i="4" s="1"/>
  <c r="G2098" i="4"/>
  <c r="H2098" i="4" s="1"/>
  <c r="G2082" i="4"/>
  <c r="H2082" i="4" s="1"/>
  <c r="G2066" i="4"/>
  <c r="H2066" i="4" s="1"/>
  <c r="G2061" i="4"/>
  <c r="H2061" i="4" s="1"/>
  <c r="G2328" i="4"/>
  <c r="H2328" i="4" s="1"/>
  <c r="G2254" i="4"/>
  <c r="H2254" i="4" s="1"/>
  <c r="G2226" i="4"/>
  <c r="H2226" i="4" s="1"/>
  <c r="G2146" i="4"/>
  <c r="H2146" i="4" s="1"/>
  <c r="G2044" i="4"/>
  <c r="H2044" i="4" s="1"/>
  <c r="G1982" i="4"/>
  <c r="H1982" i="4" s="1"/>
  <c r="G1937" i="4"/>
  <c r="H1937" i="4" s="1"/>
  <c r="G2068" i="4"/>
  <c r="H2068" i="4" s="1"/>
  <c r="G2042" i="4"/>
  <c r="H2042" i="4" s="1"/>
  <c r="G1974" i="4"/>
  <c r="H1974" i="4" s="1"/>
  <c r="G1973" i="4"/>
  <c r="H1973" i="4" s="1"/>
  <c r="G1966" i="4"/>
  <c r="H1966" i="4" s="1"/>
  <c r="G1965" i="4"/>
  <c r="H1965" i="4" s="1"/>
  <c r="G2309" i="4"/>
  <c r="H2309" i="4" s="1"/>
  <c r="G2302" i="4"/>
  <c r="H2302" i="4" s="1"/>
  <c r="G2263" i="4"/>
  <c r="H2263" i="4" s="1"/>
  <c r="G2053" i="4"/>
  <c r="H2053" i="4" s="1"/>
  <c r="G2051" i="4"/>
  <c r="H2051" i="4" s="1"/>
  <c r="G1968" i="4"/>
  <c r="H1968" i="4" s="1"/>
  <c r="G2131" i="4"/>
  <c r="H2131" i="4" s="1"/>
  <c r="G2099" i="4"/>
  <c r="H2099" i="4" s="1"/>
  <c r="G2045" i="4"/>
  <c r="H2045" i="4" s="1"/>
  <c r="G1989" i="4"/>
  <c r="H1989" i="4" s="1"/>
  <c r="G1976" i="4"/>
  <c r="H1976" i="4" s="1"/>
  <c r="G1960" i="4"/>
  <c r="H1960" i="4" s="1"/>
  <c r="G1952" i="4"/>
  <c r="H1952" i="4" s="1"/>
  <c r="G1944" i="4"/>
  <c r="H1944" i="4" s="1"/>
  <c r="G2041" i="4"/>
  <c r="H2041" i="4" s="1"/>
  <c r="G1990" i="4"/>
  <c r="H1990" i="4" s="1"/>
  <c r="G1853" i="4"/>
  <c r="H1853" i="4" s="1"/>
  <c r="G1845" i="4"/>
  <c r="H1845" i="4" s="1"/>
  <c r="G1837" i="4"/>
  <c r="H1837" i="4" s="1"/>
  <c r="G1829" i="4"/>
  <c r="H1829" i="4" s="1"/>
  <c r="G1821" i="4"/>
  <c r="H1821" i="4" s="1"/>
  <c r="G1813" i="4"/>
  <c r="H1813" i="4" s="1"/>
  <c r="G1805" i="4"/>
  <c r="H1805" i="4" s="1"/>
  <c r="G1797" i="4"/>
  <c r="H1797" i="4" s="1"/>
  <c r="G1789" i="4"/>
  <c r="H1789" i="4" s="1"/>
  <c r="G1781" i="4"/>
  <c r="H1781" i="4" s="1"/>
  <c r="G1773" i="4"/>
  <c r="H1773" i="4" s="1"/>
  <c r="G1765" i="4"/>
  <c r="H1765" i="4" s="1"/>
  <c r="G1757" i="4"/>
  <c r="H1757" i="4" s="1"/>
  <c r="G1749" i="4"/>
  <c r="G1741" i="4"/>
  <c r="H1741" i="4" s="1"/>
  <c r="G2067" i="4"/>
  <c r="H2067" i="4" s="1"/>
  <c r="G2052" i="4"/>
  <c r="H2052" i="4" s="1"/>
  <c r="G1940" i="4"/>
  <c r="H1940" i="4" s="1"/>
  <c r="G1932" i="4"/>
  <c r="H1932" i="4" s="1"/>
  <c r="G1924" i="4"/>
  <c r="H1924" i="4" s="1"/>
  <c r="G1916" i="4"/>
  <c r="H1916" i="4" s="1"/>
  <c r="G1908" i="4"/>
  <c r="H1908" i="4" s="1"/>
  <c r="G1900" i="4"/>
  <c r="H1900" i="4" s="1"/>
  <c r="G1892" i="4"/>
  <c r="H1892" i="4" s="1"/>
  <c r="G1884" i="4"/>
  <c r="H1884" i="4" s="1"/>
  <c r="G1876" i="4"/>
  <c r="H1876" i="4" s="1"/>
  <c r="G1868" i="4"/>
  <c r="H1868" i="4" s="1"/>
  <c r="G1860" i="4"/>
  <c r="H1860" i="4" s="1"/>
  <c r="G1852" i="4"/>
  <c r="H1852" i="4" s="1"/>
  <c r="G1844" i="4"/>
  <c r="G1836" i="4"/>
  <c r="H1836" i="4" s="1"/>
  <c r="G1828" i="4"/>
  <c r="H1828" i="4" s="1"/>
  <c r="G1820" i="4"/>
  <c r="H1820" i="4" s="1"/>
  <c r="G2050" i="4"/>
  <c r="H2050" i="4" s="1"/>
  <c r="G2043" i="4"/>
  <c r="H2043" i="4" s="1"/>
  <c r="G2033" i="4"/>
  <c r="H2033" i="4" s="1"/>
  <c r="G1991" i="4"/>
  <c r="H1991" i="4" s="1"/>
  <c r="G1971" i="4"/>
  <c r="G1963" i="4"/>
  <c r="H1963" i="4" s="1"/>
  <c r="G2115" i="4"/>
  <c r="H2115" i="4" s="1"/>
  <c r="G1922" i="4"/>
  <c r="H1922" i="4" s="1"/>
  <c r="G1890" i="4"/>
  <c r="H1890" i="4" s="1"/>
  <c r="G1858" i="4"/>
  <c r="H1858" i="4" s="1"/>
  <c r="G1767" i="4"/>
  <c r="H1767" i="4" s="1"/>
  <c r="G1746" i="4"/>
  <c r="H1746" i="4" s="1"/>
  <c r="G1923" i="4"/>
  <c r="H1923" i="4" s="1"/>
  <c r="G1891" i="4"/>
  <c r="H1891" i="4" s="1"/>
  <c r="G1859" i="4"/>
  <c r="H1859" i="4" s="1"/>
  <c r="G1834" i="4"/>
  <c r="H1834" i="4" s="1"/>
  <c r="G1827" i="4"/>
  <c r="H1827" i="4" s="1"/>
  <c r="G1810" i="4"/>
  <c r="H1810" i="4" s="1"/>
  <c r="G1794" i="4"/>
  <c r="H1794" i="4" s="1"/>
  <c r="G1778" i="4"/>
  <c r="H1778" i="4" s="1"/>
  <c r="G1770" i="4"/>
  <c r="H1770" i="4" s="1"/>
  <c r="G1756" i="4"/>
  <c r="H1756" i="4" s="1"/>
  <c r="G1738" i="4"/>
  <c r="H1738" i="4" s="1"/>
  <c r="G1733" i="4"/>
  <c r="H1733" i="4" s="1"/>
  <c r="G1725" i="4"/>
  <c r="H1725" i="4" s="1"/>
  <c r="G1717" i="4"/>
  <c r="H1717" i="4" s="1"/>
  <c r="G1709" i="4"/>
  <c r="H1709" i="4" s="1"/>
  <c r="G1701" i="4"/>
  <c r="H1701" i="4" s="1"/>
  <c r="G1693" i="4"/>
  <c r="H1693" i="4" s="1"/>
  <c r="G1685" i="4"/>
  <c r="H1685" i="4" s="1"/>
  <c r="G1677" i="4"/>
  <c r="H1677" i="4" s="1"/>
  <c r="G1981" i="4"/>
  <c r="H1981" i="4" s="1"/>
  <c r="G1930" i="4"/>
  <c r="H1930" i="4" s="1"/>
  <c r="G1898" i="4"/>
  <c r="H1898" i="4" s="1"/>
  <c r="G1866" i="4"/>
  <c r="H1866" i="4" s="1"/>
  <c r="G1804" i="4"/>
  <c r="H1804" i="4" s="1"/>
  <c r="G1788" i="4"/>
  <c r="H1788" i="4" s="1"/>
  <c r="G2083" i="4"/>
  <c r="H2083" i="4" s="1"/>
  <c r="G1931" i="4"/>
  <c r="H1931" i="4" s="1"/>
  <c r="G1899" i="4"/>
  <c r="H1899" i="4" s="1"/>
  <c r="G1867" i="4"/>
  <c r="H1867" i="4" s="1"/>
  <c r="G1835" i="4"/>
  <c r="H1835" i="4" s="1"/>
  <c r="G1811" i="4"/>
  <c r="H1811" i="4" s="1"/>
  <c r="G1795" i="4"/>
  <c r="H1795" i="4" s="1"/>
  <c r="G1779" i="4"/>
  <c r="G1762" i="4"/>
  <c r="H1762" i="4" s="1"/>
  <c r="G1748" i="4"/>
  <c r="H1748" i="4" s="1"/>
  <c r="G1938" i="4"/>
  <c r="H1938" i="4" s="1"/>
  <c r="G1906" i="4"/>
  <c r="H1906" i="4" s="1"/>
  <c r="G1874" i="4"/>
  <c r="H1874" i="4" s="1"/>
  <c r="G1842" i="4"/>
  <c r="H1842" i="4" s="1"/>
  <c r="G1669" i="4"/>
  <c r="H1669" i="4" s="1"/>
  <c r="G1661" i="4"/>
  <c r="G1826" i="4"/>
  <c r="H1826" i="4" s="1"/>
  <c r="G1688" i="4"/>
  <c r="H1688" i="4" s="1"/>
  <c r="G1674" i="4"/>
  <c r="H1674" i="4" s="1"/>
  <c r="G1652" i="4"/>
  <c r="H1652" i="4" s="1"/>
  <c r="G1651" i="4"/>
  <c r="H1651" i="4" s="1"/>
  <c r="G1641" i="4"/>
  <c r="H1641" i="4" s="1"/>
  <c r="G1620" i="4"/>
  <c r="H1620" i="4" s="1"/>
  <c r="G1619" i="4"/>
  <c r="H1619" i="4" s="1"/>
  <c r="G1609" i="4"/>
  <c r="H1609" i="4" s="1"/>
  <c r="G1564" i="4"/>
  <c r="H1564" i="4" s="1"/>
  <c r="G1563" i="4"/>
  <c r="H1563" i="4" s="1"/>
  <c r="G1555" i="4"/>
  <c r="H1555" i="4" s="1"/>
  <c r="G1547" i="4"/>
  <c r="H1547" i="4" s="1"/>
  <c r="G1539" i="4"/>
  <c r="H1539" i="4" s="1"/>
  <c r="G1531" i="4"/>
  <c r="H1531" i="4" s="1"/>
  <c r="G1523" i="4"/>
  <c r="H1523" i="4" s="1"/>
  <c r="G1515" i="4"/>
  <c r="H1515" i="4" s="1"/>
  <c r="G1507" i="4"/>
  <c r="H1507" i="4" s="1"/>
  <c r="G1499" i="4"/>
  <c r="H1499" i="4" s="1"/>
  <c r="G1491" i="4"/>
  <c r="H1491" i="4" s="1"/>
  <c r="G1483" i="4"/>
  <c r="H1483" i="4" s="1"/>
  <c r="G1475" i="4"/>
  <c r="H1475" i="4" s="1"/>
  <c r="G1467" i="4"/>
  <c r="H1467" i="4" s="1"/>
  <c r="G1459" i="4"/>
  <c r="G1843" i="4"/>
  <c r="H1843" i="4" s="1"/>
  <c r="G1819" i="4"/>
  <c r="H1819" i="4" s="1"/>
  <c r="G1666" i="4"/>
  <c r="H1666" i="4" s="1"/>
  <c r="G1875" i="4"/>
  <c r="H1875" i="4" s="1"/>
  <c r="G1850" i="4"/>
  <c r="H1850" i="4" s="1"/>
  <c r="G1802" i="4"/>
  <c r="H1802" i="4" s="1"/>
  <c r="G1796" i="4"/>
  <c r="H1796" i="4" s="1"/>
  <c r="G1730" i="4"/>
  <c r="H1730" i="4" s="1"/>
  <c r="G1722" i="4"/>
  <c r="H1722" i="4" s="1"/>
  <c r="G1714" i="4"/>
  <c r="H1714" i="4" s="1"/>
  <c r="G1706" i="4"/>
  <c r="H1706" i="4" s="1"/>
  <c r="G1698" i="4"/>
  <c r="H1698" i="4" s="1"/>
  <c r="G1672" i="4"/>
  <c r="H1672" i="4" s="1"/>
  <c r="G1644" i="4"/>
  <c r="H1644" i="4" s="1"/>
  <c r="G1643" i="4"/>
  <c r="H1643" i="4" s="1"/>
  <c r="G1633" i="4"/>
  <c r="H1633" i="4" s="1"/>
  <c r="G1907" i="4"/>
  <c r="H1907" i="4" s="1"/>
  <c r="G1818" i="4"/>
  <c r="H1818" i="4" s="1"/>
  <c r="G1764" i="4"/>
  <c r="H1764" i="4" s="1"/>
  <c r="G1682" i="4"/>
  <c r="H1682" i="4" s="1"/>
  <c r="G1628" i="4"/>
  <c r="H1628" i="4" s="1"/>
  <c r="G1601" i="4"/>
  <c r="H1601" i="4" s="1"/>
  <c r="G1322" i="4"/>
  <c r="H1322" i="4" s="1"/>
  <c r="G1314" i="4"/>
  <c r="G1883" i="4"/>
  <c r="H1883" i="4" s="1"/>
  <c r="G1780" i="4"/>
  <c r="H1780" i="4" s="1"/>
  <c r="G1754" i="4"/>
  <c r="H1754" i="4" s="1"/>
  <c r="G1728" i="4"/>
  <c r="H1728" i="4" s="1"/>
  <c r="G1659" i="4"/>
  <c r="H1659" i="4" s="1"/>
  <c r="G1577" i="4"/>
  <c r="H1577" i="4" s="1"/>
  <c r="G1571" i="4"/>
  <c r="H1571" i="4" s="1"/>
  <c r="G1914" i="4"/>
  <c r="G1704" i="4"/>
  <c r="H1704" i="4" s="1"/>
  <c r="G1667" i="4"/>
  <c r="H1667" i="4" s="1"/>
  <c r="G1649" i="4"/>
  <c r="H1649" i="4" s="1"/>
  <c r="G1636" i="4"/>
  <c r="H1636" i="4" s="1"/>
  <c r="G1635" i="4"/>
  <c r="H1635" i="4" s="1"/>
  <c r="G1443" i="4"/>
  <c r="H1443" i="4" s="1"/>
  <c r="G1442" i="4"/>
  <c r="H1442" i="4" s="1"/>
  <c r="G1915" i="4"/>
  <c r="G1775" i="4"/>
  <c r="H1775" i="4" s="1"/>
  <c r="G1720" i="4"/>
  <c r="H1720" i="4" s="1"/>
  <c r="G1612" i="4"/>
  <c r="H1612" i="4" s="1"/>
  <c r="G1588" i="4"/>
  <c r="H1588" i="4" s="1"/>
  <c r="G1587" i="4"/>
  <c r="H1587" i="4" s="1"/>
  <c r="G1580" i="4"/>
  <c r="H1580" i="4" s="1"/>
  <c r="G1445" i="4"/>
  <c r="H1445" i="4" s="1"/>
  <c r="G1436" i="4"/>
  <c r="H1436" i="4" s="1"/>
  <c r="G1427" i="4"/>
  <c r="H1427" i="4" s="1"/>
  <c r="G1426" i="4"/>
  <c r="H1426" i="4" s="1"/>
  <c r="G1262" i="4"/>
  <c r="H1262" i="4" s="1"/>
  <c r="G1254" i="4"/>
  <c r="H1254" i="4" s="1"/>
  <c r="G1803" i="4"/>
  <c r="H1803" i="4" s="1"/>
  <c r="G1755" i="4"/>
  <c r="H1755" i="4" s="1"/>
  <c r="G1646" i="4"/>
  <c r="H1646" i="4" s="1"/>
  <c r="G1566" i="4"/>
  <c r="H1566" i="4" s="1"/>
  <c r="G1451" i="4"/>
  <c r="H1451" i="4" s="1"/>
  <c r="G1435" i="4"/>
  <c r="H1435" i="4" s="1"/>
  <c r="G1432" i="4"/>
  <c r="H1432" i="4" s="1"/>
  <c r="G1413" i="4"/>
  <c r="H1413" i="4" s="1"/>
  <c r="G1410" i="4"/>
  <c r="H1410" i="4" s="1"/>
  <c r="G1392" i="4"/>
  <c r="H1392" i="4" s="1"/>
  <c r="G1387" i="4"/>
  <c r="H1387" i="4" s="1"/>
  <c r="G1381" i="4"/>
  <c r="G1378" i="4"/>
  <c r="H1378" i="4" s="1"/>
  <c r="G1360" i="4"/>
  <c r="H1360" i="4" s="1"/>
  <c r="G1355" i="4"/>
  <c r="H1355" i="4" s="1"/>
  <c r="G1349" i="4"/>
  <c r="H1349" i="4" s="1"/>
  <c r="G1346" i="4"/>
  <c r="H1346" i="4" s="1"/>
  <c r="G1328" i="4"/>
  <c r="H1328" i="4" s="1"/>
  <c r="G1305" i="4"/>
  <c r="H1305" i="4" s="1"/>
  <c r="G1297" i="4"/>
  <c r="G1289" i="4"/>
  <c r="H1289" i="4" s="1"/>
  <c r="G1281" i="4"/>
  <c r="H1281" i="4" s="1"/>
  <c r="G1273" i="4"/>
  <c r="H1273" i="4" s="1"/>
  <c r="G1265" i="4"/>
  <c r="H1265" i="4" s="1"/>
  <c r="G1257" i="4"/>
  <c r="H1257" i="4" s="1"/>
  <c r="G1249" i="4"/>
  <c r="H1249" i="4" s="1"/>
  <c r="G1243" i="4"/>
  <c r="H1243" i="4" s="1"/>
  <c r="G1235" i="4"/>
  <c r="H1235" i="4" s="1"/>
  <c r="G1227" i="4"/>
  <c r="H1227" i="4" s="1"/>
  <c r="G1219" i="4"/>
  <c r="H1219" i="4" s="1"/>
  <c r="G1211" i="4"/>
  <c r="H1211" i="4" s="1"/>
  <c r="G1203" i="4"/>
  <c r="H1203" i="4" s="1"/>
  <c r="G1195" i="4"/>
  <c r="H1195" i="4" s="1"/>
  <c r="G1187" i="4"/>
  <c r="H1187" i="4" s="1"/>
  <c r="G1179" i="4"/>
  <c r="H1179" i="4" s="1"/>
  <c r="G1171" i="4"/>
  <c r="H1171" i="4" s="1"/>
  <c r="G1163" i="4"/>
  <c r="H1163" i="4" s="1"/>
  <c r="G1155" i="4"/>
  <c r="H1155" i="4" s="1"/>
  <c r="G1147" i="4"/>
  <c r="H1147" i="4" s="1"/>
  <c r="G1139" i="4"/>
  <c r="H1139" i="4" s="1"/>
  <c r="G1131" i="4"/>
  <c r="H1131" i="4" s="1"/>
  <c r="G1123" i="4"/>
  <c r="H1123" i="4" s="1"/>
  <c r="G1115" i="4"/>
  <c r="H1115" i="4" s="1"/>
  <c r="G1107" i="4"/>
  <c r="H1107" i="4" s="1"/>
  <c r="G1099" i="4"/>
  <c r="H1099" i="4" s="1"/>
  <c r="G1091" i="4"/>
  <c r="H1091" i="4" s="1"/>
  <c r="G1083" i="4"/>
  <c r="H1083" i="4" s="1"/>
  <c r="G1075" i="4"/>
  <c r="H1075" i="4" s="1"/>
  <c r="G1067" i="4"/>
  <c r="H1067" i="4" s="1"/>
  <c r="G1736" i="4"/>
  <c r="H1736" i="4" s="1"/>
  <c r="G1680" i="4"/>
  <c r="H1680" i="4" s="1"/>
  <c r="G1668" i="4"/>
  <c r="H1668" i="4" s="1"/>
  <c r="G1622" i="4"/>
  <c r="H1622" i="4" s="1"/>
  <c r="G1595" i="4"/>
  <c r="H1595" i="4" s="1"/>
  <c r="G1572" i="4"/>
  <c r="H1572" i="4" s="1"/>
  <c r="G1396" i="4"/>
  <c r="H1396" i="4" s="1"/>
  <c r="G1364" i="4"/>
  <c r="H1364" i="4" s="1"/>
  <c r="G1332" i="4"/>
  <c r="H1332" i="4" s="1"/>
  <c r="G1787" i="4"/>
  <c r="H1787" i="4" s="1"/>
  <c r="G1696" i="4"/>
  <c r="H1696" i="4" s="1"/>
  <c r="G1626" i="4"/>
  <c r="H1626" i="4" s="1"/>
  <c r="G1617" i="4"/>
  <c r="H1617" i="4" s="1"/>
  <c r="G1603" i="4"/>
  <c r="H1603" i="4" s="1"/>
  <c r="G1420" i="4"/>
  <c r="H1420" i="4" s="1"/>
  <c r="G1416" i="4"/>
  <c r="H1416" i="4" s="1"/>
  <c r="G1402" i="4"/>
  <c r="H1402" i="4" s="1"/>
  <c r="G1370" i="4"/>
  <c r="H1370" i="4" s="1"/>
  <c r="G1338" i="4"/>
  <c r="G1712" i="4"/>
  <c r="H1712" i="4" s="1"/>
  <c r="G1690" i="4"/>
  <c r="H1690" i="4" s="1"/>
  <c r="G1604" i="4"/>
  <c r="H1604" i="4" s="1"/>
  <c r="G1596" i="4"/>
  <c r="H1596" i="4" s="1"/>
  <c r="G1593" i="4"/>
  <c r="H1593" i="4" s="1"/>
  <c r="G1589" i="4"/>
  <c r="H1589" i="4" s="1"/>
  <c r="G1939" i="4"/>
  <c r="H1939" i="4" s="1"/>
  <c r="G1772" i="4"/>
  <c r="H1772" i="4" s="1"/>
  <c r="G1586" i="4"/>
  <c r="H1586" i="4" s="1"/>
  <c r="G1578" i="4"/>
  <c r="H1578" i="4" s="1"/>
  <c r="G1394" i="4"/>
  <c r="H1394" i="4" s="1"/>
  <c r="G1362" i="4"/>
  <c r="H1362" i="4" s="1"/>
  <c r="G1330" i="4"/>
  <c r="H1330" i="4" s="1"/>
  <c r="G1324" i="4"/>
  <c r="H1324" i="4" s="1"/>
  <c r="G1316" i="4"/>
  <c r="H1316" i="4" s="1"/>
  <c r="G1308" i="4"/>
  <c r="G1851" i="4"/>
  <c r="H1851" i="4" s="1"/>
  <c r="G1627" i="4"/>
  <c r="H1627" i="4" s="1"/>
  <c r="G1598" i="4"/>
  <c r="H1598" i="4" s="1"/>
  <c r="G1429" i="4"/>
  <c r="H1429" i="4" s="1"/>
  <c r="G1412" i="4"/>
  <c r="H1412" i="4" s="1"/>
  <c r="G1380" i="4"/>
  <c r="H1380" i="4" s="1"/>
  <c r="G1348" i="4"/>
  <c r="H1348" i="4" s="1"/>
  <c r="G1246" i="4"/>
  <c r="H1246" i="4" s="1"/>
  <c r="G1585" i="4"/>
  <c r="H1585" i="4" s="1"/>
  <c r="G1415" i="4"/>
  <c r="H1415" i="4" s="1"/>
  <c r="G1377" i="4"/>
  <c r="H1377" i="4" s="1"/>
  <c r="G1357" i="4"/>
  <c r="H1357" i="4" s="1"/>
  <c r="G1354" i="4"/>
  <c r="H1354" i="4" s="1"/>
  <c r="G1331" i="4"/>
  <c r="H1331" i="4" s="1"/>
  <c r="G1303" i="4"/>
  <c r="H1303" i="4" s="1"/>
  <c r="G1280" i="4"/>
  <c r="G1245" i="4"/>
  <c r="H1245" i="4" s="1"/>
  <c r="G1238" i="4"/>
  <c r="H1238" i="4" s="1"/>
  <c r="G1222" i="4"/>
  <c r="H1222" i="4" s="1"/>
  <c r="G1206" i="4"/>
  <c r="H1206" i="4" s="1"/>
  <c r="G1190" i="4"/>
  <c r="H1190" i="4" s="1"/>
  <c r="G1419" i="4"/>
  <c r="H1419" i="4" s="1"/>
  <c r="G1404" i="4"/>
  <c r="H1404" i="4" s="1"/>
  <c r="G1383" i="4"/>
  <c r="H1383" i="4" s="1"/>
  <c r="G1345" i="4"/>
  <c r="H1345" i="4" s="1"/>
  <c r="G1325" i="4"/>
  <c r="H1325" i="4" s="1"/>
  <c r="G1295" i="4"/>
  <c r="H1295" i="4" s="1"/>
  <c r="G1272" i="4"/>
  <c r="H1272" i="4" s="1"/>
  <c r="G1228" i="4"/>
  <c r="H1228" i="4" s="1"/>
  <c r="G1212" i="4"/>
  <c r="H1212" i="4" s="1"/>
  <c r="G1196" i="4"/>
  <c r="H1196" i="4" s="1"/>
  <c r="G1180" i="4"/>
  <c r="H1180" i="4" s="1"/>
  <c r="G1164" i="4"/>
  <c r="H1164" i="4" s="1"/>
  <c r="G1148" i="4"/>
  <c r="H1148" i="4" s="1"/>
  <c r="G1132" i="4"/>
  <c r="H1132" i="4" s="1"/>
  <c r="G1116" i="4"/>
  <c r="H1116" i="4" s="1"/>
  <c r="G1100" i="4"/>
  <c r="H1100" i="4" s="1"/>
  <c r="G1084" i="4"/>
  <c r="H1084" i="4" s="1"/>
  <c r="G1068" i="4"/>
  <c r="H1068" i="4" s="1"/>
  <c r="G1053" i="4"/>
  <c r="H1053" i="4" s="1"/>
  <c r="G1043" i="4"/>
  <c r="H1043" i="4" s="1"/>
  <c r="G1028" i="4"/>
  <c r="H1028" i="4" s="1"/>
  <c r="G1014" i="4"/>
  <c r="H1014" i="4" s="1"/>
  <c r="G974" i="4"/>
  <c r="H974" i="4" s="1"/>
  <c r="G965" i="4"/>
  <c r="H965" i="4" s="1"/>
  <c r="G947" i="4"/>
  <c r="H947" i="4" s="1"/>
  <c r="G1786" i="4"/>
  <c r="H1786" i="4" s="1"/>
  <c r="G1579" i="4"/>
  <c r="G1437" i="4"/>
  <c r="H1437" i="4" s="1"/>
  <c r="G1372" i="4"/>
  <c r="H1372" i="4" s="1"/>
  <c r="G1351" i="4"/>
  <c r="H1351" i="4" s="1"/>
  <c r="G1287" i="4"/>
  <c r="H1287" i="4" s="1"/>
  <c r="G1264" i="4"/>
  <c r="H1264" i="4" s="1"/>
  <c r="G1054" i="4"/>
  <c r="H1054" i="4" s="1"/>
  <c r="G1029" i="4"/>
  <c r="H1029" i="4" s="1"/>
  <c r="G1019" i="4"/>
  <c r="G1004" i="4"/>
  <c r="H1004" i="4" s="1"/>
  <c r="G966" i="4"/>
  <c r="H966" i="4" s="1"/>
  <c r="G957" i="4"/>
  <c r="H957" i="4" s="1"/>
  <c r="G944" i="4"/>
  <c r="H944" i="4" s="1"/>
  <c r="G939" i="4"/>
  <c r="H939" i="4" s="1"/>
  <c r="G1594" i="4"/>
  <c r="H1594" i="4" s="1"/>
  <c r="G1581" i="4"/>
  <c r="H1581" i="4" s="1"/>
  <c r="G1453" i="4"/>
  <c r="G1421" i="4"/>
  <c r="H1421" i="4" s="1"/>
  <c r="G1400" i="4"/>
  <c r="H1400" i="4" s="1"/>
  <c r="G1340" i="4"/>
  <c r="H1340" i="4" s="1"/>
  <c r="G1279" i="4"/>
  <c r="H1279" i="4" s="1"/>
  <c r="G1256" i="4"/>
  <c r="H1256" i="4" s="1"/>
  <c r="G1229" i="4"/>
  <c r="H1229" i="4" s="1"/>
  <c r="G1213" i="4"/>
  <c r="H1213" i="4" s="1"/>
  <c r="G1197" i="4"/>
  <c r="H1197" i="4" s="1"/>
  <c r="G1181" i="4"/>
  <c r="H1181" i="4" s="1"/>
  <c r="G1165" i="4"/>
  <c r="H1165" i="4" s="1"/>
  <c r="G1149" i="4"/>
  <c r="H1149" i="4" s="1"/>
  <c r="G1133" i="4"/>
  <c r="H1133" i="4" s="1"/>
  <c r="G1117" i="4"/>
  <c r="H1117" i="4" s="1"/>
  <c r="G1101" i="4"/>
  <c r="H1101" i="4" s="1"/>
  <c r="G1085" i="4"/>
  <c r="H1085" i="4" s="1"/>
  <c r="G1069" i="4"/>
  <c r="H1069" i="4" s="1"/>
  <c r="G1059" i="4"/>
  <c r="H1059" i="4" s="1"/>
  <c r="G1044" i="4"/>
  <c r="H1044" i="4" s="1"/>
  <c r="G1030" i="4"/>
  <c r="H1030" i="4" s="1"/>
  <c r="G1005" i="4"/>
  <c r="H1005" i="4" s="1"/>
  <c r="G995" i="4"/>
  <c r="H995" i="4" s="1"/>
  <c r="G1812" i="4"/>
  <c r="H1812" i="4" s="1"/>
  <c r="G1450" i="4"/>
  <c r="H1450" i="4" s="1"/>
  <c r="G1434" i="4"/>
  <c r="H1434" i="4" s="1"/>
  <c r="G1368" i="4"/>
  <c r="H1368" i="4" s="1"/>
  <c r="G1313" i="4"/>
  <c r="H1313" i="4" s="1"/>
  <c r="G1271" i="4"/>
  <c r="H1271" i="4" s="1"/>
  <c r="G1248" i="4"/>
  <c r="H1248" i="4" s="1"/>
  <c r="G1230" i="4"/>
  <c r="H1230" i="4" s="1"/>
  <c r="G1214" i="4"/>
  <c r="H1214" i="4" s="1"/>
  <c r="G1198" i="4"/>
  <c r="H1198" i="4" s="1"/>
  <c r="G1182" i="4"/>
  <c r="H1182" i="4" s="1"/>
  <c r="G1166" i="4"/>
  <c r="H1166" i="4" s="1"/>
  <c r="G1150" i="4"/>
  <c r="H1150" i="4" s="1"/>
  <c r="G1134" i="4"/>
  <c r="H1134" i="4" s="1"/>
  <c r="G1118" i="4"/>
  <c r="H1118" i="4" s="1"/>
  <c r="G1102" i="4"/>
  <c r="H1102" i="4" s="1"/>
  <c r="G1086" i="4"/>
  <c r="H1086" i="4" s="1"/>
  <c r="G1070" i="4"/>
  <c r="H1070" i="4" s="1"/>
  <c r="G1045" i="4"/>
  <c r="H1045" i="4" s="1"/>
  <c r="G1035" i="4"/>
  <c r="H1035" i="4" s="1"/>
  <c r="G1020" i="4"/>
  <c r="H1020" i="4" s="1"/>
  <c r="G1006" i="4"/>
  <c r="H1006" i="4" s="1"/>
  <c r="G987" i="4"/>
  <c r="H987" i="4" s="1"/>
  <c r="G950" i="4"/>
  <c r="H950" i="4" s="1"/>
  <c r="G941" i="4"/>
  <c r="H941" i="4" s="1"/>
  <c r="G923" i="4"/>
  <c r="H923" i="4" s="1"/>
  <c r="G1336" i="4"/>
  <c r="G1309" i="4"/>
  <c r="H1309" i="4" s="1"/>
  <c r="G1304" i="4"/>
  <c r="H1304" i="4" s="1"/>
  <c r="G1263" i="4"/>
  <c r="H1263" i="4" s="1"/>
  <c r="G1244" i="4"/>
  <c r="H1244" i="4" s="1"/>
  <c r="G1236" i="4"/>
  <c r="H1236" i="4" s="1"/>
  <c r="G1220" i="4"/>
  <c r="H1220" i="4" s="1"/>
  <c r="G1204" i="4"/>
  <c r="H1204" i="4" s="1"/>
  <c r="G1188" i="4"/>
  <c r="G1172" i="4"/>
  <c r="H1172" i="4" s="1"/>
  <c r="G1156" i="4"/>
  <c r="H1156" i="4" s="1"/>
  <c r="G1140" i="4"/>
  <c r="H1140" i="4" s="1"/>
  <c r="G1124" i="4"/>
  <c r="H1124" i="4" s="1"/>
  <c r="G1108" i="4"/>
  <c r="H1108" i="4" s="1"/>
  <c r="G1092" i="4"/>
  <c r="H1092" i="4" s="1"/>
  <c r="G1076" i="4"/>
  <c r="H1076" i="4" s="1"/>
  <c r="G1060" i="4"/>
  <c r="G1046" i="4"/>
  <c r="H1046" i="4" s="1"/>
  <c r="G1021" i="4"/>
  <c r="H1021" i="4" s="1"/>
  <c r="G1011" i="4"/>
  <c r="H1011" i="4" s="1"/>
  <c r="G996" i="4"/>
  <c r="H996" i="4" s="1"/>
  <c r="G979" i="4"/>
  <c r="H979" i="4" s="1"/>
  <c r="G942" i="4"/>
  <c r="H942" i="4" s="1"/>
  <c r="G933" i="4"/>
  <c r="H933" i="4" s="1"/>
  <c r="G1386" i="4"/>
  <c r="G1321" i="4"/>
  <c r="H1321" i="4" s="1"/>
  <c r="G1125" i="4"/>
  <c r="H1125" i="4" s="1"/>
  <c r="G1093" i="4"/>
  <c r="H1093" i="4" s="1"/>
  <c r="G1061" i="4"/>
  <c r="H1061" i="4" s="1"/>
  <c r="G989" i="4"/>
  <c r="H989" i="4" s="1"/>
  <c r="G963" i="4"/>
  <c r="H963" i="4" s="1"/>
  <c r="G949" i="4"/>
  <c r="H949" i="4" s="1"/>
  <c r="G934" i="4"/>
  <c r="H934" i="4" s="1"/>
  <c r="G909" i="4"/>
  <c r="H909" i="4" s="1"/>
  <c r="G878" i="4"/>
  <c r="H878" i="4" s="1"/>
  <c r="G856" i="4"/>
  <c r="H856" i="4" s="1"/>
  <c r="G848" i="4"/>
  <c r="H848" i="4" s="1"/>
  <c r="G840" i="4"/>
  <c r="H840" i="4" s="1"/>
  <c r="G832" i="4"/>
  <c r="H832" i="4" s="1"/>
  <c r="G749" i="4"/>
  <c r="H749" i="4" s="1"/>
  <c r="G741" i="4"/>
  <c r="H741" i="4" s="1"/>
  <c r="G733" i="4"/>
  <c r="H733" i="4" s="1"/>
  <c r="G725" i="4"/>
  <c r="H725" i="4" s="1"/>
  <c r="G717" i="4"/>
  <c r="H717" i="4" s="1"/>
  <c r="G709" i="4"/>
  <c r="H709" i="4" s="1"/>
  <c r="G701" i="4"/>
  <c r="H701" i="4" s="1"/>
  <c r="G693" i="4"/>
  <c r="H693" i="4" s="1"/>
  <c r="G685" i="4"/>
  <c r="H685" i="4" s="1"/>
  <c r="G677" i="4"/>
  <c r="H677" i="4" s="1"/>
  <c r="G669" i="4"/>
  <c r="H669" i="4" s="1"/>
  <c r="G661" i="4"/>
  <c r="H661" i="4" s="1"/>
  <c r="G653" i="4"/>
  <c r="H653" i="4" s="1"/>
  <c r="G645" i="4"/>
  <c r="H645" i="4" s="1"/>
  <c r="G637" i="4"/>
  <c r="H637" i="4" s="1"/>
  <c r="G629" i="4"/>
  <c r="H629" i="4" s="1"/>
  <c r="G621" i="4"/>
  <c r="H621" i="4" s="1"/>
  <c r="G613" i="4"/>
  <c r="H613" i="4" s="1"/>
  <c r="G605" i="4"/>
  <c r="H605" i="4" s="1"/>
  <c r="G597" i="4"/>
  <c r="H597" i="4" s="1"/>
  <c r="G589" i="4"/>
  <c r="H589" i="4" s="1"/>
  <c r="G581" i="4"/>
  <c r="H581" i="4" s="1"/>
  <c r="G573" i="4"/>
  <c r="H573" i="4" s="1"/>
  <c r="G565" i="4"/>
  <c r="H565" i="4" s="1"/>
  <c r="G557" i="4"/>
  <c r="H557" i="4" s="1"/>
  <c r="G549" i="4"/>
  <c r="G541" i="4"/>
  <c r="H541" i="4" s="1"/>
  <c r="G533" i="4"/>
  <c r="H533" i="4" s="1"/>
  <c r="G525" i="4"/>
  <c r="H525" i="4" s="1"/>
  <c r="G517" i="4"/>
  <c r="H517" i="4" s="1"/>
  <c r="G509" i="4"/>
  <c r="H509" i="4" s="1"/>
  <c r="G501" i="4"/>
  <c r="H501" i="4" s="1"/>
  <c r="G493" i="4"/>
  <c r="H493" i="4" s="1"/>
  <c r="G485" i="4"/>
  <c r="H485" i="4" s="1"/>
  <c r="G477" i="4"/>
  <c r="H477" i="4" s="1"/>
  <c r="G469" i="4"/>
  <c r="H469" i="4" s="1"/>
  <c r="G1189" i="4"/>
  <c r="H1189" i="4" s="1"/>
  <c r="G1174" i="4"/>
  <c r="H1174" i="4" s="1"/>
  <c r="G1013" i="4"/>
  <c r="H1013" i="4" s="1"/>
  <c r="G1003" i="4"/>
  <c r="H1003" i="4" s="1"/>
  <c r="G982" i="4"/>
  <c r="H982" i="4" s="1"/>
  <c r="G968" i="4"/>
  <c r="G955" i="4"/>
  <c r="H955" i="4" s="1"/>
  <c r="G926" i="4"/>
  <c r="H926" i="4" s="1"/>
  <c r="G916" i="4"/>
  <c r="H916" i="4" s="1"/>
  <c r="G893" i="4"/>
  <c r="H893" i="4" s="1"/>
  <c r="G883" i="4"/>
  <c r="H883" i="4" s="1"/>
  <c r="G1611" i="4"/>
  <c r="H1611" i="4" s="1"/>
  <c r="G1395" i="4"/>
  <c r="H1395" i="4" s="1"/>
  <c r="G1363" i="4"/>
  <c r="H1363" i="4" s="1"/>
  <c r="G1247" i="4"/>
  <c r="H1247" i="4" s="1"/>
  <c r="G1237" i="4"/>
  <c r="H1237" i="4" s="1"/>
  <c r="G1157" i="4"/>
  <c r="H1157" i="4" s="1"/>
  <c r="G1109" i="4"/>
  <c r="H1109" i="4" s="1"/>
  <c r="G1077" i="4"/>
  <c r="H1077" i="4" s="1"/>
  <c r="G972" i="4"/>
  <c r="H972" i="4" s="1"/>
  <c r="G948" i="4"/>
  <c r="H948" i="4" s="1"/>
  <c r="G885" i="4"/>
  <c r="H885" i="4" s="1"/>
  <c r="G875" i="4"/>
  <c r="H875" i="4" s="1"/>
  <c r="G1625" i="4"/>
  <c r="H1625" i="4" s="1"/>
  <c r="G1418" i="4"/>
  <c r="H1418" i="4" s="1"/>
  <c r="G1141" i="4"/>
  <c r="H1141" i="4" s="1"/>
  <c r="G1126" i="4"/>
  <c r="H1126" i="4" s="1"/>
  <c r="G1051" i="4"/>
  <c r="H1051" i="4" s="1"/>
  <c r="G973" i="4"/>
  <c r="H973" i="4" s="1"/>
  <c r="G931" i="4"/>
  <c r="H931" i="4" s="1"/>
  <c r="G918" i="4"/>
  <c r="H918" i="4" s="1"/>
  <c r="G896" i="4"/>
  <c r="H896" i="4" s="1"/>
  <c r="G852" i="4"/>
  <c r="H852" i="4" s="1"/>
  <c r="G845" i="4"/>
  <c r="H845" i="4" s="1"/>
  <c r="G800" i="4"/>
  <c r="H800" i="4" s="1"/>
  <c r="G793" i="4"/>
  <c r="H793" i="4" s="1"/>
  <c r="G779" i="4"/>
  <c r="H779" i="4" s="1"/>
  <c r="G778" i="4"/>
  <c r="H778" i="4" s="1"/>
  <c r="G774" i="4"/>
  <c r="H774" i="4" s="1"/>
  <c r="G769" i="4"/>
  <c r="H769" i="4" s="1"/>
  <c r="G757" i="4"/>
  <c r="H757" i="4" s="1"/>
  <c r="G752" i="4"/>
  <c r="H752" i="4" s="1"/>
  <c r="G744" i="4"/>
  <c r="H744" i="4" s="1"/>
  <c r="G680" i="4"/>
  <c r="H680" i="4" s="1"/>
  <c r="G616" i="4"/>
  <c r="H616" i="4" s="1"/>
  <c r="G552" i="4"/>
  <c r="H552" i="4" s="1"/>
  <c r="G488" i="4"/>
  <c r="H488" i="4" s="1"/>
  <c r="G461" i="4"/>
  <c r="H461" i="4" s="1"/>
  <c r="G453" i="4"/>
  <c r="H453" i="4" s="1"/>
  <c r="G445" i="4"/>
  <c r="H445" i="4" s="1"/>
  <c r="G437" i="4"/>
  <c r="H437" i="4" s="1"/>
  <c r="G429" i="4"/>
  <c r="H429" i="4" s="1"/>
  <c r="G264" i="4"/>
  <c r="H264" i="4" s="1"/>
  <c r="G1288" i="4"/>
  <c r="H1288" i="4" s="1"/>
  <c r="G1027" i="4"/>
  <c r="H1027" i="4" s="1"/>
  <c r="G1012" i="4"/>
  <c r="H1012" i="4" s="1"/>
  <c r="G997" i="4"/>
  <c r="H997" i="4" s="1"/>
  <c r="G860" i="4"/>
  <c r="H860" i="4" s="1"/>
  <c r="G853" i="4"/>
  <c r="H853" i="4" s="1"/>
  <c r="G808" i="4"/>
  <c r="H808" i="4" s="1"/>
  <c r="G801" i="4"/>
  <c r="H801" i="4" s="1"/>
  <c r="G787" i="4"/>
  <c r="H787" i="4" s="1"/>
  <c r="G786" i="4"/>
  <c r="H786" i="4" s="1"/>
  <c r="G780" i="4"/>
  <c r="H780" i="4" s="1"/>
  <c r="G766" i="4"/>
  <c r="H766" i="4" s="1"/>
  <c r="G761" i="4"/>
  <c r="H761" i="4" s="1"/>
  <c r="G736" i="4"/>
  <c r="H736" i="4" s="1"/>
  <c r="G672" i="4"/>
  <c r="H672" i="4" s="1"/>
  <c r="G608" i="4"/>
  <c r="H608" i="4" s="1"/>
  <c r="G544" i="4"/>
  <c r="G480" i="4"/>
  <c r="H480" i="4" s="1"/>
  <c r="G472" i="4"/>
  <c r="H472" i="4" s="1"/>
  <c r="G462" i="4"/>
  <c r="H462" i="4" s="1"/>
  <c r="G454" i="4"/>
  <c r="H454" i="4" s="1"/>
  <c r="G446" i="4"/>
  <c r="H446" i="4" s="1"/>
  <c r="G438" i="4"/>
  <c r="H438" i="4" s="1"/>
  <c r="G430" i="4"/>
  <c r="H430" i="4" s="1"/>
  <c r="G1205" i="4"/>
  <c r="G1158" i="4"/>
  <c r="H1158" i="4" s="1"/>
  <c r="G981" i="4"/>
  <c r="H981" i="4" s="1"/>
  <c r="G914" i="4"/>
  <c r="H914" i="4" s="1"/>
  <c r="G912" i="4"/>
  <c r="H912" i="4" s="1"/>
  <c r="G899" i="4"/>
  <c r="H899" i="4" s="1"/>
  <c r="G877" i="4"/>
  <c r="H877" i="4" s="1"/>
  <c r="G861" i="4"/>
  <c r="H861" i="4" s="1"/>
  <c r="G850" i="4"/>
  <c r="H850" i="4" s="1"/>
  <c r="G830" i="4"/>
  <c r="H830" i="4" s="1"/>
  <c r="G824" i="4"/>
  <c r="H824" i="4" s="1"/>
  <c r="G816" i="4"/>
  <c r="H816" i="4" s="1"/>
  <c r="G809" i="4"/>
  <c r="H809" i="4" s="1"/>
  <c r="G795" i="4"/>
  <c r="H795" i="4" s="1"/>
  <c r="G794" i="4"/>
  <c r="H794" i="4" s="1"/>
  <c r="G788" i="4"/>
  <c r="H788" i="4" s="1"/>
  <c r="G781" i="4"/>
  <c r="H781" i="4" s="1"/>
  <c r="G771" i="4"/>
  <c r="H771" i="4" s="1"/>
  <c r="G770" i="4"/>
  <c r="H770" i="4" s="1"/>
  <c r="G758" i="4"/>
  <c r="H758" i="4" s="1"/>
  <c r="G753" i="4"/>
  <c r="H753" i="4" s="1"/>
  <c r="G728" i="4"/>
  <c r="H728" i="4" s="1"/>
  <c r="G719" i="4"/>
  <c r="H719" i="4" s="1"/>
  <c r="G702" i="4"/>
  <c r="H702" i="4" s="1"/>
  <c r="G664" i="4"/>
  <c r="H664" i="4" s="1"/>
  <c r="G655" i="4"/>
  <c r="H655" i="4" s="1"/>
  <c r="G638" i="4"/>
  <c r="H638" i="4" s="1"/>
  <c r="G600" i="4"/>
  <c r="H600" i="4" s="1"/>
  <c r="G591" i="4"/>
  <c r="H591" i="4" s="1"/>
  <c r="G574" i="4"/>
  <c r="H574" i="4" s="1"/>
  <c r="G536" i="4"/>
  <c r="H536" i="4" s="1"/>
  <c r="G527" i="4"/>
  <c r="H527" i="4" s="1"/>
  <c r="G510" i="4"/>
  <c r="G464" i="4"/>
  <c r="H464" i="4" s="1"/>
  <c r="G456" i="4"/>
  <c r="H456" i="4" s="1"/>
  <c r="G448" i="4"/>
  <c r="H448" i="4" s="1"/>
  <c r="G440" i="4"/>
  <c r="H440" i="4" s="1"/>
  <c r="G432" i="4"/>
  <c r="H432" i="4" s="1"/>
  <c r="G421" i="4"/>
  <c r="H421" i="4" s="1"/>
  <c r="G413" i="4"/>
  <c r="H413" i="4" s="1"/>
  <c r="G405" i="4"/>
  <c r="H405" i="4" s="1"/>
  <c r="G1569" i="4"/>
  <c r="H1569" i="4" s="1"/>
  <c r="G1409" i="4"/>
  <c r="H1409" i="4" s="1"/>
  <c r="G1317" i="4"/>
  <c r="H1317" i="4" s="1"/>
  <c r="G1037" i="4"/>
  <c r="H1037" i="4" s="1"/>
  <c r="G976" i="4"/>
  <c r="H976" i="4" s="1"/>
  <c r="G958" i="4"/>
  <c r="H958" i="4" s="1"/>
  <c r="G908" i="4"/>
  <c r="H908" i="4" s="1"/>
  <c r="G906" i="4"/>
  <c r="H906" i="4" s="1"/>
  <c r="G825" i="4"/>
  <c r="H825" i="4" s="1"/>
  <c r="G1142" i="4"/>
  <c r="H1142" i="4" s="1"/>
  <c r="G1052" i="4"/>
  <c r="H1052" i="4" s="1"/>
  <c r="G998" i="4"/>
  <c r="H998" i="4" s="1"/>
  <c r="G925" i="4"/>
  <c r="H925" i="4" s="1"/>
  <c r="G900" i="4"/>
  <c r="H900" i="4" s="1"/>
  <c r="G866" i="4"/>
  <c r="H866" i="4" s="1"/>
  <c r="G827" i="4"/>
  <c r="H827" i="4" s="1"/>
  <c r="G819" i="4"/>
  <c r="H819" i="4" s="1"/>
  <c r="G811" i="4"/>
  <c r="H811" i="4" s="1"/>
  <c r="G810" i="4"/>
  <c r="H810" i="4" s="1"/>
  <c r="G804" i="4"/>
  <c r="H804" i="4" s="1"/>
  <c r="G797" i="4"/>
  <c r="H797" i="4" s="1"/>
  <c r="G790" i="4"/>
  <c r="H790" i="4" s="1"/>
  <c r="G772" i="4"/>
  <c r="H772" i="4" s="1"/>
  <c r="G755" i="4"/>
  <c r="G754" i="4"/>
  <c r="H754" i="4" s="1"/>
  <c r="G712" i="4"/>
  <c r="H712" i="4" s="1"/>
  <c r="G648" i="4"/>
  <c r="H648" i="4" s="1"/>
  <c r="G584" i="4"/>
  <c r="H584" i="4" s="1"/>
  <c r="G520" i="4"/>
  <c r="H520" i="4" s="1"/>
  <c r="G1882" i="4"/>
  <c r="H1882" i="4" s="1"/>
  <c r="G1221" i="4"/>
  <c r="H1221" i="4" s="1"/>
  <c r="G1078" i="4"/>
  <c r="G990" i="4"/>
  <c r="H990" i="4" s="1"/>
  <c r="G898" i="4"/>
  <c r="H898" i="4" s="1"/>
  <c r="G836" i="4"/>
  <c r="H836" i="4" s="1"/>
  <c r="G821" i="4"/>
  <c r="H821" i="4" s="1"/>
  <c r="G813" i="4"/>
  <c r="H813" i="4" s="1"/>
  <c r="G796" i="4"/>
  <c r="H796" i="4" s="1"/>
  <c r="G747" i="4"/>
  <c r="H747" i="4" s="1"/>
  <c r="G714" i="4"/>
  <c r="H714" i="4" s="1"/>
  <c r="G704" i="4"/>
  <c r="H704" i="4" s="1"/>
  <c r="G683" i="4"/>
  <c r="H683" i="4" s="1"/>
  <c r="G650" i="4"/>
  <c r="H650" i="4" s="1"/>
  <c r="G640" i="4"/>
  <c r="H640" i="4" s="1"/>
  <c r="G619" i="4"/>
  <c r="H619" i="4" s="1"/>
  <c r="G586" i="4"/>
  <c r="H586" i="4" s="1"/>
  <c r="G576" i="4"/>
  <c r="H576" i="4" s="1"/>
  <c r="G555" i="4"/>
  <c r="G522" i="4"/>
  <c r="H522" i="4" s="1"/>
  <c r="G512" i="4"/>
  <c r="H512" i="4" s="1"/>
  <c r="G491" i="4"/>
  <c r="H491" i="4" s="1"/>
  <c r="G443" i="4"/>
  <c r="H443" i="4" s="1"/>
  <c r="G434" i="4"/>
  <c r="H434" i="4" s="1"/>
  <c r="G259" i="4"/>
  <c r="H259" i="4" s="1"/>
  <c r="G251" i="4"/>
  <c r="H251" i="4" s="1"/>
  <c r="G243" i="4"/>
  <c r="H243" i="4" s="1"/>
  <c r="G235" i="4"/>
  <c r="H235" i="4" s="1"/>
  <c r="G227" i="4"/>
  <c r="H227" i="4" s="1"/>
  <c r="G219" i="4"/>
  <c r="H219" i="4" s="1"/>
  <c r="G211" i="4"/>
  <c r="H211" i="4" s="1"/>
  <c r="G203" i="4"/>
  <c r="H203" i="4" s="1"/>
  <c r="G195" i="4"/>
  <c r="H195" i="4" s="1"/>
  <c r="G187" i="4"/>
  <c r="H187" i="4" s="1"/>
  <c r="G179" i="4"/>
  <c r="H179" i="4" s="1"/>
  <c r="G171" i="4"/>
  <c r="H171" i="4" s="1"/>
  <c r="G163" i="4"/>
  <c r="H163" i="4" s="1"/>
  <c r="G155" i="4"/>
  <c r="H155" i="4" s="1"/>
  <c r="G147" i="4"/>
  <c r="H147" i="4" s="1"/>
  <c r="G139" i="4"/>
  <c r="H139" i="4" s="1"/>
  <c r="G1389" i="4"/>
  <c r="H1389" i="4" s="1"/>
  <c r="G765" i="4"/>
  <c r="H765" i="4" s="1"/>
  <c r="G743" i="4"/>
  <c r="G696" i="4"/>
  <c r="H696" i="4" s="1"/>
  <c r="G679" i="4"/>
  <c r="H679" i="4" s="1"/>
  <c r="G632" i="4"/>
  <c r="H632" i="4" s="1"/>
  <c r="G615" i="4"/>
  <c r="H615" i="4" s="1"/>
  <c r="G568" i="4"/>
  <c r="H568" i="4" s="1"/>
  <c r="G551" i="4"/>
  <c r="H551" i="4" s="1"/>
  <c r="G504" i="4"/>
  <c r="H504" i="4" s="1"/>
  <c r="G487" i="4"/>
  <c r="H487" i="4" s="1"/>
  <c r="G670" i="4"/>
  <c r="H670" i="4" s="1"/>
  <c r="G606" i="4"/>
  <c r="H606" i="4" s="1"/>
  <c r="G442" i="4"/>
  <c r="H442" i="4" s="1"/>
  <c r="G342" i="4"/>
  <c r="H342" i="4" s="1"/>
  <c r="G302" i="4"/>
  <c r="H302" i="4" s="1"/>
  <c r="G294" i="4"/>
  <c r="H294" i="4" s="1"/>
  <c r="G270" i="4"/>
  <c r="H270" i="4" s="1"/>
  <c r="G1062" i="4"/>
  <c r="H1062" i="4" s="1"/>
  <c r="G844" i="4"/>
  <c r="H844" i="4" s="1"/>
  <c r="G829" i="4"/>
  <c r="H829" i="4" s="1"/>
  <c r="G818" i="4"/>
  <c r="H818" i="4" s="1"/>
  <c r="G805" i="4"/>
  <c r="H805" i="4" s="1"/>
  <c r="G763" i="4"/>
  <c r="H763" i="4" s="1"/>
  <c r="G751" i="4"/>
  <c r="H751" i="4" s="1"/>
  <c r="G731" i="4"/>
  <c r="H731" i="4" s="1"/>
  <c r="G687" i="4"/>
  <c r="H687" i="4" s="1"/>
  <c r="G667" i="4"/>
  <c r="H667" i="4" s="1"/>
  <c r="G623" i="4"/>
  <c r="H623" i="4" s="1"/>
  <c r="G603" i="4"/>
  <c r="H603" i="4" s="1"/>
  <c r="G559" i="4"/>
  <c r="H559" i="4" s="1"/>
  <c r="G539" i="4"/>
  <c r="H539" i="4" s="1"/>
  <c r="G495" i="4"/>
  <c r="H495" i="4" s="1"/>
  <c r="G475" i="4"/>
  <c r="H475" i="4" s="1"/>
  <c r="G459" i="4"/>
  <c r="H459" i="4" s="1"/>
  <c r="G450" i="4"/>
  <c r="H450" i="4" s="1"/>
  <c r="G397" i="4"/>
  <c r="H397" i="4" s="1"/>
  <c r="G389" i="4"/>
  <c r="H389" i="4" s="1"/>
  <c r="G381" i="4"/>
  <c r="H381" i="4" s="1"/>
  <c r="G373" i="4"/>
  <c r="H373" i="4" s="1"/>
  <c r="G365" i="4"/>
  <c r="H365" i="4" s="1"/>
  <c r="G357" i="4"/>
  <c r="H357" i="4" s="1"/>
  <c r="G349" i="4"/>
  <c r="H349" i="4" s="1"/>
  <c r="G341" i="4"/>
  <c r="H341" i="4" s="1"/>
  <c r="G333" i="4"/>
  <c r="H333" i="4" s="1"/>
  <c r="G325" i="4"/>
  <c r="H325" i="4" s="1"/>
  <c r="G317" i="4"/>
  <c r="H317" i="4" s="1"/>
  <c r="G309" i="4"/>
  <c r="H309" i="4" s="1"/>
  <c r="G301" i="4"/>
  <c r="H301" i="4" s="1"/>
  <c r="G293" i="4"/>
  <c r="H293" i="4" s="1"/>
  <c r="G285" i="4"/>
  <c r="H285" i="4" s="1"/>
  <c r="G277" i="4"/>
  <c r="H277" i="4" s="1"/>
  <c r="G1296" i="4"/>
  <c r="H1296" i="4" s="1"/>
  <c r="G1255" i="4"/>
  <c r="H1255" i="4" s="1"/>
  <c r="G1022" i="4"/>
  <c r="H1022" i="4" s="1"/>
  <c r="G971" i="4"/>
  <c r="H971" i="4" s="1"/>
  <c r="G915" i="4"/>
  <c r="H915" i="4" s="1"/>
  <c r="G901" i="4"/>
  <c r="H901" i="4" s="1"/>
  <c r="G867" i="4"/>
  <c r="H867" i="4" s="1"/>
  <c r="G862" i="4"/>
  <c r="H862" i="4" s="1"/>
  <c r="G831" i="4"/>
  <c r="H831" i="4" s="1"/>
  <c r="G820" i="4"/>
  <c r="H820" i="4" s="1"/>
  <c r="G798" i="4"/>
  <c r="H798" i="4" s="1"/>
  <c r="G773" i="4"/>
  <c r="H773" i="4" s="1"/>
  <c r="G734" i="4"/>
  <c r="H734" i="4" s="1"/>
  <c r="G730" i="4"/>
  <c r="H730" i="4" s="1"/>
  <c r="G666" i="4"/>
  <c r="H666" i="4" s="1"/>
  <c r="G602" i="4"/>
  <c r="H602" i="4" s="1"/>
  <c r="G538" i="4"/>
  <c r="H538" i="4" s="1"/>
  <c r="G474" i="4"/>
  <c r="H474" i="4" s="1"/>
  <c r="G451" i="4"/>
  <c r="H451" i="4" s="1"/>
  <c r="G398" i="4"/>
  <c r="H398" i="4" s="1"/>
  <c r="G374" i="4"/>
  <c r="H374" i="4" s="1"/>
  <c r="G358" i="4"/>
  <c r="H358" i="4" s="1"/>
  <c r="G350" i="4"/>
  <c r="G326" i="4"/>
  <c r="H326" i="4" s="1"/>
  <c r="G310" i="4"/>
  <c r="H310" i="4" s="1"/>
  <c r="G286" i="4"/>
  <c r="H286" i="4" s="1"/>
  <c r="G278" i="4"/>
  <c r="H278" i="4" s="1"/>
  <c r="G54" i="4"/>
  <c r="H54" i="4" s="1"/>
  <c r="G38" i="4"/>
  <c r="H38" i="4" s="1"/>
  <c r="G30" i="4"/>
  <c r="H30" i="4" s="1"/>
  <c r="G22" i="4"/>
  <c r="H22" i="4" s="1"/>
  <c r="G1110" i="4"/>
  <c r="H1110" i="4" s="1"/>
  <c r="G1038" i="4"/>
  <c r="H1038" i="4" s="1"/>
  <c r="G890" i="4"/>
  <c r="H890" i="4" s="1"/>
  <c r="G907" i="4"/>
  <c r="H907" i="4" s="1"/>
  <c r="G891" i="4"/>
  <c r="H891" i="4" s="1"/>
  <c r="G802" i="4"/>
  <c r="H802" i="4" s="1"/>
  <c r="G776" i="4"/>
  <c r="H776" i="4" s="1"/>
  <c r="G756" i="4"/>
  <c r="G435" i="4"/>
  <c r="H435" i="4" s="1"/>
  <c r="G426" i="4"/>
  <c r="H426" i="4" s="1"/>
  <c r="G1173" i="4"/>
  <c r="H1173" i="4" s="1"/>
  <c r="G1036" i="4"/>
  <c r="H1036" i="4" s="1"/>
  <c r="G980" i="4"/>
  <c r="H980" i="4" s="1"/>
  <c r="G936" i="4"/>
  <c r="H936" i="4" s="1"/>
  <c r="G837" i="4"/>
  <c r="H837" i="4" s="1"/>
  <c r="G826" i="4"/>
  <c r="G822" i="4"/>
  <c r="H822" i="4" s="1"/>
  <c r="G814" i="4"/>
  <c r="H814" i="4" s="1"/>
  <c r="G806" i="4"/>
  <c r="H806" i="4" s="1"/>
  <c r="G792" i="4"/>
  <c r="H792" i="4" s="1"/>
  <c r="G789" i="4"/>
  <c r="H789" i="4" s="1"/>
  <c r="G784" i="4"/>
  <c r="H784" i="4" s="1"/>
  <c r="G768" i="4"/>
  <c r="H768" i="4" s="1"/>
  <c r="G764" i="4"/>
  <c r="G722" i="4"/>
  <c r="H722" i="4" s="1"/>
  <c r="G658" i="4"/>
  <c r="H658" i="4" s="1"/>
  <c r="G594" i="4"/>
  <c r="H594" i="4" s="1"/>
  <c r="G530" i="4"/>
  <c r="H530" i="4" s="1"/>
  <c r="G466" i="4"/>
  <c r="H466" i="4" s="1"/>
  <c r="G542" i="4"/>
  <c r="H542" i="4" s="1"/>
  <c r="G478" i="4"/>
  <c r="H478" i="4" s="1"/>
  <c r="G390" i="4"/>
  <c r="G382" i="4"/>
  <c r="H382" i="4" s="1"/>
  <c r="G366" i="4"/>
  <c r="H366" i="4" s="1"/>
  <c r="G334" i="4"/>
  <c r="H334" i="4" s="1"/>
  <c r="G318" i="4"/>
  <c r="H318" i="4" s="1"/>
  <c r="G46" i="4"/>
  <c r="H46" i="4" s="1"/>
  <c r="G988" i="4"/>
  <c r="H988" i="4" s="1"/>
  <c r="G872" i="4"/>
  <c r="H872" i="4" s="1"/>
  <c r="G869" i="4"/>
  <c r="G864" i="4"/>
  <c r="H864" i="4" s="1"/>
  <c r="G839" i="4"/>
  <c r="H839" i="4" s="1"/>
  <c r="G812" i="4"/>
  <c r="H812" i="4" s="1"/>
  <c r="G785" i="4"/>
  <c r="H785" i="4" s="1"/>
  <c r="G611" i="4"/>
  <c r="H611" i="4" s="1"/>
  <c r="G547" i="4"/>
  <c r="H547" i="4" s="1"/>
  <c r="G217" i="4"/>
  <c r="H217" i="4" s="1"/>
  <c r="G208" i="4"/>
  <c r="H208" i="4" s="1"/>
  <c r="G153" i="4"/>
  <c r="H153" i="4" s="1"/>
  <c r="G144" i="4"/>
  <c r="H144" i="4" s="1"/>
  <c r="G128" i="4"/>
  <c r="H128" i="4" s="1"/>
  <c r="G123" i="4"/>
  <c r="H123" i="4" s="1"/>
  <c r="G96" i="4"/>
  <c r="H96" i="4" s="1"/>
  <c r="G91" i="4"/>
  <c r="H91" i="4" s="1"/>
  <c r="G64" i="4"/>
  <c r="H64" i="4" s="1"/>
  <c r="G59" i="4"/>
  <c r="H59" i="4" s="1"/>
  <c r="G53" i="4"/>
  <c r="H53" i="4" s="1"/>
  <c r="G598" i="4"/>
  <c r="H598" i="4" s="1"/>
  <c r="G534" i="4"/>
  <c r="H534" i="4" s="1"/>
  <c r="G233" i="4"/>
  <c r="H233" i="4" s="1"/>
  <c r="G224" i="4"/>
  <c r="H224" i="4" s="1"/>
  <c r="G136" i="4"/>
  <c r="H136" i="4" s="1"/>
  <c r="G67" i="4"/>
  <c r="H67" i="4" s="1"/>
  <c r="G496" i="4"/>
  <c r="H496" i="4" s="1"/>
  <c r="G90" i="4"/>
  <c r="H90" i="4" s="1"/>
  <c r="G256" i="4"/>
  <c r="H256" i="4" s="1"/>
  <c r="G201" i="4"/>
  <c r="H201" i="4" s="1"/>
  <c r="G115" i="4"/>
  <c r="H115" i="4" s="1"/>
  <c r="G83" i="4"/>
  <c r="H83" i="4" s="1"/>
  <c r="G28" i="4"/>
  <c r="H28" i="4" s="1"/>
  <c r="G177" i="4"/>
  <c r="H177" i="4" s="1"/>
  <c r="G168" i="4"/>
  <c r="G130" i="4"/>
  <c r="H130" i="4" s="1"/>
  <c r="G35" i="4"/>
  <c r="H35" i="4" s="1"/>
  <c r="G803" i="4"/>
  <c r="H803" i="4" s="1"/>
  <c r="G675" i="4"/>
  <c r="H675" i="4" s="1"/>
  <c r="G483" i="4"/>
  <c r="H483" i="4" s="1"/>
  <c r="G257" i="4"/>
  <c r="H257" i="4" s="1"/>
  <c r="G248" i="4"/>
  <c r="H248" i="4" s="1"/>
  <c r="G193" i="4"/>
  <c r="H193" i="4" s="1"/>
  <c r="G184" i="4"/>
  <c r="H184" i="4" s="1"/>
  <c r="G121" i="4"/>
  <c r="H121" i="4" s="1"/>
  <c r="G106" i="4"/>
  <c r="H106" i="4" s="1"/>
  <c r="G89" i="4"/>
  <c r="H89" i="4" s="1"/>
  <c r="G74" i="4"/>
  <c r="H74" i="4" s="1"/>
  <c r="G36" i="4"/>
  <c r="H36" i="4" s="1"/>
  <c r="G19" i="4"/>
  <c r="H19" i="4" s="1"/>
  <c r="G782" i="4"/>
  <c r="H782" i="4" s="1"/>
  <c r="G592" i="4"/>
  <c r="H592" i="4" s="1"/>
  <c r="G419" i="4"/>
  <c r="H419" i="4" s="1"/>
  <c r="G267" i="4"/>
  <c r="H267" i="4" s="1"/>
  <c r="G262" i="4"/>
  <c r="H262" i="4" s="1"/>
  <c r="G169" i="4"/>
  <c r="H169" i="4" s="1"/>
  <c r="G160" i="4"/>
  <c r="H160" i="4" s="1"/>
  <c r="G131" i="4"/>
  <c r="H131" i="4" s="1"/>
  <c r="G104" i="4"/>
  <c r="H104" i="4" s="1"/>
  <c r="G99" i="4"/>
  <c r="H99" i="4" s="1"/>
  <c r="G72" i="4"/>
  <c r="H72" i="4" s="1"/>
  <c r="G43" i="4"/>
  <c r="H43" i="4" s="1"/>
  <c r="G37" i="4"/>
  <c r="H37" i="4" s="1"/>
  <c r="G216" i="4"/>
  <c r="H216" i="4" s="1"/>
  <c r="G161" i="4"/>
  <c r="H161" i="4" s="1"/>
  <c r="G152" i="4"/>
  <c r="H152" i="4" s="1"/>
  <c r="G122" i="4"/>
  <c r="H122" i="4" s="1"/>
  <c r="G105" i="4"/>
  <c r="H105" i="4" s="1"/>
  <c r="G73" i="4"/>
  <c r="H73" i="4" s="1"/>
  <c r="G51" i="4"/>
  <c r="H51" i="4" s="1"/>
  <c r="G45" i="4"/>
  <c r="H45" i="4" s="1"/>
  <c r="G762" i="4"/>
  <c r="H762" i="4" s="1"/>
  <c r="G192" i="4"/>
  <c r="H192" i="4" s="1"/>
  <c r="G828" i="4"/>
  <c r="H828" i="4" s="1"/>
  <c r="G817" i="4"/>
  <c r="H817" i="4" s="1"/>
  <c r="G266" i="4"/>
  <c r="H266" i="4" s="1"/>
  <c r="G241" i="4"/>
  <c r="H241" i="4" s="1"/>
  <c r="G232" i="4"/>
  <c r="H232" i="4" s="1"/>
  <c r="G113" i="4"/>
  <c r="H113" i="4" s="1"/>
  <c r="G98" i="4"/>
  <c r="H98" i="4" s="1"/>
  <c r="G81" i="4"/>
  <c r="H81" i="4" s="1"/>
  <c r="G66" i="4"/>
  <c r="H66" i="4" s="1"/>
  <c r="G52" i="4"/>
  <c r="G29" i="4"/>
  <c r="H29" i="4" s="1"/>
  <c r="G1094" i="4"/>
  <c r="H1094" i="4" s="1"/>
  <c r="G874" i="4"/>
  <c r="H874" i="4" s="1"/>
  <c r="G760" i="4"/>
  <c r="H760" i="4" s="1"/>
  <c r="G739" i="4"/>
  <c r="H739" i="4" s="1"/>
  <c r="G662" i="4"/>
  <c r="H662" i="4" s="1"/>
  <c r="G656" i="4"/>
  <c r="H656" i="4" s="1"/>
  <c r="G528" i="4"/>
  <c r="G458" i="4"/>
  <c r="H458" i="4" s="1"/>
  <c r="G411" i="4"/>
  <c r="H411" i="4" s="1"/>
  <c r="G209" i="4"/>
  <c r="H209" i="4" s="1"/>
  <c r="G200" i="4"/>
  <c r="H200" i="4" s="1"/>
  <c r="G145" i="4"/>
  <c r="H145" i="4" s="1"/>
  <c r="G129" i="4"/>
  <c r="H129" i="4" s="1"/>
  <c r="G114" i="4"/>
  <c r="H114" i="4" s="1"/>
  <c r="G97" i="4"/>
  <c r="G82" i="4"/>
  <c r="H82" i="4" s="1"/>
  <c r="G65" i="4"/>
  <c r="H65" i="4" s="1"/>
  <c r="G20" i="4"/>
  <c r="H20" i="4" s="1"/>
  <c r="G917" i="4"/>
  <c r="H917" i="4" s="1"/>
  <c r="G720" i="4"/>
  <c r="H720" i="4" s="1"/>
  <c r="G624" i="4"/>
  <c r="H624" i="4" s="1"/>
  <c r="G560" i="4"/>
  <c r="H560" i="4" s="1"/>
  <c r="G470" i="4"/>
  <c r="G403" i="4"/>
  <c r="H403" i="4" s="1"/>
  <c r="G249" i="4"/>
  <c r="H249" i="4" s="1"/>
  <c r="G240" i="4"/>
  <c r="H240" i="4" s="1"/>
  <c r="G185" i="4"/>
  <c r="H185" i="4" s="1"/>
  <c r="G176" i="4"/>
  <c r="H176" i="4" s="1"/>
  <c r="G112" i="4"/>
  <c r="H112" i="4" s="1"/>
  <c r="G107" i="4"/>
  <c r="H107" i="4" s="1"/>
  <c r="G80" i="4"/>
  <c r="H80" i="4" s="1"/>
  <c r="G75" i="4"/>
  <c r="H75" i="4" s="1"/>
  <c r="G44" i="4"/>
  <c r="H44" i="4" s="1"/>
  <c r="G27" i="4"/>
  <c r="H27" i="4" s="1"/>
  <c r="G21" i="4"/>
  <c r="H21" i="4" s="1"/>
  <c r="G886" i="4"/>
  <c r="H886" i="4" s="1"/>
  <c r="G876" i="4"/>
  <c r="H876" i="4" s="1"/>
  <c r="G777" i="4"/>
  <c r="H777" i="4" s="1"/>
  <c r="G726" i="4"/>
  <c r="H726" i="4" s="1"/>
  <c r="G688" i="4"/>
  <c r="H688" i="4" s="1"/>
  <c r="G427" i="4"/>
  <c r="H427" i="4" s="1"/>
  <c r="G225" i="4"/>
  <c r="H225" i="4" s="1"/>
  <c r="G137" i="4"/>
  <c r="H137" i="4" s="1"/>
  <c r="G120" i="4"/>
  <c r="H120" i="4" s="1"/>
  <c r="G88" i="4"/>
  <c r="H88" i="4" s="1"/>
  <c r="G47" i="4"/>
  <c r="H47" i="4" s="1"/>
  <c r="G633" i="4"/>
  <c r="G34" i="4"/>
  <c r="H34" i="4" s="1"/>
  <c r="G110" i="4"/>
  <c r="H110" i="4" s="1"/>
  <c r="G639" i="4"/>
  <c r="H639" i="4" s="1"/>
  <c r="G39" i="4"/>
  <c r="H39" i="4" s="1"/>
  <c r="G468" i="4"/>
  <c r="H468" i="4" s="1"/>
  <c r="G486" i="4"/>
  <c r="H486" i="4" s="1"/>
  <c r="G750" i="4"/>
  <c r="H750" i="4" s="1"/>
  <c r="G61" i="4"/>
  <c r="G567" i="4"/>
  <c r="H567" i="4" s="1"/>
  <c r="G165" i="4"/>
  <c r="H165" i="4" s="1"/>
  <c r="G275" i="4"/>
  <c r="H275" i="4" s="1"/>
  <c r="G339" i="4"/>
  <c r="H339" i="4" s="1"/>
  <c r="G596" i="4"/>
  <c r="H596" i="4" s="1"/>
  <c r="G42" i="4"/>
  <c r="H42" i="4" s="1"/>
  <c r="G347" i="4"/>
  <c r="H347" i="4" s="1"/>
  <c r="G25" i="4"/>
  <c r="H25" i="4" s="1"/>
  <c r="G238" i="4"/>
  <c r="H238" i="4" s="1"/>
  <c r="G400" i="4"/>
  <c r="H400" i="4" s="1"/>
  <c r="G583" i="4"/>
  <c r="H583" i="4" s="1"/>
  <c r="G33" i="4"/>
  <c r="H33" i="4" s="1"/>
  <c r="G85" i="4"/>
  <c r="H85" i="4" s="1"/>
  <c r="G166" i="4"/>
  <c r="H166" i="4" s="1"/>
  <c r="G189" i="4"/>
  <c r="H189" i="4" s="1"/>
  <c r="G360" i="4"/>
  <c r="H360" i="4" s="1"/>
  <c r="G76" i="4"/>
  <c r="H76" i="4" s="1"/>
  <c r="G132" i="4"/>
  <c r="H132" i="4" s="1"/>
  <c r="G228" i="4"/>
  <c r="H228" i="4" s="1"/>
  <c r="G1017" i="4"/>
  <c r="H1017" i="4" s="1"/>
  <c r="G180" i="4"/>
  <c r="H180" i="4" s="1"/>
  <c r="G244" i="4"/>
  <c r="H244" i="4" s="1"/>
  <c r="G1072" i="4"/>
  <c r="H1072" i="4" s="1"/>
  <c r="G274" i="4"/>
  <c r="G338" i="4"/>
  <c r="H338" i="4" s="1"/>
  <c r="G740" i="4"/>
  <c r="H740" i="4" s="1"/>
  <c r="G417" i="4"/>
  <c r="H417" i="4" s="1"/>
  <c r="G276" i="4"/>
  <c r="H276" i="4" s="1"/>
  <c r="G295" i="4"/>
  <c r="H295" i="4" s="1"/>
  <c r="G308" i="4"/>
  <c r="H308" i="4" s="1"/>
  <c r="G327" i="4"/>
  <c r="H327" i="4" s="1"/>
  <c r="G340" i="4"/>
  <c r="H340" i="4" s="1"/>
  <c r="G359" i="4"/>
  <c r="H359" i="4" s="1"/>
  <c r="G372" i="4"/>
  <c r="H372" i="4" s="1"/>
  <c r="G391" i="4"/>
  <c r="H391" i="4" s="1"/>
  <c r="G566" i="4"/>
  <c r="H566" i="4" s="1"/>
  <c r="G1008" i="4"/>
  <c r="H1008" i="4" s="1"/>
  <c r="G1200" i="4"/>
  <c r="H1200" i="4" s="1"/>
  <c r="G1106" i="4"/>
  <c r="H1106" i="4" s="1"/>
  <c r="G999" i="4"/>
  <c r="G1074" i="4"/>
  <c r="H1074" i="4" s="1"/>
  <c r="G444" i="4"/>
  <c r="H444" i="4" s="1"/>
  <c r="G506" i="4"/>
  <c r="H506" i="4" s="1"/>
  <c r="G855" i="4"/>
  <c r="H855" i="4" s="1"/>
  <c r="G636" i="4"/>
  <c r="H636" i="4" s="1"/>
  <c r="G735" i="4"/>
  <c r="H735" i="4" s="1"/>
  <c r="G1242" i="4"/>
  <c r="H1242" i="4" s="1"/>
  <c r="G465" i="4"/>
  <c r="H465" i="4" s="1"/>
  <c r="G1015" i="4"/>
  <c r="H1015" i="4" s="1"/>
  <c r="G1177" i="4"/>
  <c r="H1177" i="4" s="1"/>
  <c r="G815" i="4"/>
  <c r="H815" i="4" s="1"/>
  <c r="G920" i="4"/>
  <c r="H920" i="4" s="1"/>
  <c r="G953" i="4"/>
  <c r="H953" i="4" s="1"/>
  <c r="G1024" i="4"/>
  <c r="H1024" i="4" s="1"/>
  <c r="G961" i="4"/>
  <c r="H961" i="4" s="1"/>
  <c r="G1010" i="4"/>
  <c r="G1600" i="4"/>
  <c r="H1600" i="4" s="1"/>
  <c r="G1034" i="4"/>
  <c r="H1034" i="4" s="1"/>
  <c r="G1098" i="4"/>
  <c r="H1098" i="4" s="1"/>
  <c r="G1112" i="4"/>
  <c r="H1112" i="4" s="1"/>
  <c r="G1169" i="4"/>
  <c r="H1169" i="4" s="1"/>
  <c r="G1226" i="4"/>
  <c r="H1226" i="4" s="1"/>
  <c r="G1397" i="4"/>
  <c r="H1397" i="4" s="1"/>
  <c r="G938" i="4"/>
  <c r="H938" i="4" s="1"/>
  <c r="G1040" i="4"/>
  <c r="H1040" i="4" s="1"/>
  <c r="G1293" i="4"/>
  <c r="H1293" i="4" s="1"/>
  <c r="G959" i="4"/>
  <c r="H959" i="4" s="1"/>
  <c r="G993" i="4"/>
  <c r="H993" i="4" s="1"/>
  <c r="G1408" i="4"/>
  <c r="H1408" i="4" s="1"/>
  <c r="G1469" i="4"/>
  <c r="H1469" i="4" s="1"/>
  <c r="G1476" i="4"/>
  <c r="H1476" i="4" s="1"/>
  <c r="G1545" i="4"/>
  <c r="G1734" i="4"/>
  <c r="H1734" i="4" s="1"/>
  <c r="G1079" i="4"/>
  <c r="H1079" i="4" s="1"/>
  <c r="G1111" i="4"/>
  <c r="H1111" i="4" s="1"/>
  <c r="G1143" i="4"/>
  <c r="H1143" i="4" s="1"/>
  <c r="G1175" i="4"/>
  <c r="H1175" i="4" s="1"/>
  <c r="G1207" i="4"/>
  <c r="H1207" i="4" s="1"/>
  <c r="G1239" i="4"/>
  <c r="H1239" i="4" s="1"/>
  <c r="G1282" i="4"/>
  <c r="G1550" i="4"/>
  <c r="H1550" i="4" s="1"/>
  <c r="G1869" i="4"/>
  <c r="H1869" i="4" s="1"/>
  <c r="G1323" i="4"/>
  <c r="H1323" i="4" s="1"/>
  <c r="G1399" i="4"/>
  <c r="H1399" i="4" s="1"/>
  <c r="G1430" i="4"/>
  <c r="H1430" i="4" s="1"/>
  <c r="G1546" i="4"/>
  <c r="H1546" i="4" s="1"/>
  <c r="G1319" i="4"/>
  <c r="H1319" i="4" s="1"/>
  <c r="G1398" i="4"/>
  <c r="H1398" i="4" s="1"/>
  <c r="G1448" i="4"/>
  <c r="H1448" i="4" s="1"/>
  <c r="G1525" i="4"/>
  <c r="H1525" i="4" s="1"/>
  <c r="G1521" i="4"/>
  <c r="H1521" i="4" s="1"/>
  <c r="G1548" i="4"/>
  <c r="H1548" i="4" s="1"/>
  <c r="G1605" i="4"/>
  <c r="H1605" i="4" s="1"/>
  <c r="G1455" i="4"/>
  <c r="H1455" i="4" s="1"/>
  <c r="G1510" i="4"/>
  <c r="H1510" i="4" s="1"/>
  <c r="G1528" i="4"/>
  <c r="H1528" i="4" s="1"/>
  <c r="G1583" i="4"/>
  <c r="H1583" i="4" s="1"/>
  <c r="G1638" i="4"/>
  <c r="H1638" i="4" s="1"/>
  <c r="G1449" i="4"/>
  <c r="H1449" i="4" s="1"/>
  <c r="G1763" i="4"/>
  <c r="H1763" i="4" s="1"/>
  <c r="G1910" i="4"/>
  <c r="H1910" i="4" s="1"/>
  <c r="G1511" i="4"/>
  <c r="H1511" i="4" s="1"/>
  <c r="G1942" i="4"/>
  <c r="H1942" i="4" s="1"/>
  <c r="G1573" i="4"/>
  <c r="H1573" i="4" s="1"/>
  <c r="G1921" i="4"/>
  <c r="H1921" i="4" s="1"/>
  <c r="G1599" i="4"/>
  <c r="H1599" i="4" s="1"/>
  <c r="G1618" i="4"/>
  <c r="H1618" i="4" s="1"/>
  <c r="G1640" i="4"/>
  <c r="H1640" i="4" s="1"/>
  <c r="G1809" i="4"/>
  <c r="H1809" i="4" s="1"/>
  <c r="G1913" i="4"/>
  <c r="H1913" i="4" s="1"/>
  <c r="G1980" i="4"/>
  <c r="H1980" i="4" s="1"/>
  <c r="G1750" i="4"/>
  <c r="H1750" i="4" s="1"/>
  <c r="G1870" i="4"/>
  <c r="H1870" i="4" s="1"/>
  <c r="G1917" i="4"/>
  <c r="H1917" i="4" s="1"/>
  <c r="G1681" i="4"/>
  <c r="H1681" i="4" s="1"/>
  <c r="G1700" i="4"/>
  <c r="H1700" i="4" s="1"/>
  <c r="G1888" i="4"/>
  <c r="H1888" i="4" s="1"/>
  <c r="G1707" i="4"/>
  <c r="H1707" i="4" s="1"/>
  <c r="G1871" i="4"/>
  <c r="H1871" i="4" s="1"/>
  <c r="G2007" i="4"/>
  <c r="H2007" i="4" s="1"/>
  <c r="G2112" i="4"/>
  <c r="H2112" i="4" s="1"/>
  <c r="G1967" i="4"/>
  <c r="H1967" i="4" s="1"/>
  <c r="G2000" i="4"/>
  <c r="H2000" i="4" s="1"/>
  <c r="G2103" i="4"/>
  <c r="H2103" i="4" s="1"/>
  <c r="G2142" i="4"/>
  <c r="H2142" i="4" s="1"/>
  <c r="G1962" i="4"/>
  <c r="H1962" i="4" s="1"/>
  <c r="G1988" i="4"/>
  <c r="H1988" i="4" s="1"/>
  <c r="G2022" i="4"/>
  <c r="H2022" i="4" s="1"/>
  <c r="G2069" i="4"/>
  <c r="H2069" i="4" s="1"/>
  <c r="G2278" i="4"/>
  <c r="H2278" i="4" s="1"/>
  <c r="G2152" i="4"/>
  <c r="H2152" i="4" s="1"/>
  <c r="G2079" i="4"/>
  <c r="H2079" i="4" s="1"/>
  <c r="G2102" i="4"/>
  <c r="H2102" i="4" s="1"/>
  <c r="G2029" i="4"/>
  <c r="H2029" i="4" s="1"/>
  <c r="G2198" i="4"/>
  <c r="H2198" i="4" s="1"/>
  <c r="G2032" i="4"/>
  <c r="G2182" i="4"/>
  <c r="H2182" i="4" s="1"/>
  <c r="G2093" i="4"/>
  <c r="H2093" i="4" s="1"/>
  <c r="G2149" i="4"/>
  <c r="H2149" i="4" s="1"/>
  <c r="G2314" i="4"/>
  <c r="H2314" i="4" s="1"/>
  <c r="G2188" i="4"/>
  <c r="H2188" i="4" s="1"/>
  <c r="G2315" i="4"/>
  <c r="H2315" i="4" s="1"/>
  <c r="G2165" i="4"/>
  <c r="H2165" i="4" s="1"/>
  <c r="G2235" i="4"/>
  <c r="H2235" i="4" s="1"/>
  <c r="G2330" i="4"/>
  <c r="H2330" i="4" s="1"/>
  <c r="G2162" i="4"/>
  <c r="H2162" i="4" s="1"/>
  <c r="G2246" i="4"/>
  <c r="H2246" i="4" s="1"/>
  <c r="G2241" i="4"/>
  <c r="H2241" i="4" s="1"/>
  <c r="G2345" i="4"/>
  <c r="H2345" i="4" s="1"/>
  <c r="G2543" i="4"/>
  <c r="H2543" i="4" s="1"/>
  <c r="G2423" i="4"/>
  <c r="H2423" i="4" s="1"/>
  <c r="G2477" i="4"/>
  <c r="G2378" i="4"/>
  <c r="H2378" i="4" s="1"/>
  <c r="G2292" i="4"/>
  <c r="H2292" i="4" s="1"/>
  <c r="G2397" i="4"/>
  <c r="H2397" i="4" s="1"/>
  <c r="G2463" i="4"/>
  <c r="H2463" i="4" s="1"/>
  <c r="G2495" i="4"/>
  <c r="H2495" i="4" s="1"/>
  <c r="G2437" i="4"/>
  <c r="H2437" i="4" s="1"/>
  <c r="G2510" i="4"/>
  <c r="H2510" i="4" s="1"/>
  <c r="G2399" i="4"/>
  <c r="H2399" i="4" s="1"/>
  <c r="G2479" i="4"/>
  <c r="H2479" i="4" s="1"/>
  <c r="G2511" i="4"/>
  <c r="H2511" i="4" s="1"/>
  <c r="G2536" i="4"/>
  <c r="H2536" i="4" s="1"/>
  <c r="G2520" i="4"/>
  <c r="H2520" i="4" s="1"/>
  <c r="G2567" i="4"/>
  <c r="H2567" i="4" s="1"/>
  <c r="G2562" i="4"/>
  <c r="H2562" i="4" s="1"/>
  <c r="G2583" i="4"/>
  <c r="H2583" i="4" s="1"/>
  <c r="G2590" i="4"/>
  <c r="G2586" i="4"/>
  <c r="H2586" i="4" s="1"/>
  <c r="G2596" i="4"/>
  <c r="H2596" i="4" s="1"/>
  <c r="G2508" i="4"/>
  <c r="H2508" i="4" s="1"/>
  <c r="G2579" i="4"/>
  <c r="H2579" i="4" s="1"/>
  <c r="G2580" i="4"/>
  <c r="H2580" i="4" s="1"/>
  <c r="G2612" i="4"/>
  <c r="H2612" i="4" s="1"/>
  <c r="G2262" i="4"/>
  <c r="H2262" i="4" s="1"/>
  <c r="G2187" i="4"/>
  <c r="H2187" i="4" s="1"/>
  <c r="G2471" i="4"/>
  <c r="H2471" i="4" s="1"/>
  <c r="G2404" i="4"/>
  <c r="H2404" i="4" s="1"/>
  <c r="G2568" i="4"/>
  <c r="H2568" i="4" s="1"/>
  <c r="G2602" i="4"/>
  <c r="H2602" i="4" s="1"/>
  <c r="G546" i="4"/>
  <c r="H546" i="4" s="1"/>
  <c r="G507" i="4"/>
  <c r="H507" i="4" s="1"/>
  <c r="G291" i="4"/>
  <c r="H291" i="4" s="1"/>
  <c r="G205" i="4"/>
  <c r="H205" i="4" s="1"/>
  <c r="G116" i="4"/>
  <c r="H116" i="4" s="1"/>
  <c r="G414" i="4"/>
  <c r="H414" i="4" s="1"/>
  <c r="G516" i="4"/>
  <c r="H516" i="4" s="1"/>
  <c r="G361" i="4"/>
  <c r="H361" i="4" s="1"/>
  <c r="G335" i="4"/>
  <c r="H335" i="4" s="1"/>
  <c r="G1026" i="4"/>
  <c r="H1026" i="4" s="1"/>
  <c r="G500" i="4"/>
  <c r="H500" i="4" s="1"/>
  <c r="G634" i="4"/>
  <c r="H634" i="4" s="1"/>
  <c r="G904" i="4"/>
  <c r="H904" i="4" s="1"/>
  <c r="G870" i="4"/>
  <c r="H870" i="4" s="1"/>
  <c r="G1193" i="4"/>
  <c r="H1193" i="4" s="1"/>
  <c r="G1350" i="4"/>
  <c r="H1350" i="4" s="1"/>
  <c r="G1629" i="4"/>
  <c r="H1629" i="4" s="1"/>
  <c r="G1066" i="4"/>
  <c r="H1066" i="4" s="1"/>
  <c r="G1135" i="4"/>
  <c r="H1135" i="4" s="1"/>
  <c r="G1298" i="4"/>
  <c r="H1298" i="4" s="1"/>
  <c r="G1614" i="4"/>
  <c r="H1614" i="4" s="1"/>
  <c r="G1493" i="4"/>
  <c r="H1493" i="4" s="1"/>
  <c r="G1863" i="4"/>
  <c r="H1863" i="4" s="1"/>
  <c r="G1463" i="4"/>
  <c r="H1463" i="4" s="1"/>
  <c r="G1544" i="4"/>
  <c r="H1544" i="4" s="1"/>
  <c r="G1559" i="4"/>
  <c r="H1559" i="4" s="1"/>
  <c r="G1977" i="4"/>
  <c r="H1977" i="4" s="1"/>
  <c r="G2306" i="4"/>
  <c r="G2143" i="4"/>
  <c r="H2143" i="4" s="1"/>
  <c r="G2134" i="4"/>
  <c r="H2134" i="4" s="1"/>
  <c r="G2234" i="4"/>
  <c r="H2234" i="4" s="1"/>
  <c r="G2412" i="4"/>
  <c r="H2412" i="4" s="1"/>
  <c r="G32" i="4"/>
  <c r="H32" i="4" s="1"/>
  <c r="G157" i="4"/>
  <c r="H157" i="4" s="1"/>
  <c r="G1904" i="4"/>
  <c r="H1904" i="4" s="1"/>
  <c r="G554" i="4"/>
  <c r="H554" i="4" s="1"/>
  <c r="G48" i="4"/>
  <c r="H48" i="4" s="1"/>
  <c r="G682" i="4"/>
  <c r="H682" i="4" s="1"/>
  <c r="G960" i="4"/>
  <c r="H960" i="4" s="1"/>
  <c r="G178" i="4"/>
  <c r="H178" i="4" s="1"/>
  <c r="G258" i="4"/>
  <c r="H258" i="4" s="1"/>
  <c r="G1168" i="4"/>
  <c r="H1168" i="4" s="1"/>
  <c r="G1065" i="4"/>
  <c r="H1065" i="4" s="1"/>
  <c r="G930" i="4"/>
  <c r="G791" i="4"/>
  <c r="H791" i="4" s="1"/>
  <c r="G1216" i="4"/>
  <c r="H1216" i="4" s="1"/>
  <c r="G911" i="4"/>
  <c r="H911" i="4" s="1"/>
  <c r="G1050" i="4"/>
  <c r="H1050" i="4" s="1"/>
  <c r="G1353" i="4"/>
  <c r="H1353" i="4" s="1"/>
  <c r="G1153" i="4"/>
  <c r="H1153" i="4" s="1"/>
  <c r="G1210" i="4"/>
  <c r="H1210" i="4" s="1"/>
  <c r="G1292" i="4"/>
  <c r="H1292" i="4" s="1"/>
  <c r="G956" i="4"/>
  <c r="H956" i="4" s="1"/>
  <c r="G1326" i="4"/>
  <c r="H1326" i="4" s="1"/>
  <c r="G1462" i="4"/>
  <c r="H1462" i="4" s="1"/>
  <c r="G1275" i="4"/>
  <c r="H1275" i="4" s="1"/>
  <c r="G1678" i="4"/>
  <c r="H1678" i="4" s="1"/>
  <c r="G1751" i="4"/>
  <c r="H1751" i="4" s="1"/>
  <c r="G1721" i="4"/>
  <c r="H1721" i="4" s="1"/>
  <c r="G1665" i="4"/>
  <c r="H1665" i="4" s="1"/>
  <c r="G1830" i="4"/>
  <c r="H1830" i="4" s="1"/>
  <c r="G2136" i="4"/>
  <c r="H2136" i="4" s="1"/>
  <c r="G2164" i="4"/>
  <c r="H2164" i="4" s="1"/>
  <c r="G2305" i="4"/>
  <c r="H2305" i="4" s="1"/>
  <c r="G2502" i="4"/>
  <c r="H2502" i="4" s="1"/>
  <c r="G562" i="4"/>
  <c r="H562" i="4" s="1"/>
  <c r="G133" i="4"/>
  <c r="H133" i="4" s="1"/>
  <c r="G222" i="4"/>
  <c r="H222" i="4" s="1"/>
  <c r="G678" i="4"/>
  <c r="H678" i="4" s="1"/>
  <c r="G213" i="4"/>
  <c r="H213" i="4" s="1"/>
  <c r="G395" i="4"/>
  <c r="H395" i="4" s="1"/>
  <c r="G86" i="4"/>
  <c r="H86" i="4" s="1"/>
  <c r="G336" i="4"/>
  <c r="H336" i="4" s="1"/>
  <c r="G738" i="4"/>
  <c r="H738" i="4" s="1"/>
  <c r="G141" i="4"/>
  <c r="H141" i="4" s="1"/>
  <c r="G618" i="4"/>
  <c r="H618" i="4" s="1"/>
  <c r="G635" i="4"/>
  <c r="H635" i="4" s="1"/>
  <c r="G79" i="4"/>
  <c r="H79" i="4" s="1"/>
  <c r="G93" i="4"/>
  <c r="H93" i="4" s="1"/>
  <c r="G134" i="4"/>
  <c r="H134" i="4" s="1"/>
  <c r="G71" i="4"/>
  <c r="H71" i="4" s="1"/>
  <c r="G126" i="4"/>
  <c r="H126" i="4" s="1"/>
  <c r="G253" i="4"/>
  <c r="H253" i="4" s="1"/>
  <c r="G537" i="4"/>
  <c r="H537" i="4" s="1"/>
  <c r="G846" i="4"/>
  <c r="H846" i="4" s="1"/>
  <c r="G1104" i="4"/>
  <c r="H1104" i="4" s="1"/>
  <c r="G263" i="4"/>
  <c r="H263" i="4" s="1"/>
  <c r="G416" i="4"/>
  <c r="H416" i="4" s="1"/>
  <c r="G1152" i="4"/>
  <c r="H1152" i="4" s="1"/>
  <c r="G314" i="4"/>
  <c r="H314" i="4" s="1"/>
  <c r="G378" i="4"/>
  <c r="H378" i="4" s="1"/>
  <c r="G425" i="4"/>
  <c r="H425" i="4" s="1"/>
  <c r="G595" i="4"/>
  <c r="H595" i="4" s="1"/>
  <c r="G659" i="4"/>
  <c r="H659" i="4" s="1"/>
  <c r="G723" i="4"/>
  <c r="H723" i="4" s="1"/>
  <c r="G124" i="4"/>
  <c r="H124" i="4" s="1"/>
  <c r="G252" i="4"/>
  <c r="H252" i="4" s="1"/>
  <c r="G563" i="4"/>
  <c r="H563" i="4" s="1"/>
  <c r="G423" i="4"/>
  <c r="H423" i="4" s="1"/>
  <c r="G588" i="4"/>
  <c r="H588" i="4" s="1"/>
  <c r="G151" i="4"/>
  <c r="H151" i="4" s="1"/>
  <c r="G167" i="4"/>
  <c r="H167" i="4" s="1"/>
  <c r="G183" i="4"/>
  <c r="H183" i="4" s="1"/>
  <c r="G199" i="4"/>
  <c r="H199" i="4" s="1"/>
  <c r="G215" i="4"/>
  <c r="H215" i="4" s="1"/>
  <c r="G231" i="4"/>
  <c r="H231" i="4" s="1"/>
  <c r="G247" i="4"/>
  <c r="H247" i="4" s="1"/>
  <c r="G630" i="4"/>
  <c r="H630" i="4" s="1"/>
  <c r="G1253" i="4"/>
  <c r="H1253" i="4" s="1"/>
  <c r="G1878" i="4"/>
  <c r="H1878" i="4" s="1"/>
  <c r="G497" i="4"/>
  <c r="H497" i="4" s="1"/>
  <c r="G625" i="4"/>
  <c r="H625" i="4" s="1"/>
  <c r="G873" i="4"/>
  <c r="H873" i="4" s="1"/>
  <c r="G892" i="4"/>
  <c r="H892" i="4" s="1"/>
  <c r="G940" i="4"/>
  <c r="H940" i="4" s="1"/>
  <c r="G577" i="4"/>
  <c r="H577" i="4" s="1"/>
  <c r="G705" i="4"/>
  <c r="H705" i="4" s="1"/>
  <c r="G521" i="4"/>
  <c r="H521" i="4" s="1"/>
  <c r="G564" i="4"/>
  <c r="H564" i="4" s="1"/>
  <c r="G651" i="4"/>
  <c r="H651" i="4" s="1"/>
  <c r="G698" i="4"/>
  <c r="H698" i="4" s="1"/>
  <c r="G857" i="4"/>
  <c r="H857" i="4" s="1"/>
  <c r="G1234" i="4"/>
  <c r="H1234" i="4" s="1"/>
  <c r="G1268" i="4"/>
  <c r="H1268" i="4" s="1"/>
  <c r="G572" i="4"/>
  <c r="H572" i="4" s="1"/>
  <c r="G671" i="4"/>
  <c r="H671" i="4" s="1"/>
  <c r="G834" i="4"/>
  <c r="H834" i="4" s="1"/>
  <c r="G851" i="4"/>
  <c r="H851" i="4" s="1"/>
  <c r="G1339" i="4"/>
  <c r="H1339" i="4" s="1"/>
  <c r="G473" i="4"/>
  <c r="H473" i="4" s="1"/>
  <c r="G775" i="4"/>
  <c r="H775" i="4" s="1"/>
  <c r="G937" i="4"/>
  <c r="G1170" i="4"/>
  <c r="H1170" i="4" s="1"/>
  <c r="G887" i="4"/>
  <c r="H887" i="4" s="1"/>
  <c r="G1023" i="4"/>
  <c r="H1023" i="4" s="1"/>
  <c r="G1276" i="4"/>
  <c r="H1276" i="4" s="1"/>
  <c r="G969" i="4"/>
  <c r="H969" i="4" s="1"/>
  <c r="G1816" i="4"/>
  <c r="H1816" i="4" s="1"/>
  <c r="G1114" i="4"/>
  <c r="H1114" i="4" s="1"/>
  <c r="G1128" i="4"/>
  <c r="H1128" i="4" s="1"/>
  <c r="G1185" i="4"/>
  <c r="H1185" i="4" s="1"/>
  <c r="G1356" i="4"/>
  <c r="H1356" i="4" s="1"/>
  <c r="G1533" i="4"/>
  <c r="H1533" i="4" s="1"/>
  <c r="G1414" i="4"/>
  <c r="H1414" i="4" s="1"/>
  <c r="G929" i="4"/>
  <c r="H929" i="4" s="1"/>
  <c r="G1241" i="4"/>
  <c r="H1241" i="4" s="1"/>
  <c r="G1320" i="4"/>
  <c r="H1320" i="4" s="1"/>
  <c r="G1538" i="4"/>
  <c r="H1538" i="4" s="1"/>
  <c r="G1492" i="4"/>
  <c r="H1492" i="4" s="1"/>
  <c r="G1561" i="4"/>
  <c r="H1561" i="4" s="1"/>
  <c r="G1607" i="4"/>
  <c r="H1607" i="4" s="1"/>
  <c r="G1306" i="4"/>
  <c r="H1306" i="4" s="1"/>
  <c r="G1441" i="4"/>
  <c r="H1441" i="4" s="1"/>
  <c r="G1464" i="4"/>
  <c r="H1464" i="4" s="1"/>
  <c r="G1534" i="4"/>
  <c r="H1534" i="4" s="1"/>
  <c r="G1901" i="4"/>
  <c r="H1901" i="4" s="1"/>
  <c r="G1329" i="4"/>
  <c r="H1329" i="4" s="1"/>
  <c r="G1468" i="4"/>
  <c r="H1468" i="4" s="1"/>
  <c r="G1341" i="4"/>
  <c r="H1341" i="4" s="1"/>
  <c r="G1379" i="4"/>
  <c r="H1379" i="4" s="1"/>
  <c r="G1477" i="4"/>
  <c r="H1477" i="4" s="1"/>
  <c r="G1401" i="4"/>
  <c r="H1401" i="4" s="1"/>
  <c r="G1575" i="4"/>
  <c r="H1575" i="4" s="1"/>
  <c r="G1286" i="4"/>
  <c r="H1286" i="4" s="1"/>
  <c r="G1342" i="4"/>
  <c r="H1342" i="4" s="1"/>
  <c r="G1374" i="4"/>
  <c r="H1374" i="4" s="1"/>
  <c r="G1406" i="4"/>
  <c r="H1406" i="4" s="1"/>
  <c r="G1465" i="4"/>
  <c r="H1465" i="4" s="1"/>
  <c r="G1606" i="4"/>
  <c r="H1606" i="4" s="1"/>
  <c r="G1807" i="4"/>
  <c r="H1807" i="4" s="1"/>
  <c r="G1854" i="4"/>
  <c r="H1854" i="4" s="1"/>
  <c r="G1567" i="4"/>
  <c r="G1784" i="4"/>
  <c r="H1784" i="4" s="1"/>
  <c r="G1519" i="4"/>
  <c r="H1519" i="4" s="1"/>
  <c r="G1576" i="4"/>
  <c r="H1576" i="4" s="1"/>
  <c r="G1895" i="4"/>
  <c r="H1895" i="4" s="1"/>
  <c r="G1954" i="4"/>
  <c r="H1954" i="4" s="1"/>
  <c r="G1943" i="4"/>
  <c r="H1943" i="4" s="1"/>
  <c r="G1657" i="4"/>
  <c r="H1657" i="4" s="1"/>
  <c r="G1691" i="4"/>
  <c r="H1691" i="4" s="1"/>
  <c r="G1739" i="4"/>
  <c r="H1739" i="4" s="1"/>
  <c r="G1969" i="4"/>
  <c r="H1969" i="4" s="1"/>
  <c r="G1719" i="4"/>
  <c r="H1719" i="4" s="1"/>
  <c r="G1568" i="4"/>
  <c r="H1568" i="4" s="1"/>
  <c r="G1918" i="4"/>
  <c r="H1918" i="4" s="1"/>
  <c r="G1753" i="4"/>
  <c r="H1753" i="4" s="1"/>
  <c r="G1950" i="4"/>
  <c r="H1950" i="4" s="1"/>
  <c r="G1776" i="4"/>
  <c r="H1776" i="4" s="1"/>
  <c r="G1801" i="4"/>
  <c r="H1801" i="4" s="1"/>
  <c r="G1815" i="4"/>
  <c r="H1815" i="4" s="1"/>
  <c r="G1928" i="4"/>
  <c r="H1928" i="4" s="1"/>
  <c r="G1951" i="4"/>
  <c r="H1951" i="4" s="1"/>
  <c r="G1737" i="4"/>
  <c r="H1737" i="4" s="1"/>
  <c r="G1832" i="4"/>
  <c r="H1832" i="4" s="1"/>
  <c r="G1905" i="4"/>
  <c r="H1905" i="4" s="1"/>
  <c r="G1705" i="4"/>
  <c r="G1724" i="4"/>
  <c r="H1724" i="4" s="1"/>
  <c r="G1752" i="4"/>
  <c r="H1752" i="4" s="1"/>
  <c r="G1856" i="4"/>
  <c r="H1856" i="4" s="1"/>
  <c r="G1769" i="4"/>
  <c r="H1769" i="4" s="1"/>
  <c r="G1994" i="4"/>
  <c r="H1994" i="4" s="1"/>
  <c r="G1972" i="4"/>
  <c r="H1972" i="4" s="1"/>
  <c r="G2455" i="4"/>
  <c r="H2455" i="4" s="1"/>
  <c r="G2062" i="4"/>
  <c r="H2062" i="4" s="1"/>
  <c r="G2202" i="4"/>
  <c r="H2202" i="4" s="1"/>
  <c r="G2104" i="4"/>
  <c r="H2104" i="4" s="1"/>
  <c r="G2127" i="4"/>
  <c r="H2127" i="4" s="1"/>
  <c r="G2056" i="4"/>
  <c r="H2056" i="4" s="1"/>
  <c r="G2159" i="4"/>
  <c r="H2159" i="4" s="1"/>
  <c r="G2185" i="4"/>
  <c r="H2185" i="4" s="1"/>
  <c r="G2243" i="4"/>
  <c r="H2243" i="4" s="1"/>
  <c r="G2101" i="4"/>
  <c r="G2194" i="4"/>
  <c r="H2194" i="4" s="1"/>
  <c r="G2166" i="4"/>
  <c r="H2166" i="4" s="1"/>
  <c r="G2204" i="4"/>
  <c r="H2204" i="4" s="1"/>
  <c r="G2163" i="4"/>
  <c r="H2163" i="4" s="1"/>
  <c r="G2218" i="4"/>
  <c r="H2218" i="4" s="1"/>
  <c r="G2364" i="4"/>
  <c r="H2364" i="4" s="1"/>
  <c r="G2494" i="4"/>
  <c r="H2494" i="4" s="1"/>
  <c r="G2313" i="4"/>
  <c r="G2377" i="4"/>
  <c r="H2377" i="4" s="1"/>
  <c r="G2249" i="4"/>
  <c r="H2249" i="4" s="1"/>
  <c r="G2386" i="4"/>
  <c r="H2386" i="4" s="1"/>
  <c r="G2332" i="4"/>
  <c r="H2332" i="4" s="1"/>
  <c r="G2372" i="4"/>
  <c r="H2372" i="4" s="1"/>
  <c r="G2299" i="4"/>
  <c r="H2299" i="4" s="1"/>
  <c r="G2509" i="4"/>
  <c r="H2509" i="4" s="1"/>
  <c r="G2439" i="4"/>
  <c r="G2422" i="4"/>
  <c r="H2422" i="4" s="1"/>
  <c r="G2487" i="4"/>
  <c r="H2487" i="4" s="1"/>
  <c r="G2553" i="4"/>
  <c r="H2553" i="4" s="1"/>
  <c r="G2575" i="4"/>
  <c r="H2575" i="4" s="1"/>
  <c r="G2428" i="4"/>
  <c r="H2428" i="4" s="1"/>
  <c r="G2554" i="4"/>
  <c r="H2554" i="4" s="1"/>
  <c r="G2617" i="4"/>
  <c r="H2617" i="4" s="1"/>
  <c r="G2169" i="4"/>
  <c r="H2169" i="4" s="1"/>
  <c r="G2413" i="4"/>
  <c r="H2413" i="4" s="1"/>
  <c r="G2257" i="4"/>
  <c r="H2257" i="4" s="1"/>
  <c r="G2363" i="4"/>
  <c r="H2363" i="4" s="1"/>
  <c r="G2462" i="4"/>
  <c r="H2462" i="4" s="1"/>
  <c r="G2415" i="4"/>
  <c r="H2415" i="4" s="1"/>
  <c r="G2425" i="4"/>
  <c r="H2425" i="4" s="1"/>
  <c r="G2598" i="4"/>
  <c r="H2598" i="4" s="1"/>
  <c r="G2559" i="4"/>
  <c r="G2606" i="4"/>
  <c r="H2606" i="4" s="1"/>
  <c r="G2589" i="4"/>
  <c r="H2589" i="4" s="1"/>
  <c r="G2457" i="4"/>
  <c r="H2457" i="4" s="1"/>
  <c r="G2528" i="4"/>
  <c r="H2528" i="4" s="1"/>
  <c r="G2362" i="4"/>
  <c r="H2362" i="4" s="1"/>
  <c r="G2336" i="4"/>
  <c r="H2336" i="4" s="1"/>
  <c r="G2212" i="4"/>
  <c r="H2212" i="4" s="1"/>
  <c r="G2396" i="4"/>
  <c r="H2396" i="4" s="1"/>
  <c r="G2338" i="4"/>
  <c r="H2338" i="4" s="1"/>
  <c r="G214" i="4"/>
  <c r="H214" i="4" s="1"/>
  <c r="G614" i="4"/>
  <c r="H614" i="4" s="1"/>
  <c r="G95" i="4"/>
  <c r="H95" i="4" s="1"/>
  <c r="G265" i="4"/>
  <c r="H265" i="4" s="1"/>
  <c r="G117" i="4"/>
  <c r="H117" i="4" s="1"/>
  <c r="G644" i="4"/>
  <c r="H644" i="4" s="1"/>
  <c r="G220" i="4"/>
  <c r="H220" i="4" s="1"/>
  <c r="G665" i="4"/>
  <c r="H665" i="4" s="1"/>
  <c r="G297" i="4"/>
  <c r="H297" i="4" s="1"/>
  <c r="G377" i="4"/>
  <c r="H377" i="4" s="1"/>
  <c r="G415" i="4"/>
  <c r="H415" i="4" s="1"/>
  <c r="G970" i="4"/>
  <c r="H970" i="4" s="1"/>
  <c r="G587" i="4"/>
  <c r="H587" i="4" s="1"/>
  <c r="G767" i="4"/>
  <c r="H767" i="4" s="1"/>
  <c r="G1359" i="4"/>
  <c r="H1359" i="4" s="1"/>
  <c r="G994" i="4"/>
  <c r="H994" i="4" s="1"/>
  <c r="G1554" i="4"/>
  <c r="H1554" i="4" s="1"/>
  <c r="G1565" i="4"/>
  <c r="H1565" i="4" s="1"/>
  <c r="G1513" i="4"/>
  <c r="H1513" i="4" s="1"/>
  <c r="G1167" i="4"/>
  <c r="H1167" i="4" s="1"/>
  <c r="G1592" i="4"/>
  <c r="H1592" i="4" s="1"/>
  <c r="G1495" i="4"/>
  <c r="H1495" i="4" s="1"/>
  <c r="G1639" i="4"/>
  <c r="H1639" i="4" s="1"/>
  <c r="G1902" i="4"/>
  <c r="H1902" i="4" s="1"/>
  <c r="G1716" i="4"/>
  <c r="H1716" i="4" s="1"/>
  <c r="G1877" i="4"/>
  <c r="H1877" i="4" s="1"/>
  <c r="G1731" i="4"/>
  <c r="H1731" i="4" s="1"/>
  <c r="G1903" i="4"/>
  <c r="H1903" i="4" s="1"/>
  <c r="G2193" i="4"/>
  <c r="H2193" i="4" s="1"/>
  <c r="G2080" i="4"/>
  <c r="H2080" i="4" s="1"/>
  <c r="G1997" i="4"/>
  <c r="H1997" i="4" s="1"/>
  <c r="G1964" i="4"/>
  <c r="H1964" i="4" s="1"/>
  <c r="G2088" i="4"/>
  <c r="H2088" i="4" s="1"/>
  <c r="G2111" i="4"/>
  <c r="H2111" i="4" s="1"/>
  <c r="G2024" i="4"/>
  <c r="H2024" i="4" s="1"/>
  <c r="G2213" i="4"/>
  <c r="H2213" i="4" s="1"/>
  <c r="G2297" i="4"/>
  <c r="H2297" i="4" s="1"/>
  <c r="G2284" i="4"/>
  <c r="H2284" i="4" s="1"/>
  <c r="G2503" i="4"/>
  <c r="G2461" i="4"/>
  <c r="H2461" i="4" s="1"/>
  <c r="G418" i="4"/>
  <c r="H418" i="4" s="1"/>
  <c r="G746" i="4"/>
  <c r="H746" i="4" s="1"/>
  <c r="G660" i="4"/>
  <c r="H660" i="4" s="1"/>
  <c r="G392" i="4"/>
  <c r="H392" i="4" s="1"/>
  <c r="G439" i="4"/>
  <c r="H439" i="4" s="1"/>
  <c r="G298" i="4"/>
  <c r="H298" i="4" s="1"/>
  <c r="G716" i="4"/>
  <c r="G194" i="4"/>
  <c r="H194" i="4" s="1"/>
  <c r="G684" i="4"/>
  <c r="H684" i="4" s="1"/>
  <c r="G649" i="4"/>
  <c r="H649" i="4" s="1"/>
  <c r="G692" i="4"/>
  <c r="H692" i="4" s="1"/>
  <c r="G1522" i="4"/>
  <c r="H1522" i="4" s="1"/>
  <c r="G1056" i="4"/>
  <c r="H1056" i="4" s="1"/>
  <c r="G1393" i="4"/>
  <c r="H1393" i="4" s="1"/>
  <c r="G1574" i="4"/>
  <c r="G1735" i="4"/>
  <c r="H1735" i="4" s="1"/>
  <c r="G1785" i="4"/>
  <c r="H1785" i="4" s="1"/>
  <c r="G2514" i="4"/>
  <c r="H2514" i="4" s="1"/>
  <c r="G2085" i="4"/>
  <c r="H2085" i="4" s="1"/>
  <c r="G2385" i="4"/>
  <c r="H2385" i="4" s="1"/>
  <c r="G2189" i="4"/>
  <c r="H2189" i="4" s="1"/>
  <c r="G2220" i="4"/>
  <c r="H2220" i="4" s="1"/>
  <c r="G2291" i="4"/>
  <c r="G2601" i="4"/>
  <c r="H2601" i="4" s="1"/>
  <c r="G2420" i="4"/>
  <c r="H2420" i="4" s="1"/>
  <c r="G498" i="4"/>
  <c r="H498" i="4" s="1"/>
  <c r="G56" i="4"/>
  <c r="H56" i="4" s="1"/>
  <c r="G742" i="4"/>
  <c r="H742" i="4" s="1"/>
  <c r="G78" i="4"/>
  <c r="H78" i="4" s="1"/>
  <c r="G119" i="4"/>
  <c r="H119" i="4" s="1"/>
  <c r="G280" i="4"/>
  <c r="G482" i="4"/>
  <c r="H482" i="4" s="1"/>
  <c r="G575" i="4"/>
  <c r="H575" i="4" s="1"/>
  <c r="G299" i="4"/>
  <c r="H299" i="4" s="1"/>
  <c r="G363" i="4"/>
  <c r="H363" i="4" s="1"/>
  <c r="G190" i="4"/>
  <c r="H190" i="4" s="1"/>
  <c r="G355" i="4"/>
  <c r="H355" i="4" s="1"/>
  <c r="G352" i="4"/>
  <c r="H352" i="4" s="1"/>
  <c r="G142" i="4"/>
  <c r="H142" i="4" s="1"/>
  <c r="G229" i="4"/>
  <c r="H229" i="4" s="1"/>
  <c r="G304" i="4"/>
  <c r="H304" i="4" s="1"/>
  <c r="G323" i="4"/>
  <c r="H323" i="4" s="1"/>
  <c r="G647" i="4"/>
  <c r="H647" i="4" s="1"/>
  <c r="G384" i="4"/>
  <c r="H384" i="4" s="1"/>
  <c r="G84" i="4"/>
  <c r="H84" i="4" s="1"/>
  <c r="G140" i="4"/>
  <c r="H140" i="4" s="1"/>
  <c r="G236" i="4"/>
  <c r="H236" i="4" s="1"/>
  <c r="G455" i="4"/>
  <c r="H455" i="4" s="1"/>
  <c r="G643" i="4"/>
  <c r="H643" i="4" s="1"/>
  <c r="G691" i="4"/>
  <c r="H691" i="4" s="1"/>
  <c r="G412" i="4"/>
  <c r="H412" i="4" s="1"/>
  <c r="G888" i="4"/>
  <c r="H888" i="4" s="1"/>
  <c r="G188" i="4"/>
  <c r="H188" i="4" s="1"/>
  <c r="G1461" i="4"/>
  <c r="H1461" i="4" s="1"/>
  <c r="G290" i="4"/>
  <c r="G354" i="4"/>
  <c r="H354" i="4" s="1"/>
  <c r="G531" i="4"/>
  <c r="H531" i="4" s="1"/>
  <c r="G838" i="4"/>
  <c r="H838" i="4" s="1"/>
  <c r="G843" i="4"/>
  <c r="H843" i="4" s="1"/>
  <c r="G499" i="4"/>
  <c r="H499" i="4" s="1"/>
  <c r="G601" i="4"/>
  <c r="H601" i="4" s="1"/>
  <c r="G273" i="4"/>
  <c r="H273" i="4" s="1"/>
  <c r="G289" i="4"/>
  <c r="G305" i="4"/>
  <c r="H305" i="4" s="1"/>
  <c r="G321" i="4"/>
  <c r="G337" i="4"/>
  <c r="H337" i="4" s="1"/>
  <c r="G353" i="4"/>
  <c r="H353" i="4" s="1"/>
  <c r="G369" i="4"/>
  <c r="H369" i="4" s="1"/>
  <c r="G385" i="4"/>
  <c r="H385" i="4" s="1"/>
  <c r="G401" i="4"/>
  <c r="H401" i="4" s="1"/>
  <c r="G646" i="4"/>
  <c r="H646" i="4" s="1"/>
  <c r="G287" i="4"/>
  <c r="H287" i="4" s="1"/>
  <c r="G300" i="4"/>
  <c r="G319" i="4"/>
  <c r="H319" i="4" s="1"/>
  <c r="G332" i="4"/>
  <c r="H332" i="4" s="1"/>
  <c r="G351" i="4"/>
  <c r="H351" i="4" s="1"/>
  <c r="G364" i="4"/>
  <c r="H364" i="4" s="1"/>
  <c r="G383" i="4"/>
  <c r="H383" i="4" s="1"/>
  <c r="G396" i="4"/>
  <c r="G514" i="4"/>
  <c r="H514" i="4" s="1"/>
  <c r="G694" i="4"/>
  <c r="H694" i="4" s="1"/>
  <c r="G1161" i="4"/>
  <c r="H1161" i="4" s="1"/>
  <c r="G882" i="4"/>
  <c r="H882" i="4" s="1"/>
  <c r="G928" i="4"/>
  <c r="H928" i="4" s="1"/>
  <c r="G954" i="4"/>
  <c r="H954" i="4" s="1"/>
  <c r="G1129" i="4"/>
  <c r="H1129" i="4" s="1"/>
  <c r="G1260" i="4"/>
  <c r="G452" i="4"/>
  <c r="H452" i="4" s="1"/>
  <c r="G713" i="4"/>
  <c r="G508" i="4"/>
  <c r="H508" i="4" s="1"/>
  <c r="G607" i="4"/>
  <c r="H607" i="4" s="1"/>
  <c r="G718" i="4"/>
  <c r="H718" i="4" s="1"/>
  <c r="G847" i="4"/>
  <c r="H847" i="4" s="1"/>
  <c r="G962" i="4"/>
  <c r="H962" i="4" s="1"/>
  <c r="G1120" i="4"/>
  <c r="G1312" i="4"/>
  <c r="H1312" i="4" s="1"/>
  <c r="G799" i="4"/>
  <c r="H799" i="4" s="1"/>
  <c r="G967" i="4"/>
  <c r="H967" i="4" s="1"/>
  <c r="G927" i="4"/>
  <c r="H927" i="4" s="1"/>
  <c r="G978" i="4"/>
  <c r="H978" i="4" s="1"/>
  <c r="G1333" i="4"/>
  <c r="H1333" i="4" s="1"/>
  <c r="G1501" i="4"/>
  <c r="H1501" i="4" s="1"/>
  <c r="G1616" i="4"/>
  <c r="H1616" i="4" s="1"/>
  <c r="G1240" i="4"/>
  <c r="H1240" i="4" s="1"/>
  <c r="G1365" i="4"/>
  <c r="H1365" i="4" s="1"/>
  <c r="G1007" i="4"/>
  <c r="H1007" i="4" s="1"/>
  <c r="G1073" i="4"/>
  <c r="H1073" i="4" s="1"/>
  <c r="G1130" i="4"/>
  <c r="H1130" i="4" s="1"/>
  <c r="G1144" i="4"/>
  <c r="H1144" i="4" s="1"/>
  <c r="G1201" i="4"/>
  <c r="H1201" i="4" s="1"/>
  <c r="G1647" i="4"/>
  <c r="H1647" i="4" s="1"/>
  <c r="G1049" i="4"/>
  <c r="H1049" i="4" s="1"/>
  <c r="G1055" i="4"/>
  <c r="G1433" i="4"/>
  <c r="H1433" i="4" s="1"/>
  <c r="G1458" i="4"/>
  <c r="H1458" i="4" s="1"/>
  <c r="G1508" i="4"/>
  <c r="H1508" i="4" s="1"/>
  <c r="G1893" i="4"/>
  <c r="H1893" i="4" s="1"/>
  <c r="G1087" i="4"/>
  <c r="H1087" i="4" s="1"/>
  <c r="G1119" i="4"/>
  <c r="H1119" i="4" s="1"/>
  <c r="G1151" i="4"/>
  <c r="H1151" i="4" s="1"/>
  <c r="G1183" i="4"/>
  <c r="G1215" i="4"/>
  <c r="H1215" i="4" s="1"/>
  <c r="G1266" i="4"/>
  <c r="H1266" i="4" s="1"/>
  <c r="G1358" i="4"/>
  <c r="H1358" i="4" s="1"/>
  <c r="G1518" i="4"/>
  <c r="H1518" i="4" s="1"/>
  <c r="G1552" i="4"/>
  <c r="H1552" i="4" s="1"/>
  <c r="G1335" i="4"/>
  <c r="H1335" i="4" s="1"/>
  <c r="G1514" i="4"/>
  <c r="H1514" i="4" s="1"/>
  <c r="G1660" i="4"/>
  <c r="H1660" i="4" s="1"/>
  <c r="G1366" i="4"/>
  <c r="H1366" i="4" s="1"/>
  <c r="G1557" i="4"/>
  <c r="H1557" i="4" s="1"/>
  <c r="G1610" i="4"/>
  <c r="H1610" i="4" s="1"/>
  <c r="G1369" i="4"/>
  <c r="H1369" i="4" s="1"/>
  <c r="G1484" i="4"/>
  <c r="H1484" i="4" s="1"/>
  <c r="G1537" i="4"/>
  <c r="G1846" i="4"/>
  <c r="H1846" i="4" s="1"/>
  <c r="G1494" i="4"/>
  <c r="H1494" i="4" s="1"/>
  <c r="G1512" i="4"/>
  <c r="H1512" i="4" s="1"/>
  <c r="G1558" i="4"/>
  <c r="H1558" i="4" s="1"/>
  <c r="G1318" i="4"/>
  <c r="H1318" i="4" s="1"/>
  <c r="G1642" i="4"/>
  <c r="H1642" i="4" s="1"/>
  <c r="G1527" i="4"/>
  <c r="H1527" i="4" s="1"/>
  <c r="G1615" i="4"/>
  <c r="H1615" i="4" s="1"/>
  <c r="G1760" i="4"/>
  <c r="H1760" i="4" s="1"/>
  <c r="G1948" i="4"/>
  <c r="G1955" i="4"/>
  <c r="H1955" i="4" s="1"/>
  <c r="G1771" i="4"/>
  <c r="H1771" i="4" s="1"/>
  <c r="G1822" i="4"/>
  <c r="H1822" i="4" s="1"/>
  <c r="G1831" i="4"/>
  <c r="H1831" i="4" s="1"/>
  <c r="G1608" i="4"/>
  <c r="H1608" i="4" s="1"/>
  <c r="G1953" i="4"/>
  <c r="G1663" i="4"/>
  <c r="H1663" i="4" s="1"/>
  <c r="G1881" i="4"/>
  <c r="H1881" i="4" s="1"/>
  <c r="G1919" i="4"/>
  <c r="H1919" i="4" s="1"/>
  <c r="G1790" i="4"/>
  <c r="H1790" i="4" s="1"/>
  <c r="G1885" i="4"/>
  <c r="H1885" i="4" s="1"/>
  <c r="G1873" i="4"/>
  <c r="H1873" i="4" s="1"/>
  <c r="G1684" i="4"/>
  <c r="H1684" i="4" s="1"/>
  <c r="G1729" i="4"/>
  <c r="H1729" i="4" s="1"/>
  <c r="G1758" i="4"/>
  <c r="H1758" i="4" s="1"/>
  <c r="G1926" i="4"/>
  <c r="G1715" i="4"/>
  <c r="H1715" i="4" s="1"/>
  <c r="G1839" i="4"/>
  <c r="H1839" i="4" s="1"/>
  <c r="G1929" i="4"/>
  <c r="H1929" i="4" s="1"/>
  <c r="G1946" i="4"/>
  <c r="H1946" i="4" s="1"/>
  <c r="G2031" i="4"/>
  <c r="H2031" i="4" s="1"/>
  <c r="G1985" i="4"/>
  <c r="G2013" i="4"/>
  <c r="H2013" i="4" s="1"/>
  <c r="G2021" i="4"/>
  <c r="G2096" i="4"/>
  <c r="H2096" i="4" s="1"/>
  <c r="G2135" i="4"/>
  <c r="H2135" i="4" s="1"/>
  <c r="G2040" i="4"/>
  <c r="H2040" i="4" s="1"/>
  <c r="G2078" i="4"/>
  <c r="H2078" i="4" s="1"/>
  <c r="G2047" i="4"/>
  <c r="H2047" i="4" s="1"/>
  <c r="G2016" i="4"/>
  <c r="H2016" i="4" s="1"/>
  <c r="G2038" i="4"/>
  <c r="H2038" i="4" s="1"/>
  <c r="G2150" i="4"/>
  <c r="H2150" i="4" s="1"/>
  <c r="G2034" i="4"/>
  <c r="H2034" i="4" s="1"/>
  <c r="G2321" i="4"/>
  <c r="H2321" i="4" s="1"/>
  <c r="G2172" i="4"/>
  <c r="H2172" i="4" s="1"/>
  <c r="G2227" i="4"/>
  <c r="H2227" i="4" s="1"/>
  <c r="G2109" i="4"/>
  <c r="H2109" i="4" s="1"/>
  <c r="G2157" i="4"/>
  <c r="G2190" i="4"/>
  <c r="H2190" i="4" s="1"/>
  <c r="G2244" i="4"/>
  <c r="G2167" i="4"/>
  <c r="H2167" i="4" s="1"/>
  <c r="G2205" i="4"/>
  <c r="H2205" i="4" s="1"/>
  <c r="G2268" i="4"/>
  <c r="H2268" i="4" s="1"/>
  <c r="G2201" i="4"/>
  <c r="H2201" i="4" s="1"/>
  <c r="G2259" i="4"/>
  <c r="H2259" i="4" s="1"/>
  <c r="G2347" i="4"/>
  <c r="G2300" i="4"/>
  <c r="H2300" i="4" s="1"/>
  <c r="G2531" i="4"/>
  <c r="G2402" i="4"/>
  <c r="H2402" i="4" s="1"/>
  <c r="G2454" i="4"/>
  <c r="H2454" i="4" s="1"/>
  <c r="G2393" i="4"/>
  <c r="H2393" i="4" s="1"/>
  <c r="G2447" i="4"/>
  <c r="H2447" i="4" s="1"/>
  <c r="G2460" i="4"/>
  <c r="H2460" i="4" s="1"/>
  <c r="G2476" i="4"/>
  <c r="G2492" i="4"/>
  <c r="H2492" i="4" s="1"/>
  <c r="G2546" i="4"/>
  <c r="G2609" i="4"/>
  <c r="G2470" i="4"/>
  <c r="H2470" i="4" s="1"/>
  <c r="G2436" i="4"/>
  <c r="H2436" i="4" s="1"/>
  <c r="G2582" i="4"/>
  <c r="H2582" i="4" s="1"/>
  <c r="G2581" i="4"/>
  <c r="H2581" i="4" s="1"/>
  <c r="G2017" i="4"/>
  <c r="G2023" i="4"/>
  <c r="H2023" i="4" s="1"/>
  <c r="G2179" i="4"/>
  <c r="H2179" i="4" s="1"/>
  <c r="G2203" i="4"/>
  <c r="H2203" i="4" s="1"/>
  <c r="G2356" i="4"/>
  <c r="H2356" i="4" s="1"/>
  <c r="G2493" i="4"/>
  <c r="H2493" i="4" s="1"/>
  <c r="G2401" i="4"/>
  <c r="H2401" i="4" s="1"/>
  <c r="G2578" i="4"/>
  <c r="H2578" i="4" s="1"/>
  <c r="G125" i="4"/>
  <c r="H125" i="4" s="1"/>
  <c r="G707" i="4"/>
  <c r="H707" i="4" s="1"/>
  <c r="G313" i="4"/>
  <c r="G393" i="4"/>
  <c r="H393" i="4" s="1"/>
  <c r="G524" i="4"/>
  <c r="H524" i="4" s="1"/>
  <c r="G380" i="4"/>
  <c r="H380" i="4" s="1"/>
  <c r="G865" i="4"/>
  <c r="H865" i="4" s="1"/>
  <c r="G529" i="4"/>
  <c r="H529" i="4" s="1"/>
  <c r="G1656" i="4"/>
  <c r="H1656" i="4" s="1"/>
  <c r="G1103" i="4"/>
  <c r="H1103" i="4" s="1"/>
  <c r="G1231" i="4"/>
  <c r="H1231" i="4" s="1"/>
  <c r="G1488" i="4"/>
  <c r="G1315" i="4"/>
  <c r="H1315" i="4" s="1"/>
  <c r="G1460" i="4"/>
  <c r="H1460" i="4" s="1"/>
  <c r="G1480" i="4"/>
  <c r="H1480" i="4" s="1"/>
  <c r="G1726" i="4"/>
  <c r="H1726" i="4" s="1"/>
  <c r="G1613" i="4"/>
  <c r="G1889" i="4"/>
  <c r="H1889" i="4" s="1"/>
  <c r="G1855" i="4"/>
  <c r="H1855" i="4" s="1"/>
  <c r="G1697" i="4"/>
  <c r="H1697" i="4" s="1"/>
  <c r="G2002" i="4"/>
  <c r="H2002" i="4" s="1"/>
  <c r="G2048" i="4"/>
  <c r="H2048" i="4" s="1"/>
  <c r="G2141" i="4"/>
  <c r="H2141" i="4" s="1"/>
  <c r="G2371" i="4"/>
  <c r="H2371" i="4" s="1"/>
  <c r="G2370" i="4"/>
  <c r="G127" i="4"/>
  <c r="H127" i="4" s="1"/>
  <c r="G505" i="4"/>
  <c r="H505" i="4" s="1"/>
  <c r="G729" i="4"/>
  <c r="H729" i="4" s="1"/>
  <c r="G162" i="4"/>
  <c r="H162" i="4" s="1"/>
  <c r="G242" i="4"/>
  <c r="H242" i="4" s="1"/>
  <c r="G1048" i="4"/>
  <c r="H1048" i="4" s="1"/>
  <c r="G879" i="4"/>
  <c r="H879" i="4" s="1"/>
  <c r="G1224" i="4"/>
  <c r="H1224" i="4" s="1"/>
  <c r="G1301" i="4"/>
  <c r="H1301" i="4" s="1"/>
  <c r="G1529" i="4"/>
  <c r="G1886" i="4"/>
  <c r="H1886" i="4" s="1"/>
  <c r="G1258" i="4"/>
  <c r="H1258" i="4" s="1"/>
  <c r="G1291" i="4"/>
  <c r="H1291" i="4" s="1"/>
  <c r="G1373" i="4"/>
  <c r="H1373" i="4" s="1"/>
  <c r="G1505" i="4"/>
  <c r="H1505" i="4" s="1"/>
  <c r="G1825" i="4"/>
  <c r="G1676" i="4"/>
  <c r="H1676" i="4" s="1"/>
  <c r="G1979" i="4"/>
  <c r="G2380" i="4"/>
  <c r="H2380" i="4" s="1"/>
  <c r="G2452" i="4"/>
  <c r="H2452" i="4" s="1"/>
  <c r="G2599" i="4"/>
  <c r="H2599" i="4" s="1"/>
  <c r="G368" i="4"/>
  <c r="H368" i="4" s="1"/>
  <c r="G569" i="4"/>
  <c r="H569" i="4" s="1"/>
  <c r="G198" i="4"/>
  <c r="G674" i="4"/>
  <c r="H674" i="4" s="1"/>
  <c r="G41" i="4"/>
  <c r="H41" i="4" s="1"/>
  <c r="G519" i="4"/>
  <c r="H519" i="4" s="1"/>
  <c r="G610" i="4"/>
  <c r="H610" i="4" s="1"/>
  <c r="G40" i="4"/>
  <c r="H40" i="4" s="1"/>
  <c r="G63" i="4"/>
  <c r="H63" i="4" s="1"/>
  <c r="G173" i="4"/>
  <c r="H173" i="4" s="1"/>
  <c r="G457" i="4"/>
  <c r="G410" i="4"/>
  <c r="H410" i="4" s="1"/>
  <c r="G70" i="4"/>
  <c r="H70" i="4" s="1"/>
  <c r="G431" i="4"/>
  <c r="H431" i="4" s="1"/>
  <c r="G24" i="4"/>
  <c r="H24" i="4" s="1"/>
  <c r="G55" i="4"/>
  <c r="H55" i="4" s="1"/>
  <c r="G246" i="4"/>
  <c r="H246" i="4" s="1"/>
  <c r="G550" i="4"/>
  <c r="H550" i="4" s="1"/>
  <c r="G135" i="4"/>
  <c r="H135" i="4" s="1"/>
  <c r="G328" i="4"/>
  <c r="H328" i="4" s="1"/>
  <c r="G622" i="4"/>
  <c r="H622" i="4" s="1"/>
  <c r="G441" i="4"/>
  <c r="H441" i="4" s="1"/>
  <c r="G835" i="4"/>
  <c r="H835" i="4" s="1"/>
  <c r="G420" i="4"/>
  <c r="H420" i="4" s="1"/>
  <c r="G1039" i="4"/>
  <c r="H1039" i="4" s="1"/>
  <c r="G330" i="4"/>
  <c r="H330" i="4" s="1"/>
  <c r="G394" i="4"/>
  <c r="H394" i="4" s="1"/>
  <c r="G467" i="4"/>
  <c r="H467" i="4" s="1"/>
  <c r="G841" i="4"/>
  <c r="H841" i="4" s="1"/>
  <c r="G858" i="4"/>
  <c r="G905" i="4"/>
  <c r="H905" i="4" s="1"/>
  <c r="G164" i="4"/>
  <c r="H164" i="4" s="1"/>
  <c r="G548" i="4"/>
  <c r="H548" i="4" s="1"/>
  <c r="G407" i="4"/>
  <c r="H407" i="4" s="1"/>
  <c r="G138" i="4"/>
  <c r="H138" i="4" s="1"/>
  <c r="G154" i="4"/>
  <c r="H154" i="4" s="1"/>
  <c r="G170" i="4"/>
  <c r="H170" i="4" s="1"/>
  <c r="G186" i="4"/>
  <c r="H186" i="4" s="1"/>
  <c r="G202" i="4"/>
  <c r="H202" i="4" s="1"/>
  <c r="G218" i="4"/>
  <c r="H218" i="4" s="1"/>
  <c r="G234" i="4"/>
  <c r="H234" i="4" s="1"/>
  <c r="G250" i="4"/>
  <c r="H250" i="4" s="1"/>
  <c r="G578" i="4"/>
  <c r="H578" i="4" s="1"/>
  <c r="G1225" i="4"/>
  <c r="H1225" i="4" s="1"/>
  <c r="G540" i="4"/>
  <c r="H540" i="4" s="1"/>
  <c r="G668" i="4"/>
  <c r="H668" i="4" s="1"/>
  <c r="G983" i="4"/>
  <c r="H983" i="4" s="1"/>
  <c r="G1042" i="4"/>
  <c r="H1042" i="4" s="1"/>
  <c r="G1002" i="4"/>
  <c r="H1002" i="4" s="1"/>
  <c r="G1209" i="4"/>
  <c r="H1209" i="4" s="1"/>
  <c r="G492" i="4"/>
  <c r="H492" i="4" s="1"/>
  <c r="G620" i="4"/>
  <c r="H620" i="4" s="1"/>
  <c r="G748" i="4"/>
  <c r="G889" i="4"/>
  <c r="H889" i="4" s="1"/>
  <c r="G964" i="4"/>
  <c r="H964" i="4" s="1"/>
  <c r="G523" i="4"/>
  <c r="H523" i="4" s="1"/>
  <c r="G570" i="4"/>
  <c r="H570" i="4" s="1"/>
  <c r="G992" i="4"/>
  <c r="H992" i="4" s="1"/>
  <c r="G543" i="4"/>
  <c r="G654" i="4"/>
  <c r="H654" i="4" s="1"/>
  <c r="G721" i="4"/>
  <c r="H721" i="4" s="1"/>
  <c r="G849" i="4"/>
  <c r="H849" i="4" s="1"/>
  <c r="G894" i="4"/>
  <c r="H894" i="4" s="1"/>
  <c r="G1138" i="4"/>
  <c r="H1138" i="4" s="1"/>
  <c r="G759" i="4"/>
  <c r="H759" i="4" s="1"/>
  <c r="G823" i="4"/>
  <c r="H823" i="4" s="1"/>
  <c r="G1136" i="4"/>
  <c r="H1136" i="4" s="1"/>
  <c r="G1232" i="4"/>
  <c r="H1232" i="4" s="1"/>
  <c r="G863" i="4"/>
  <c r="G895" i="4"/>
  <c r="H895" i="4" s="1"/>
  <c r="G1032" i="4"/>
  <c r="H1032" i="4" s="1"/>
  <c r="G1371" i="4"/>
  <c r="H1371" i="4" s="1"/>
  <c r="G935" i="4"/>
  <c r="H935" i="4" s="1"/>
  <c r="G986" i="4"/>
  <c r="H986" i="4" s="1"/>
  <c r="G1284" i="4"/>
  <c r="H1284" i="4" s="1"/>
  <c r="G1403" i="4"/>
  <c r="H1403" i="4" s="1"/>
  <c r="G1089" i="4"/>
  <c r="G1146" i="4"/>
  <c r="G1160" i="4"/>
  <c r="H1160" i="4" s="1"/>
  <c r="G1217" i="4"/>
  <c r="H1217" i="4" s="1"/>
  <c r="G1285" i="4"/>
  <c r="H1285" i="4" s="1"/>
  <c r="G1376" i="4"/>
  <c r="H1376" i="4" s="1"/>
  <c r="G946" i="4"/>
  <c r="H946" i="4" s="1"/>
  <c r="G1000" i="4"/>
  <c r="H1000" i="4" s="1"/>
  <c r="G1018" i="4"/>
  <c r="G1252" i="4"/>
  <c r="H1252" i="4" s="1"/>
  <c r="G1621" i="4"/>
  <c r="H1621" i="4" s="1"/>
  <c r="G1524" i="4"/>
  <c r="H1524" i="4" s="1"/>
  <c r="G1290" i="4"/>
  <c r="H1290" i="4" s="1"/>
  <c r="G1456" i="4"/>
  <c r="H1456" i="4" s="1"/>
  <c r="G1502" i="4"/>
  <c r="H1502" i="4" s="1"/>
  <c r="G1536" i="4"/>
  <c r="H1536" i="4" s="1"/>
  <c r="G1630" i="4"/>
  <c r="H1630" i="4" s="1"/>
  <c r="G1307" i="4"/>
  <c r="H1307" i="4" s="1"/>
  <c r="G1562" i="4"/>
  <c r="H1562" i="4" s="1"/>
  <c r="G1251" i="4"/>
  <c r="H1251" i="4" s="1"/>
  <c r="G1267" i="4"/>
  <c r="H1267" i="4" s="1"/>
  <c r="G1283" i="4"/>
  <c r="H1283" i="4" s="1"/>
  <c r="G1299" i="4"/>
  <c r="G1347" i="4"/>
  <c r="H1347" i="4" s="1"/>
  <c r="G1384" i="4"/>
  <c r="H1384" i="4" s="1"/>
  <c r="G1424" i="4"/>
  <c r="H1424" i="4" s="1"/>
  <c r="G1509" i="4"/>
  <c r="H1509" i="4" s="1"/>
  <c r="G1857" i="4"/>
  <c r="H1857" i="4" s="1"/>
  <c r="G1337" i="4"/>
  <c r="H1337" i="4" s="1"/>
  <c r="G1407" i="4"/>
  <c r="H1407" i="4" s="1"/>
  <c r="G1500" i="4"/>
  <c r="H1500" i="4" s="1"/>
  <c r="G1294" i="4"/>
  <c r="H1294" i="4" s="1"/>
  <c r="G1457" i="4"/>
  <c r="G1925" i="4"/>
  <c r="H1925" i="4" s="1"/>
  <c r="G1582" i="4"/>
  <c r="H1582" i="4" s="1"/>
  <c r="G1584" i="4"/>
  <c r="H1584" i="4" s="1"/>
  <c r="G1744" i="4"/>
  <c r="H1744" i="4" s="1"/>
  <c r="G1471" i="4"/>
  <c r="H1471" i="4" s="1"/>
  <c r="G1535" i="4"/>
  <c r="H1535" i="4" s="1"/>
  <c r="G1655" i="4"/>
  <c r="H1655" i="4" s="1"/>
  <c r="G1634" i="4"/>
  <c r="G1637" i="4"/>
  <c r="G1777" i="4"/>
  <c r="H1777" i="4" s="1"/>
  <c r="G1703" i="4"/>
  <c r="H1703" i="4" s="1"/>
  <c r="G1740" i="4"/>
  <c r="H1740" i="4" s="1"/>
  <c r="G1791" i="4"/>
  <c r="H1791" i="4" s="1"/>
  <c r="G1664" i="4"/>
  <c r="G1956" i="4"/>
  <c r="H1956" i="4" s="1"/>
  <c r="G1792" i="4"/>
  <c r="H1792" i="4" s="1"/>
  <c r="G1817" i="4"/>
  <c r="H1817" i="4" s="1"/>
  <c r="G1838" i="4"/>
  <c r="H1838" i="4" s="1"/>
  <c r="G1896" i="4"/>
  <c r="H1896" i="4" s="1"/>
  <c r="G1841" i="4"/>
  <c r="H1841" i="4" s="1"/>
  <c r="G1911" i="4"/>
  <c r="H1911" i="4" s="1"/>
  <c r="G1958" i="4"/>
  <c r="G1689" i="4"/>
  <c r="H1689" i="4" s="1"/>
  <c r="G1708" i="4"/>
  <c r="H1708" i="4" s="1"/>
  <c r="G1894" i="4"/>
  <c r="H1894" i="4" s="1"/>
  <c r="G2144" i="4"/>
  <c r="H2144" i="4" s="1"/>
  <c r="G2290" i="4"/>
  <c r="H2290" i="4" s="1"/>
  <c r="G1987" i="4"/>
  <c r="H1987" i="4" s="1"/>
  <c r="G2010" i="4"/>
  <c r="H2010" i="4" s="1"/>
  <c r="G2005" i="4"/>
  <c r="H2005" i="4" s="1"/>
  <c r="G1975" i="4"/>
  <c r="H1975" i="4" s="1"/>
  <c r="G1995" i="4"/>
  <c r="G2283" i="4"/>
  <c r="H2283" i="4" s="1"/>
  <c r="G1970" i="4"/>
  <c r="H1970" i="4" s="1"/>
  <c r="G1993" i="4"/>
  <c r="H1993" i="4" s="1"/>
  <c r="G2072" i="4"/>
  <c r="H2072" i="4" s="1"/>
  <c r="G2276" i="4"/>
  <c r="H2276" i="4" s="1"/>
  <c r="G2071" i="4"/>
  <c r="G2158" i="4"/>
  <c r="H2158" i="4" s="1"/>
  <c r="G2307" i="4"/>
  <c r="H2307" i="4" s="1"/>
  <c r="G2095" i="4"/>
  <c r="H2095" i="4" s="1"/>
  <c r="G2118" i="4"/>
  <c r="H2118" i="4" s="1"/>
  <c r="G2037" i="4"/>
  <c r="H2037" i="4" s="1"/>
  <c r="G2298" i="4"/>
  <c r="H2298" i="4" s="1"/>
  <c r="G2117" i="4"/>
  <c r="H2117" i="4" s="1"/>
  <c r="G2238" i="4"/>
  <c r="H2238" i="4" s="1"/>
  <c r="G2196" i="4"/>
  <c r="H2196" i="4" s="1"/>
  <c r="G2214" i="4"/>
  <c r="G2210" i="4"/>
  <c r="G2170" i="4"/>
  <c r="H2170" i="4" s="1"/>
  <c r="G2388" i="4"/>
  <c r="H2388" i="4" s="1"/>
  <c r="G2449" i="4"/>
  <c r="H2449" i="4" s="1"/>
  <c r="G2265" i="4"/>
  <c r="H2265" i="4" s="1"/>
  <c r="G2289" i="4"/>
  <c r="H2289" i="4" s="1"/>
  <c r="G2522" i="4"/>
  <c r="H2522" i="4" s="1"/>
  <c r="G2577" i="4"/>
  <c r="G2387" i="4"/>
  <c r="H2387" i="4" s="1"/>
  <c r="G2322" i="4"/>
  <c r="H2322" i="4" s="1"/>
  <c r="G2346" i="4"/>
  <c r="H2346" i="4" s="1"/>
  <c r="G2353" i="4"/>
  <c r="H2353" i="4" s="1"/>
  <c r="G2407" i="4"/>
  <c r="H2407" i="4" s="1"/>
  <c r="G2523" i="4"/>
  <c r="H2523" i="4" s="1"/>
  <c r="G2551" i="4"/>
  <c r="H2551" i="4" s="1"/>
  <c r="G2478" i="4"/>
  <c r="G2538" i="4"/>
  <c r="H2538" i="4" s="1"/>
  <c r="G2570" i="4"/>
  <c r="H2570" i="4" s="1"/>
  <c r="G2591" i="4"/>
  <c r="H2591" i="4" s="1"/>
  <c r="G1983" i="4"/>
  <c r="H1983" i="4" s="1"/>
  <c r="G2222" i="4"/>
  <c r="H2222" i="4" s="1"/>
  <c r="G2369" i="4"/>
  <c r="G2384" i="4"/>
  <c r="H2384" i="4" s="1"/>
  <c r="G2512" i="4"/>
  <c r="H2512" i="4" s="1"/>
  <c r="G18" i="4"/>
  <c r="G111" i="4"/>
  <c r="H111" i="4" s="1"/>
  <c r="G490" i="4"/>
  <c r="H490" i="4" s="1"/>
  <c r="G31" i="4"/>
  <c r="H31" i="4" s="1"/>
  <c r="G103" i="4"/>
  <c r="H103" i="4" s="1"/>
  <c r="G1186" i="4"/>
  <c r="H1186" i="4" s="1"/>
  <c r="G204" i="4"/>
  <c r="H204" i="4" s="1"/>
  <c r="G708" i="4"/>
  <c r="G386" i="4"/>
  <c r="G897" i="4"/>
  <c r="H897" i="4" s="1"/>
  <c r="G345" i="4"/>
  <c r="H345" i="4" s="1"/>
  <c r="G868" i="4"/>
  <c r="H868" i="4" s="1"/>
  <c r="G991" i="4"/>
  <c r="H991" i="4" s="1"/>
  <c r="G1137" i="4"/>
  <c r="H1137" i="4" s="1"/>
  <c r="G1417" i="4"/>
  <c r="H1417" i="4" s="1"/>
  <c r="G1031" i="4"/>
  <c r="H1031" i="4" s="1"/>
  <c r="G1768" i="4"/>
  <c r="G1199" i="4"/>
  <c r="H1199" i="4" s="1"/>
  <c r="G1489" i="4"/>
  <c r="H1489" i="4" s="1"/>
  <c r="G1532" i="4"/>
  <c r="H1532" i="4" s="1"/>
  <c r="G1978" i="4"/>
  <c r="H1978" i="4" s="1"/>
  <c r="G1986" i="4"/>
  <c r="H1986" i="4" s="1"/>
  <c r="G2063" i="4"/>
  <c r="H2063" i="4" s="1"/>
  <c r="G2274" i="4"/>
  <c r="G2077" i="4"/>
  <c r="G2225" i="4"/>
  <c r="H2225" i="4" s="1"/>
  <c r="G2468" i="4"/>
  <c r="H2468" i="4" s="1"/>
  <c r="G2588" i="4"/>
  <c r="H2588" i="4" s="1"/>
  <c r="G2618" i="4"/>
  <c r="H2618" i="4" s="1"/>
  <c r="G695" i="4"/>
  <c r="G49" i="4"/>
  <c r="H49" i="4" s="1"/>
  <c r="G362" i="4"/>
  <c r="G582" i="4"/>
  <c r="H582" i="4" s="1"/>
  <c r="G146" i="4"/>
  <c r="H146" i="4" s="1"/>
  <c r="G226" i="4"/>
  <c r="H226" i="4" s="1"/>
  <c r="G556" i="4"/>
  <c r="H556" i="4" s="1"/>
  <c r="G910" i="4"/>
  <c r="H910" i="4" s="1"/>
  <c r="G913" i="4"/>
  <c r="G1311" i="4"/>
  <c r="H1311" i="4" s="1"/>
  <c r="G1632" i="4"/>
  <c r="H1632" i="4" s="1"/>
  <c r="G2001" i="4"/>
  <c r="H2001" i="4" s="1"/>
  <c r="G1799" i="4"/>
  <c r="H1799" i="4" s="1"/>
  <c r="G2219" i="4"/>
  <c r="H2219" i="4" s="1"/>
  <c r="G2267" i="4"/>
  <c r="H2267" i="4" s="1"/>
  <c r="G2026" i="4"/>
  <c r="H2026" i="4" s="1"/>
  <c r="G2070" i="4"/>
  <c r="H2070" i="4" s="1"/>
  <c r="G2275" i="4"/>
  <c r="H2275" i="4" s="1"/>
  <c r="G2195" i="4"/>
  <c r="G2252" i="4"/>
  <c r="H2252" i="4" s="1"/>
  <c r="G2233" i="4"/>
  <c r="H2233" i="4" s="1"/>
  <c r="G2552" i="4"/>
  <c r="H2552" i="4" s="1"/>
  <c r="G379" i="4"/>
  <c r="H379" i="4" s="1"/>
  <c r="G101" i="4"/>
  <c r="H101" i="4" s="1"/>
  <c r="G344" i="4"/>
  <c r="H344" i="4" s="1"/>
  <c r="G254" i="4"/>
  <c r="H254" i="4" s="1"/>
  <c r="G158" i="4"/>
  <c r="H158" i="4" s="1"/>
  <c r="G181" i="4"/>
  <c r="H181" i="4" s="1"/>
  <c r="G711" i="4"/>
  <c r="H711" i="4" s="1"/>
  <c r="G118" i="4"/>
  <c r="H118" i="4" s="1"/>
  <c r="G150" i="4"/>
  <c r="H150" i="4" s="1"/>
  <c r="G261" i="4"/>
  <c r="H261" i="4" s="1"/>
  <c r="G50" i="4"/>
  <c r="H50" i="4" s="1"/>
  <c r="G182" i="4"/>
  <c r="H182" i="4" s="1"/>
  <c r="G57" i="4"/>
  <c r="H57" i="4" s="1"/>
  <c r="G307" i="4"/>
  <c r="G283" i="4"/>
  <c r="H283" i="4" s="1"/>
  <c r="G699" i="4"/>
  <c r="H699" i="4" s="1"/>
  <c r="G77" i="4"/>
  <c r="H77" i="4" s="1"/>
  <c r="G272" i="4"/>
  <c r="H272" i="4" s="1"/>
  <c r="G571" i="4"/>
  <c r="H571" i="4" s="1"/>
  <c r="G690" i="4"/>
  <c r="H690" i="4" s="1"/>
  <c r="G511" i="4"/>
  <c r="H511" i="4" s="1"/>
  <c r="G102" i="4"/>
  <c r="G320" i="4"/>
  <c r="H320" i="4" s="1"/>
  <c r="G631" i="4"/>
  <c r="H631" i="4" s="1"/>
  <c r="G94" i="4"/>
  <c r="H94" i="4" s="1"/>
  <c r="G60" i="4"/>
  <c r="H60" i="4" s="1"/>
  <c r="G108" i="4"/>
  <c r="G148" i="4"/>
  <c r="H148" i="4" s="1"/>
  <c r="G260" i="4"/>
  <c r="G676" i="4"/>
  <c r="H676" i="4" s="1"/>
  <c r="G471" i="4"/>
  <c r="H471" i="4" s="1"/>
  <c r="G535" i="4"/>
  <c r="H535" i="4" s="1"/>
  <c r="G599" i="4"/>
  <c r="H599" i="4" s="1"/>
  <c r="G663" i="4"/>
  <c r="H663" i="4" s="1"/>
  <c r="G727" i="4"/>
  <c r="H727" i="4" s="1"/>
  <c r="G212" i="4"/>
  <c r="H212" i="4" s="1"/>
  <c r="G1439" i="4"/>
  <c r="H1439" i="4" s="1"/>
  <c r="G306" i="4"/>
  <c r="H306" i="4" s="1"/>
  <c r="G370" i="4"/>
  <c r="H370" i="4" s="1"/>
  <c r="G609" i="4"/>
  <c r="H609" i="4" s="1"/>
  <c r="G673" i="4"/>
  <c r="H673" i="4" s="1"/>
  <c r="G737" i="4"/>
  <c r="H737" i="4" s="1"/>
  <c r="G484" i="4"/>
  <c r="H484" i="4" s="1"/>
  <c r="G449" i="4"/>
  <c r="H449" i="4" s="1"/>
  <c r="G518" i="4"/>
  <c r="H518" i="4" s="1"/>
  <c r="G652" i="4"/>
  <c r="H652" i="4" s="1"/>
  <c r="G279" i="4"/>
  <c r="H279" i="4" s="1"/>
  <c r="G292" i="4"/>
  <c r="H292" i="4" s="1"/>
  <c r="G311" i="4"/>
  <c r="H311" i="4" s="1"/>
  <c r="G324" i="4"/>
  <c r="H324" i="4" s="1"/>
  <c r="G343" i="4"/>
  <c r="G356" i="4"/>
  <c r="H356" i="4" s="1"/>
  <c r="G375" i="4"/>
  <c r="H375" i="4" s="1"/>
  <c r="G388" i="4"/>
  <c r="H388" i="4" s="1"/>
  <c r="G447" i="4"/>
  <c r="H447" i="4" s="1"/>
  <c r="G642" i="4"/>
  <c r="H642" i="4" s="1"/>
  <c r="G833" i="4"/>
  <c r="H833" i="4" s="1"/>
  <c r="G1057" i="4"/>
  <c r="H1057" i="4" s="1"/>
  <c r="G1452" i="4"/>
  <c r="G268" i="4"/>
  <c r="H268" i="4" s="1"/>
  <c r="G1122" i="4"/>
  <c r="G984" i="4"/>
  <c r="H984" i="4" s="1"/>
  <c r="G1090" i="4"/>
  <c r="H1090" i="4" s="1"/>
  <c r="G1184" i="4"/>
  <c r="H1184" i="4" s="1"/>
  <c r="G428" i="4"/>
  <c r="H428" i="4" s="1"/>
  <c r="G460" i="4"/>
  <c r="H460" i="4" s="1"/>
  <c r="G1097" i="4"/>
  <c r="H1097" i="4" s="1"/>
  <c r="G585" i="4"/>
  <c r="H585" i="4" s="1"/>
  <c r="G628" i="4"/>
  <c r="G715" i="4"/>
  <c r="H715" i="4" s="1"/>
  <c r="G1113" i="4"/>
  <c r="H1113" i="4" s="1"/>
  <c r="G479" i="4"/>
  <c r="H479" i="4" s="1"/>
  <c r="G590" i="4"/>
  <c r="H590" i="4" s="1"/>
  <c r="G657" i="4"/>
  <c r="H657" i="4" s="1"/>
  <c r="G1081" i="4"/>
  <c r="H1081" i="4" s="1"/>
  <c r="G1154" i="4"/>
  <c r="H1154" i="4" s="1"/>
  <c r="G1549" i="4"/>
  <c r="H1549" i="4" s="1"/>
  <c r="G1218" i="4"/>
  <c r="G783" i="4"/>
  <c r="H783" i="4" s="1"/>
  <c r="G977" i="4"/>
  <c r="H977" i="4" s="1"/>
  <c r="G881" i="4"/>
  <c r="H881" i="4" s="1"/>
  <c r="G1444" i="4"/>
  <c r="H1444" i="4" s="1"/>
  <c r="G1041" i="4"/>
  <c r="H1041" i="4" s="1"/>
  <c r="G1423" i="4"/>
  <c r="H1423" i="4" s="1"/>
  <c r="G1016" i="4"/>
  <c r="H1016" i="4" s="1"/>
  <c r="G1105" i="4"/>
  <c r="G1162" i="4"/>
  <c r="H1162" i="4" s="1"/>
  <c r="G1176" i="4"/>
  <c r="H1176" i="4" s="1"/>
  <c r="G1233" i="4"/>
  <c r="H1233" i="4" s="1"/>
  <c r="G1382" i="4"/>
  <c r="H1382" i="4" s="1"/>
  <c r="G1391" i="4"/>
  <c r="H1391" i="4" s="1"/>
  <c r="G951" i="4"/>
  <c r="H951" i="4" s="1"/>
  <c r="G985" i="4"/>
  <c r="H985" i="4" s="1"/>
  <c r="G1300" i="4"/>
  <c r="G1506" i="4"/>
  <c r="H1506" i="4" s="1"/>
  <c r="G1517" i="4"/>
  <c r="H1517" i="4" s="1"/>
  <c r="G1481" i="4"/>
  <c r="H1481" i="4" s="1"/>
  <c r="G1540" i="4"/>
  <c r="H1540" i="4" s="1"/>
  <c r="G1872" i="4"/>
  <c r="H1872" i="4" s="1"/>
  <c r="G1063" i="4"/>
  <c r="H1063" i="4" s="1"/>
  <c r="G1095" i="4"/>
  <c r="G1127" i="4"/>
  <c r="H1127" i="4" s="1"/>
  <c r="G1159" i="4"/>
  <c r="H1159" i="4" s="1"/>
  <c r="G1191" i="4"/>
  <c r="H1191" i="4" s="1"/>
  <c r="G1223" i="4"/>
  <c r="H1223" i="4" s="1"/>
  <c r="G1250" i="4"/>
  <c r="H1250" i="4" s="1"/>
  <c r="G1486" i="4"/>
  <c r="G1520" i="4"/>
  <c r="H1520" i="4" s="1"/>
  <c r="G1310" i="4"/>
  <c r="H1310" i="4" s="1"/>
  <c r="G1361" i="4"/>
  <c r="H1361" i="4" s="1"/>
  <c r="G1482" i="4"/>
  <c r="H1482" i="4" s="1"/>
  <c r="G1334" i="4"/>
  <c r="H1334" i="4" s="1"/>
  <c r="G1428" i="4"/>
  <c r="H1428" i="4" s="1"/>
  <c r="G1375" i="4"/>
  <c r="H1375" i="4" s="1"/>
  <c r="G1516" i="4"/>
  <c r="H1516" i="4" s="1"/>
  <c r="G1553" i="4"/>
  <c r="H1553" i="4" s="1"/>
  <c r="G1710" i="4"/>
  <c r="G1478" i="4"/>
  <c r="H1478" i="4" s="1"/>
  <c r="G1496" i="4"/>
  <c r="H1496" i="4" s="1"/>
  <c r="G1542" i="4"/>
  <c r="H1542" i="4" s="1"/>
  <c r="G1560" i="4"/>
  <c r="H1560" i="4" s="1"/>
  <c r="G1683" i="4"/>
  <c r="H1683" i="4" s="1"/>
  <c r="G1422" i="4"/>
  <c r="G1679" i="4"/>
  <c r="H1679" i="4" s="1"/>
  <c r="G1793" i="4"/>
  <c r="H1793" i="4" s="1"/>
  <c r="G1479" i="4"/>
  <c r="G1543" i="4"/>
  <c r="H1543" i="4" s="1"/>
  <c r="G1687" i="4"/>
  <c r="H1687" i="4" s="1"/>
  <c r="G1936" i="4"/>
  <c r="H1936" i="4" s="1"/>
  <c r="G1454" i="4"/>
  <c r="H1454" i="4" s="1"/>
  <c r="G1912" i="4"/>
  <c r="H1912" i="4" s="1"/>
  <c r="G1686" i="4"/>
  <c r="H1686" i="4" s="1"/>
  <c r="G1861" i="4"/>
  <c r="H1861" i="4" s="1"/>
  <c r="G1727" i="4"/>
  <c r="H1727" i="4" s="1"/>
  <c r="G1645" i="4"/>
  <c r="H1645" i="4" s="1"/>
  <c r="G1774" i="4"/>
  <c r="H1774" i="4" s="1"/>
  <c r="G1814" i="4"/>
  <c r="H1814" i="4" s="1"/>
  <c r="G1670" i="4"/>
  <c r="H1670" i="4" s="1"/>
  <c r="G1849" i="4"/>
  <c r="H1849" i="4" s="1"/>
  <c r="G1887" i="4"/>
  <c r="H1887" i="4" s="1"/>
  <c r="G1806" i="4"/>
  <c r="G1934" i="4"/>
  <c r="G1759" i="4"/>
  <c r="H1759" i="4" s="1"/>
  <c r="G1879" i="4"/>
  <c r="H1879" i="4" s="1"/>
  <c r="G1713" i="4"/>
  <c r="H1713" i="4" s="1"/>
  <c r="G1732" i="4"/>
  <c r="H1732" i="4" s="1"/>
  <c r="G1862" i="4"/>
  <c r="G1941" i="4"/>
  <c r="H1941" i="4" s="1"/>
  <c r="G1723" i="4"/>
  <c r="H1723" i="4" s="1"/>
  <c r="G1824" i="4"/>
  <c r="H1824" i="4" s="1"/>
  <c r="G1897" i="4"/>
  <c r="H1897" i="4" s="1"/>
  <c r="G1935" i="4"/>
  <c r="H1935" i="4" s="1"/>
  <c r="G2030" i="4"/>
  <c r="H2030" i="4" s="1"/>
  <c r="G1999" i="4"/>
  <c r="H1999" i="4" s="1"/>
  <c r="G2087" i="4"/>
  <c r="H2087" i="4" s="1"/>
  <c r="G2126" i="4"/>
  <c r="H2126" i="4" s="1"/>
  <c r="G2151" i="4"/>
  <c r="H2151" i="4" s="1"/>
  <c r="G2008" i="4"/>
  <c r="H2008" i="4" s="1"/>
  <c r="G2128" i="4"/>
  <c r="H2128" i="4" s="1"/>
  <c r="G2006" i="4"/>
  <c r="H2006" i="4" s="1"/>
  <c r="G2054" i="4"/>
  <c r="H2054" i="4" s="1"/>
  <c r="G2174" i="4"/>
  <c r="H2174" i="4" s="1"/>
  <c r="G2018" i="4"/>
  <c r="G2057" i="4"/>
  <c r="H2057" i="4" s="1"/>
  <c r="G2120" i="4"/>
  <c r="G2015" i="4"/>
  <c r="G2260" i="4"/>
  <c r="H2260" i="4" s="1"/>
  <c r="G2515" i="4"/>
  <c r="H2515" i="4" s="1"/>
  <c r="G2125" i="4"/>
  <c r="H2125" i="4" s="1"/>
  <c r="G2197" i="4"/>
  <c r="H2197" i="4" s="1"/>
  <c r="G2258" i="4"/>
  <c r="G2379" i="4"/>
  <c r="H2379" i="4" s="1"/>
  <c r="G2282" i="4"/>
  <c r="H2282" i="4" s="1"/>
  <c r="G2171" i="4"/>
  <c r="G2339" i="4"/>
  <c r="H2339" i="4" s="1"/>
  <c r="G2273" i="4"/>
  <c r="H2273" i="4" s="1"/>
  <c r="G2329" i="4"/>
  <c r="H2329" i="4" s="1"/>
  <c r="G2354" i="4"/>
  <c r="H2354" i="4" s="1"/>
  <c r="G2323" i="4"/>
  <c r="H2323" i="4" s="1"/>
  <c r="G2337" i="4"/>
  <c r="H2337" i="4" s="1"/>
  <c r="G2355" i="4"/>
  <c r="H2355" i="4" s="1"/>
  <c r="G2331" i="4"/>
  <c r="G2429" i="4"/>
  <c r="H2429" i="4" s="1"/>
  <c r="G2530" i="4"/>
  <c r="H2530" i="4" s="1"/>
  <c r="G2469" i="4"/>
  <c r="H2469" i="4" s="1"/>
  <c r="G2501" i="4"/>
  <c r="H2501" i="4" s="1"/>
  <c r="G2485" i="4"/>
  <c r="H2485" i="4" s="1"/>
  <c r="G2561" i="4"/>
  <c r="H2561" i="4" s="1"/>
  <c r="G2597" i="4"/>
  <c r="G1551" i="4"/>
  <c r="H1551" i="4" s="1"/>
  <c r="G1631" i="4"/>
  <c r="H1631" i="4" s="1"/>
  <c r="G1662" i="4"/>
  <c r="H1662" i="4" s="1"/>
  <c r="G1947" i="4"/>
  <c r="H1947" i="4" s="1"/>
  <c r="G1783" i="4"/>
  <c r="H1783" i="4" s="1"/>
  <c r="G1808" i="4"/>
  <c r="H1808" i="4" s="1"/>
  <c r="G1823" i="4"/>
  <c r="H1823" i="4" s="1"/>
  <c r="G1864" i="4"/>
  <c r="H1864" i="4" s="1"/>
  <c r="G1957" i="4"/>
  <c r="H1957" i="4" s="1"/>
  <c r="G1847" i="4"/>
  <c r="H1847" i="4" s="1"/>
  <c r="G1909" i="4"/>
  <c r="H1909" i="4" s="1"/>
  <c r="G2039" i="4"/>
  <c r="H2039" i="4" s="1"/>
  <c r="G2173" i="4"/>
  <c r="H2173" i="4" s="1"/>
  <c r="G2086" i="4"/>
  <c r="H2086" i="4" s="1"/>
  <c r="G2228" i="4"/>
  <c r="H2228" i="4" s="1"/>
  <c r="G2431" i="4"/>
  <c r="H2431" i="4" s="1"/>
  <c r="G2391" i="4"/>
  <c r="G296" i="4"/>
  <c r="H296" i="4" s="1"/>
  <c r="G68" i="4"/>
  <c r="H68" i="4" s="1"/>
  <c r="G580" i="4"/>
  <c r="H580" i="4" s="1"/>
  <c r="G156" i="4"/>
  <c r="H156" i="4" s="1"/>
  <c r="G481" i="4"/>
  <c r="G281" i="4"/>
  <c r="H281" i="4" s="1"/>
  <c r="G329" i="4"/>
  <c r="G271" i="4"/>
  <c r="H271" i="4" s="1"/>
  <c r="G284" i="4"/>
  <c r="H284" i="4" s="1"/>
  <c r="G316" i="4"/>
  <c r="H316" i="4" s="1"/>
  <c r="G943" i="4"/>
  <c r="H943" i="4" s="1"/>
  <c r="G436" i="4"/>
  <c r="H436" i="4" s="1"/>
  <c r="G1327" i="4"/>
  <c r="G1080" i="4"/>
  <c r="H1080" i="4" s="1"/>
  <c r="G1208" i="4"/>
  <c r="G1058" i="4"/>
  <c r="H1058" i="4" s="1"/>
  <c r="G1009" i="4"/>
  <c r="H1009" i="4" s="1"/>
  <c r="G1798" i="4"/>
  <c r="H1798" i="4" s="1"/>
  <c r="G1526" i="4"/>
  <c r="H1526" i="4" s="1"/>
  <c r="G1440" i="4"/>
  <c r="H1440" i="4" s="1"/>
  <c r="G1711" i="4"/>
  <c r="H1711" i="4" s="1"/>
  <c r="G1848" i="4"/>
  <c r="H1848" i="4" s="1"/>
  <c r="G1745" i="4"/>
  <c r="H1745" i="4" s="1"/>
  <c r="G1699" i="4"/>
  <c r="H1699" i="4" s="1"/>
  <c r="G1865" i="4"/>
  <c r="H1865" i="4" s="1"/>
  <c r="G2064" i="4"/>
  <c r="H2064" i="4" s="1"/>
  <c r="G2046" i="4"/>
  <c r="H2046" i="4" s="1"/>
  <c r="G2206" i="4"/>
  <c r="H2206" i="4" s="1"/>
  <c r="G2569" i="4"/>
  <c r="G2484" i="4"/>
  <c r="H2484" i="4" s="1"/>
  <c r="G2539" i="4"/>
  <c r="G2560" i="4"/>
  <c r="H2560" i="4" s="1"/>
  <c r="G2587" i="4"/>
  <c r="H2587" i="4" s="1"/>
  <c r="G149" i="4"/>
  <c r="H149" i="4" s="1"/>
  <c r="G404" i="4"/>
  <c r="H404" i="4" s="1"/>
  <c r="G558" i="4"/>
  <c r="H558" i="4" s="1"/>
  <c r="G515" i="4"/>
  <c r="H515" i="4" s="1"/>
  <c r="G612" i="4"/>
  <c r="H612" i="4" s="1"/>
  <c r="G854" i="4"/>
  <c r="G100" i="4"/>
  <c r="H100" i="4" s="1"/>
  <c r="G408" i="4"/>
  <c r="H408" i="4" s="1"/>
  <c r="G1033" i="4"/>
  <c r="H1033" i="4" s="1"/>
  <c r="G1490" i="4"/>
  <c r="H1490" i="4" s="1"/>
  <c r="G922" i="4"/>
  <c r="H922" i="4" s="1"/>
  <c r="G1277" i="4"/>
  <c r="G1385" i="4"/>
  <c r="H1385" i="4" s="1"/>
  <c r="G1082" i="4"/>
  <c r="H1082" i="4" s="1"/>
  <c r="G1485" i="4"/>
  <c r="H1485" i="4" s="1"/>
  <c r="G1411" i="4"/>
  <c r="H1411" i="4" s="1"/>
  <c r="G1597" i="4"/>
  <c r="H1597" i="4" s="1"/>
  <c r="G1694" i="4"/>
  <c r="H1694" i="4" s="1"/>
  <c r="G1624" i="4"/>
  <c r="H1624" i="4" s="1"/>
  <c r="G1961" i="4"/>
  <c r="H1961" i="4" s="1"/>
  <c r="G1782" i="4"/>
  <c r="H1782" i="4" s="1"/>
  <c r="G1650" i="4"/>
  <c r="H1650" i="4" s="1"/>
  <c r="G2009" i="4"/>
  <c r="G1747" i="4"/>
  <c r="H1747" i="4" s="1"/>
  <c r="G1920" i="4"/>
  <c r="H1920" i="4" s="1"/>
  <c r="G2049" i="4"/>
  <c r="H2049" i="4" s="1"/>
  <c r="G2025" i="4"/>
  <c r="H2025" i="4" s="1"/>
  <c r="G2181" i="4"/>
  <c r="H2181" i="4" s="1"/>
  <c r="G2361" i="4"/>
  <c r="H2361" i="4" s="1"/>
  <c r="G2434" i="4"/>
  <c r="H2434" i="4" s="1"/>
  <c r="G2544" i="4"/>
  <c r="H2544" i="4" s="1"/>
  <c r="G2605" i="4"/>
  <c r="H2605" i="4" s="1"/>
  <c r="G2594" i="4"/>
  <c r="H2594" i="4" s="1"/>
  <c r="G237" i="4"/>
  <c r="H237" i="4" s="1"/>
  <c r="G433" i="4"/>
  <c r="H433" i="4" s="1"/>
  <c r="G174" i="4"/>
  <c r="G703" i="4"/>
  <c r="H703" i="4" s="1"/>
  <c r="G87" i="4"/>
  <c r="H87" i="4" s="1"/>
  <c r="G269" i="4"/>
  <c r="H269" i="4" s="1"/>
  <c r="G245" i="4"/>
  <c r="H245" i="4" s="1"/>
  <c r="G503" i="4"/>
  <c r="H503" i="4" s="1"/>
  <c r="G315" i="4"/>
  <c r="H315" i="4" s="1"/>
  <c r="G23" i="4"/>
  <c r="H23" i="4" s="1"/>
  <c r="G197" i="4"/>
  <c r="H197" i="4" s="1"/>
  <c r="G288" i="4"/>
  <c r="H288" i="4" s="1"/>
  <c r="G26" i="4"/>
  <c r="H26" i="4" s="1"/>
  <c r="G206" i="4"/>
  <c r="G494" i="4"/>
  <c r="H494" i="4" s="1"/>
  <c r="G686" i="4"/>
  <c r="H686" i="4" s="1"/>
  <c r="G109" i="4"/>
  <c r="H109" i="4" s="1"/>
  <c r="G230" i="4"/>
  <c r="H230" i="4" s="1"/>
  <c r="G371" i="4"/>
  <c r="G424" i="4"/>
  <c r="H424" i="4" s="1"/>
  <c r="G579" i="4"/>
  <c r="G489" i="4"/>
  <c r="H489" i="4" s="1"/>
  <c r="G553" i="4"/>
  <c r="H553" i="4" s="1"/>
  <c r="G617" i="4"/>
  <c r="H617" i="4" s="1"/>
  <c r="G681" i="4"/>
  <c r="H681" i="4" s="1"/>
  <c r="G745" i="4"/>
  <c r="H745" i="4" s="1"/>
  <c r="G422" i="4"/>
  <c r="G627" i="4"/>
  <c r="H627" i="4" s="1"/>
  <c r="G1088" i="4"/>
  <c r="H1088" i="4" s="1"/>
  <c r="G282" i="4"/>
  <c r="H282" i="4" s="1"/>
  <c r="G346" i="4"/>
  <c r="H346" i="4" s="1"/>
  <c r="G545" i="4"/>
  <c r="H545" i="4" s="1"/>
  <c r="G92" i="4"/>
  <c r="H92" i="4" s="1"/>
  <c r="G172" i="4"/>
  <c r="H172" i="4" s="1"/>
  <c r="G409" i="4"/>
  <c r="H409" i="4" s="1"/>
  <c r="G710" i="4"/>
  <c r="H710" i="4" s="1"/>
  <c r="G143" i="4"/>
  <c r="H143" i="4" s="1"/>
  <c r="G159" i="4"/>
  <c r="H159" i="4" s="1"/>
  <c r="G175" i="4"/>
  <c r="H175" i="4" s="1"/>
  <c r="G191" i="4"/>
  <c r="H191" i="4" s="1"/>
  <c r="G207" i="4"/>
  <c r="H207" i="4" s="1"/>
  <c r="G223" i="4"/>
  <c r="H223" i="4" s="1"/>
  <c r="G239" i="4"/>
  <c r="G255" i="4"/>
  <c r="H255" i="4" s="1"/>
  <c r="G706" i="4"/>
  <c r="G561" i="4"/>
  <c r="G689" i="4"/>
  <c r="H689" i="4" s="1"/>
  <c r="G880" i="4"/>
  <c r="H880" i="4" s="1"/>
  <c r="G902" i="4"/>
  <c r="H902" i="4" s="1"/>
  <c r="G513" i="4"/>
  <c r="H513" i="4" s="1"/>
  <c r="G641" i="4"/>
  <c r="H641" i="4" s="1"/>
  <c r="G924" i="4"/>
  <c r="H924" i="4" s="1"/>
  <c r="G884" i="4"/>
  <c r="G526" i="4"/>
  <c r="H526" i="4" s="1"/>
  <c r="G593" i="4"/>
  <c r="H593" i="4" s="1"/>
  <c r="G919" i="4"/>
  <c r="H919" i="4" s="1"/>
  <c r="G932" i="4"/>
  <c r="H932" i="4" s="1"/>
  <c r="G807" i="4"/>
  <c r="H807" i="4" s="1"/>
  <c r="G945" i="4"/>
  <c r="G975" i="4"/>
  <c r="H975" i="4" s="1"/>
  <c r="G1145" i="4"/>
  <c r="H1145" i="4" s="1"/>
  <c r="G871" i="4"/>
  <c r="H871" i="4" s="1"/>
  <c r="G903" i="4"/>
  <c r="H903" i="4" s="1"/>
  <c r="G1269" i="4"/>
  <c r="H1269" i="4" s="1"/>
  <c r="G1001" i="4"/>
  <c r="H1001" i="4" s="1"/>
  <c r="G1047" i="4"/>
  <c r="H1047" i="4" s="1"/>
  <c r="G1474" i="4"/>
  <c r="H1474" i="4" s="1"/>
  <c r="G1025" i="4"/>
  <c r="H1025" i="4" s="1"/>
  <c r="G1064" i="4"/>
  <c r="G1121" i="4"/>
  <c r="H1121" i="4" s="1"/>
  <c r="G1178" i="4"/>
  <c r="H1178" i="4" s="1"/>
  <c r="G1192" i="4"/>
  <c r="H1192" i="4" s="1"/>
  <c r="G1344" i="4"/>
  <c r="H1344" i="4" s="1"/>
  <c r="G921" i="4"/>
  <c r="H921" i="4" s="1"/>
  <c r="G952" i="4"/>
  <c r="H952" i="4" s="1"/>
  <c r="G1425" i="4"/>
  <c r="H1425" i="4" s="1"/>
  <c r="G1466" i="4"/>
  <c r="H1466" i="4" s="1"/>
  <c r="G1497" i="4"/>
  <c r="H1497" i="4" s="1"/>
  <c r="G1556" i="4"/>
  <c r="H1556" i="4" s="1"/>
  <c r="G1591" i="4"/>
  <c r="H1591" i="4" s="1"/>
  <c r="G1274" i="4"/>
  <c r="H1274" i="4" s="1"/>
  <c r="G1390" i="4"/>
  <c r="H1390" i="4" s="1"/>
  <c r="G1470" i="4"/>
  <c r="H1470" i="4" s="1"/>
  <c r="G1504" i="4"/>
  <c r="H1504" i="4" s="1"/>
  <c r="G1367" i="4"/>
  <c r="G1530" i="4"/>
  <c r="H1530" i="4" s="1"/>
  <c r="G1352" i="4"/>
  <c r="H1352" i="4" s="1"/>
  <c r="G1405" i="4"/>
  <c r="H1405" i="4" s="1"/>
  <c r="G1541" i="4"/>
  <c r="H1541" i="4" s="1"/>
  <c r="G1343" i="4"/>
  <c r="H1343" i="4" s="1"/>
  <c r="G1473" i="4"/>
  <c r="H1473" i="4" s="1"/>
  <c r="G1602" i="4"/>
  <c r="H1602" i="4" s="1"/>
  <c r="G1270" i="4"/>
  <c r="H1270" i="4" s="1"/>
  <c r="G1302" i="4"/>
  <c r="H1302" i="4" s="1"/>
  <c r="G1658" i="4"/>
  <c r="H1658" i="4" s="1"/>
  <c r="G1833" i="4"/>
  <c r="H1833" i="4" s="1"/>
  <c r="G1927" i="4"/>
  <c r="H1927" i="4" s="1"/>
  <c r="G1431" i="4"/>
  <c r="H1431" i="4" s="1"/>
  <c r="G1438" i="4"/>
  <c r="H1438" i="4" s="1"/>
  <c r="G1590" i="4"/>
  <c r="H1590" i="4" s="1"/>
  <c r="G1653" i="4"/>
  <c r="G1487" i="4"/>
  <c r="H1487" i="4" s="1"/>
  <c r="G1570" i="4"/>
  <c r="H1570" i="4" s="1"/>
  <c r="G1648" i="4"/>
  <c r="H1648" i="4" s="1"/>
  <c r="G1933" i="4"/>
  <c r="H1933" i="4" s="1"/>
  <c r="G1949" i="4"/>
  <c r="H1949" i="4" s="1"/>
  <c r="G1623" i="4"/>
  <c r="G1695" i="4"/>
  <c r="H1695" i="4" s="1"/>
  <c r="G1766" i="4"/>
  <c r="H1766" i="4" s="1"/>
  <c r="G1880" i="4"/>
  <c r="H1880" i="4" s="1"/>
  <c r="G1654" i="4"/>
  <c r="H1654" i="4" s="1"/>
  <c r="G1800" i="4"/>
  <c r="H1800" i="4" s="1"/>
  <c r="G1671" i="4"/>
  <c r="H1671" i="4" s="1"/>
  <c r="G1742" i="4"/>
  <c r="H1742" i="4" s="1"/>
  <c r="G1761" i="4"/>
  <c r="H1761" i="4" s="1"/>
  <c r="G1673" i="4"/>
  <c r="H1673" i="4" s="1"/>
  <c r="G1692" i="4"/>
  <c r="H1692" i="4" s="1"/>
  <c r="G1959" i="4"/>
  <c r="H1959" i="4" s="1"/>
  <c r="G2055" i="4"/>
  <c r="H2055" i="4" s="1"/>
  <c r="G2236" i="4"/>
  <c r="H2236" i="4" s="1"/>
  <c r="G2133" i="4"/>
  <c r="H2133" i="4" s="1"/>
  <c r="G2251" i="4"/>
  <c r="H2251" i="4" s="1"/>
  <c r="G2348" i="4"/>
  <c r="H2348" i="4" s="1"/>
  <c r="G2486" i="4"/>
  <c r="H2486" i="4" s="1"/>
  <c r="G2545" i="4"/>
  <c r="G2444" i="4"/>
  <c r="G2541" i="4"/>
  <c r="H2541" i="4" s="1"/>
  <c r="G626" i="4"/>
  <c r="H626" i="4" s="1"/>
  <c r="G724" i="4"/>
  <c r="H724" i="4" s="1"/>
  <c r="G331" i="4"/>
  <c r="H331" i="4" s="1"/>
  <c r="G376" i="4"/>
  <c r="H376" i="4" s="1"/>
  <c r="G387" i="4"/>
  <c r="H387" i="4" s="1"/>
  <c r="G532" i="4"/>
  <c r="H532" i="4" s="1"/>
  <c r="G402" i="4"/>
  <c r="H402" i="4" s="1"/>
  <c r="G697" i="4"/>
  <c r="H697" i="4" s="1"/>
  <c r="G322" i="4"/>
  <c r="H322" i="4" s="1"/>
  <c r="G303" i="4"/>
  <c r="H303" i="4" s="1"/>
  <c r="G348" i="4"/>
  <c r="H348" i="4" s="1"/>
  <c r="G367" i="4"/>
  <c r="H367" i="4" s="1"/>
  <c r="G399" i="4"/>
  <c r="H399" i="4" s="1"/>
  <c r="G1202" i="4"/>
  <c r="H1202" i="4" s="1"/>
  <c r="G1261" i="4"/>
  <c r="G842" i="4"/>
  <c r="H842" i="4" s="1"/>
  <c r="G1194" i="4"/>
  <c r="H1194" i="4" s="1"/>
  <c r="G1840" i="4"/>
  <c r="H1840" i="4" s="1"/>
  <c r="G1446" i="4"/>
  <c r="H1446" i="4" s="1"/>
  <c r="G1071" i="4"/>
  <c r="H1071" i="4" s="1"/>
  <c r="G1743" i="4"/>
  <c r="H1743" i="4" s="1"/>
  <c r="G1702" i="4"/>
  <c r="G2119" i="4"/>
  <c r="H2119" i="4" s="1"/>
  <c r="G2281" i="4"/>
  <c r="H2281" i="4" s="1"/>
  <c r="G2180" i="4"/>
  <c r="H2180" i="4" s="1"/>
  <c r="G2610" i="4"/>
  <c r="H2610" i="4" s="1"/>
  <c r="G2500" i="4"/>
  <c r="H2500" i="4" s="1"/>
  <c r="G2549" i="4"/>
  <c r="G2604" i="4"/>
  <c r="H2604" i="4" s="1"/>
  <c r="G2611" i="4"/>
  <c r="H2611" i="4" s="1"/>
  <c r="G69" i="4"/>
  <c r="H69" i="4" s="1"/>
  <c r="G221" i="4"/>
  <c r="H221" i="4" s="1"/>
  <c r="G312" i="4"/>
  <c r="H312" i="4" s="1"/>
  <c r="G58" i="4"/>
  <c r="H58" i="4" s="1"/>
  <c r="G62" i="4"/>
  <c r="H62" i="4" s="1"/>
  <c r="G406" i="4"/>
  <c r="G463" i="4"/>
  <c r="H463" i="4" s="1"/>
  <c r="G196" i="4"/>
  <c r="G210" i="4"/>
  <c r="H210" i="4" s="1"/>
  <c r="G502" i="4"/>
  <c r="H502" i="4" s="1"/>
  <c r="G476" i="4"/>
  <c r="H476" i="4" s="1"/>
  <c r="G604" i="4"/>
  <c r="H604" i="4" s="1"/>
  <c r="G732" i="4"/>
  <c r="H732" i="4" s="1"/>
  <c r="G859" i="4"/>
  <c r="G700" i="4"/>
  <c r="H700" i="4" s="1"/>
  <c r="G1096" i="4"/>
  <c r="H1096" i="4" s="1"/>
  <c r="G1388" i="4"/>
  <c r="G1472" i="4"/>
  <c r="H1472" i="4" s="1"/>
  <c r="G1498" i="4"/>
  <c r="H1498" i="4" s="1"/>
  <c r="G1259" i="4"/>
  <c r="H1259" i="4" s="1"/>
  <c r="G1718" i="4"/>
  <c r="H1718" i="4" s="1"/>
  <c r="G1278" i="4"/>
  <c r="H1278" i="4" s="1"/>
  <c r="G1447" i="4"/>
  <c r="H1447" i="4" s="1"/>
  <c r="G1503" i="4"/>
  <c r="G1675" i="4"/>
  <c r="H1675" i="4" s="1"/>
  <c r="G1945" i="4"/>
  <c r="H1945" i="4" s="1"/>
  <c r="G2094" i="4"/>
  <c r="H2094" i="4" s="1"/>
  <c r="G2003" i="4"/>
  <c r="H2003" i="4" s="1"/>
  <c r="G1998" i="4"/>
  <c r="H1998" i="4" s="1"/>
  <c r="G2110" i="4"/>
  <c r="H2110" i="4" s="1"/>
  <c r="G2211" i="4"/>
  <c r="H2211" i="4" s="1"/>
  <c r="G2161" i="4"/>
  <c r="H2161" i="4" s="1"/>
  <c r="G2242" i="4"/>
  <c r="H2242" i="4" s="1"/>
  <c r="G2446" i="4"/>
  <c r="H2446" i="4" s="1"/>
  <c r="G2426" i="4"/>
  <c r="H2426" i="4" s="1"/>
  <c r="G2394" i="4"/>
  <c r="H2394" i="4" s="1"/>
  <c r="F1736" i="4"/>
  <c r="F1202" i="4"/>
  <c r="F1823" i="4"/>
  <c r="F678" i="4"/>
  <c r="F2290" i="4"/>
  <c r="F1942" i="4"/>
  <c r="F1787" i="4"/>
  <c r="F1116" i="4"/>
  <c r="F943" i="4"/>
  <c r="F2602" i="4"/>
  <c r="F1956" i="4"/>
  <c r="F548" i="4"/>
  <c r="F245" i="4"/>
  <c r="F742" i="4"/>
  <c r="F2162" i="4"/>
  <c r="F2040" i="4"/>
  <c r="F1742" i="4"/>
  <c r="F1675" i="4"/>
  <c r="F1460" i="4"/>
  <c r="F1259" i="4"/>
  <c r="F1007" i="4"/>
  <c r="F1316" i="4"/>
  <c r="F1218" i="4"/>
  <c r="F859" i="4"/>
  <c r="F1184" i="4"/>
  <c r="F1452" i="4"/>
  <c r="F270" i="4"/>
  <c r="F305" i="4"/>
  <c r="F130" i="4"/>
  <c r="F319" i="4"/>
  <c r="F515" i="4"/>
  <c r="F392" i="4"/>
  <c r="F750" i="4"/>
  <c r="F157" i="4"/>
  <c r="F2154" i="4"/>
  <c r="F1565" i="4"/>
  <c r="F225" i="4"/>
  <c r="F433" i="4"/>
  <c r="F1994" i="4"/>
  <c r="F1710" i="4"/>
  <c r="F201" i="4"/>
  <c r="F2501" i="4"/>
  <c r="F2128" i="4"/>
  <c r="F1867" i="4"/>
  <c r="F2538" i="4"/>
  <c r="F2551" i="4"/>
  <c r="F2291" i="4"/>
  <c r="F2182" i="4"/>
  <c r="F2072" i="4"/>
  <c r="F1894" i="4"/>
  <c r="F1569" i="4"/>
  <c r="F1743" i="4"/>
  <c r="F1349" i="4"/>
  <c r="F1335" i="4"/>
  <c r="F1018" i="4"/>
  <c r="F1385" i="4"/>
  <c r="F915" i="4"/>
  <c r="F889" i="4"/>
  <c r="F1042" i="4"/>
  <c r="F1225" i="4"/>
  <c r="F905" i="4"/>
  <c r="F627" i="4"/>
  <c r="F558" i="4"/>
  <c r="F24" i="4"/>
  <c r="F2585" i="4"/>
  <c r="F2425" i="4"/>
  <c r="F1319" i="4"/>
  <c r="F390" i="4"/>
  <c r="F2270" i="4"/>
  <c r="F1514" i="4"/>
  <c r="F644" i="4"/>
  <c r="F2597" i="4"/>
  <c r="F2437" i="4"/>
  <c r="F2259" i="4"/>
  <c r="F2258" i="4"/>
  <c r="F2017" i="4"/>
  <c r="F2013" i="4"/>
  <c r="F1680" i="4"/>
  <c r="F1822" i="4"/>
  <c r="F1553" i="4"/>
  <c r="F1481" i="4"/>
  <c r="F1068" i="4"/>
  <c r="F1240" i="4"/>
  <c r="F862" i="4"/>
  <c r="F539" i="4"/>
  <c r="F988" i="4"/>
  <c r="F18" i="4"/>
  <c r="F129" i="4"/>
  <c r="F455" i="4"/>
  <c r="F660" i="4"/>
  <c r="F507" i="4"/>
  <c r="F56" i="4"/>
  <c r="F1767" i="4"/>
  <c r="F1058" i="4"/>
  <c r="F358" i="4"/>
  <c r="F355" i="4"/>
  <c r="F2355" i="4"/>
  <c r="F1880" i="4"/>
  <c r="F1347" i="4"/>
  <c r="F2580" i="4"/>
  <c r="F2442" i="4"/>
  <c r="F2288" i="4"/>
  <c r="F2138" i="4"/>
  <c r="F2173" i="4"/>
  <c r="F1872" i="4"/>
  <c r="F1951" i="4"/>
  <c r="F1969" i="4"/>
  <c r="F1422" i="4"/>
  <c r="F1343" i="4"/>
  <c r="F1242" i="4"/>
  <c r="F1329" i="4"/>
  <c r="F1185" i="4"/>
  <c r="F937" i="4"/>
  <c r="F478" i="4"/>
  <c r="F1236" i="4"/>
  <c r="F858" i="4"/>
  <c r="F1152" i="4"/>
  <c r="F314" i="4"/>
  <c r="F699" i="4"/>
  <c r="F40" i="4"/>
  <c r="F2295" i="4"/>
  <c r="F1345" i="4"/>
  <c r="F114" i="4"/>
  <c r="F2388" i="4"/>
  <c r="F1336" i="4"/>
  <c r="F491" i="4"/>
  <c r="F2473" i="4"/>
  <c r="F2582" i="4"/>
  <c r="F2509" i="4"/>
  <c r="F2572" i="4"/>
  <c r="F2497" i="4"/>
  <c r="F2324" i="4"/>
  <c r="F2169" i="4"/>
  <c r="F2090" i="4"/>
  <c r="F1966" i="4"/>
  <c r="F1980" i="4"/>
  <c r="F1567" i="4"/>
  <c r="F1718" i="4"/>
  <c r="F1291" i="4"/>
  <c r="F1300" i="4"/>
  <c r="F1034" i="4"/>
  <c r="F1092" i="4"/>
  <c r="F483" i="4"/>
  <c r="F894" i="4"/>
  <c r="F318" i="4"/>
  <c r="F329" i="4"/>
  <c r="F162" i="4"/>
  <c r="F599" i="4"/>
  <c r="F295" i="4"/>
  <c r="F691" i="4"/>
  <c r="F142" i="4"/>
  <c r="F78" i="4"/>
  <c r="F2053" i="4"/>
  <c r="F1360" i="4"/>
  <c r="F1474" i="4"/>
  <c r="F161" i="4"/>
  <c r="F363" i="4"/>
  <c r="F1771" i="4"/>
  <c r="F1355" i="4"/>
  <c r="F708" i="4"/>
  <c r="F2338" i="4"/>
  <c r="F2589" i="4"/>
  <c r="F2606" i="4"/>
  <c r="F2401" i="4"/>
  <c r="F2261" i="4"/>
  <c r="F2118" i="4"/>
  <c r="F2174" i="4"/>
  <c r="F2458" i="4"/>
  <c r="F1958" i="4"/>
  <c r="F1695" i="4"/>
  <c r="F1480" i="4"/>
  <c r="F1488" i="4"/>
  <c r="F1382" i="4"/>
  <c r="F1156" i="4"/>
  <c r="F606" i="4"/>
  <c r="F1172" i="4"/>
  <c r="F479" i="4"/>
  <c r="F527" i="4"/>
  <c r="F843" i="4"/>
  <c r="F185" i="4"/>
  <c r="F260" i="4"/>
  <c r="F622" i="4"/>
  <c r="F141" i="4"/>
  <c r="F180" i="4"/>
  <c r="F191" i="4"/>
  <c r="F54" i="4"/>
  <c r="F442" i="4"/>
  <c r="F88" i="4"/>
  <c r="F811" i="4"/>
  <c r="F239" i="4"/>
  <c r="F96" i="4"/>
  <c r="F472" i="4"/>
  <c r="F112" i="4"/>
  <c r="F232" i="4"/>
  <c r="F585" i="4"/>
  <c r="F717" i="4"/>
  <c r="F529" i="4"/>
  <c r="F657" i="4"/>
  <c r="F791" i="4"/>
  <c r="F645" i="4"/>
  <c r="F789" i="4"/>
  <c r="F91" i="4"/>
  <c r="F155" i="4"/>
  <c r="F219" i="4"/>
  <c r="F512" i="4"/>
  <c r="F772" i="4"/>
  <c r="F893" i="4"/>
  <c r="F324" i="4"/>
  <c r="F388" i="4"/>
  <c r="F745" i="4"/>
  <c r="F886" i="4"/>
  <c r="F592" i="4"/>
  <c r="F812" i="4"/>
  <c r="F317" i="4"/>
  <c r="F381" i="4"/>
  <c r="F448" i="4"/>
  <c r="F545" i="4"/>
  <c r="F733" i="4"/>
  <c r="F856" i="4"/>
  <c r="F1490" i="4"/>
  <c r="F914" i="4"/>
  <c r="F488" i="4"/>
  <c r="F616" i="4"/>
  <c r="F744" i="4"/>
  <c r="F840" i="4"/>
  <c r="F1070" i="4"/>
  <c r="F496" i="4"/>
  <c r="F633" i="4"/>
  <c r="F814" i="4"/>
  <c r="F1015" i="4"/>
  <c r="F577" i="4"/>
  <c r="F705" i="4"/>
  <c r="F821" i="4"/>
  <c r="F1000" i="4"/>
  <c r="F950" i="4"/>
  <c r="F877" i="4"/>
  <c r="F778" i="4"/>
  <c r="F876" i="4"/>
  <c r="F1294" i="4"/>
  <c r="F1095" i="4"/>
  <c r="F1223" i="4"/>
  <c r="F1455" i="4"/>
  <c r="F1029" i="4"/>
  <c r="F1371" i="4"/>
  <c r="F1032" i="4"/>
  <c r="F1526" i="4"/>
  <c r="F1062" i="4"/>
  <c r="F1190" i="4"/>
  <c r="F1397" i="4"/>
  <c r="F998" i="4"/>
  <c r="F1144" i="4"/>
  <c r="F1208" i="4"/>
  <c r="F1551" i="4"/>
  <c r="F1510" i="4"/>
  <c r="F1547" i="4"/>
  <c r="F1338" i="4"/>
  <c r="F1326" i="4"/>
  <c r="F1464" i="4"/>
  <c r="F1662" i="4"/>
  <c r="F1027" i="4"/>
  <c r="F1091" i="4"/>
  <c r="F1155" i="4"/>
  <c r="F1219" i="4"/>
  <c r="F1282" i="4"/>
  <c r="F1470" i="4"/>
  <c r="F1624" i="4"/>
  <c r="F1366" i="4"/>
  <c r="F1477" i="4"/>
  <c r="F1612" i="4"/>
  <c r="F1101" i="4"/>
  <c r="F1165" i="4"/>
  <c r="F1229" i="4"/>
  <c r="F1331" i="4"/>
  <c r="F1395" i="4"/>
  <c r="F1597" i="4"/>
  <c r="F1636" i="4"/>
  <c r="F1322" i="4"/>
  <c r="F1845" i="4"/>
  <c r="F1719" i="4"/>
  <c r="F1652" i="4"/>
  <c r="F1571" i="4"/>
  <c r="F1596" i="4"/>
  <c r="F1788" i="4"/>
  <c r="F1717" i="4"/>
  <c r="F1844" i="4"/>
  <c r="F2257" i="4"/>
  <c r="F1746" i="4"/>
  <c r="F1900" i="4"/>
  <c r="F1682" i="4"/>
  <c r="F1714" i="4"/>
  <c r="F1812" i="4"/>
  <c r="F2140" i="4"/>
  <c r="F2177" i="4"/>
  <c r="F2059" i="4"/>
  <c r="F1833" i="4"/>
  <c r="F1897" i="4"/>
  <c r="F2148" i="4"/>
  <c r="F1794" i="4"/>
  <c r="F1858" i="4"/>
  <c r="F1922" i="4"/>
  <c r="F2185" i="4"/>
  <c r="F2272" i="4"/>
  <c r="F2133" i="4"/>
  <c r="F2194" i="4"/>
  <c r="F2184" i="4"/>
  <c r="F2044" i="4"/>
  <c r="F2067" i="4"/>
  <c r="F2256" i="4"/>
  <c r="F2160" i="4"/>
  <c r="F2405" i="4"/>
  <c r="F2273" i="4"/>
  <c r="F2131" i="4"/>
  <c r="F2204" i="4"/>
  <c r="F2335" i="4"/>
  <c r="F2313" i="4"/>
  <c r="F2285" i="4"/>
  <c r="F2508" i="4"/>
  <c r="F2337" i="4"/>
  <c r="F2507" i="4"/>
  <c r="F2416" i="4"/>
  <c r="F2460" i="4"/>
  <c r="F2451" i="4"/>
  <c r="F2357" i="4"/>
  <c r="F2400" i="4"/>
  <c r="F2382" i="4"/>
  <c r="F2557" i="4"/>
  <c r="F2542" i="4"/>
  <c r="F2496" i="4"/>
  <c r="F2565" i="4"/>
  <c r="F2615" i="4"/>
  <c r="F1979" i="4"/>
  <c r="F1843" i="4"/>
  <c r="F1233" i="4"/>
  <c r="F366" i="4"/>
  <c r="F746" i="4"/>
  <c r="F945" i="4"/>
  <c r="F2292" i="4"/>
  <c r="F1473" i="4"/>
  <c r="F543" i="4"/>
  <c r="F639" i="4"/>
  <c r="F1276" i="4"/>
  <c r="F2096" i="4"/>
  <c r="F1188" i="4"/>
  <c r="F77" i="4"/>
  <c r="F323" i="4"/>
  <c r="F2377" i="4"/>
  <c r="F1784" i="4"/>
  <c r="F969" i="4"/>
  <c r="F94" i="4"/>
  <c r="F994" i="4"/>
  <c r="F2332" i="4"/>
  <c r="F1599" i="4"/>
  <c r="F817" i="4"/>
  <c r="F377" i="4"/>
  <c r="F254" i="4"/>
  <c r="F2369" i="4"/>
  <c r="F2453" i="4"/>
  <c r="F1945" i="4"/>
  <c r="F913" i="4"/>
  <c r="F875" i="4"/>
  <c r="F231" i="4"/>
  <c r="F895" i="4"/>
  <c r="F450" i="4"/>
  <c r="F131" i="4"/>
  <c r="F364" i="4"/>
  <c r="F357" i="4"/>
  <c r="F967" i="4"/>
  <c r="F989" i="4"/>
  <c r="F692" i="4"/>
  <c r="F818" i="4"/>
  <c r="F957" i="4"/>
  <c r="F1142" i="4"/>
  <c r="F1348" i="4"/>
  <c r="F1003" i="4"/>
  <c r="F1550" i="4"/>
  <c r="F1205" i="4"/>
  <c r="F1708" i="4"/>
  <c r="F1673" i="4"/>
  <c r="F2032" i="4"/>
  <c r="F2376" i="4"/>
  <c r="F2319" i="4"/>
  <c r="F2390" i="4"/>
  <c r="B12" i="14"/>
  <c r="F1768" i="4"/>
  <c r="F69" i="4"/>
  <c r="F1409" i="4"/>
  <c r="F555" i="4"/>
  <c r="F337" i="4"/>
  <c r="F674" i="4"/>
  <c r="F1949" i="4"/>
  <c r="F2371" i="4"/>
  <c r="F1482" i="4"/>
  <c r="F1209" i="4"/>
  <c r="F174" i="4"/>
  <c r="F1268" i="4"/>
  <c r="F2021" i="4"/>
  <c r="F1405" i="4"/>
  <c r="F454" i="4"/>
  <c r="F150" i="4"/>
  <c r="F2418" i="4"/>
  <c r="F2073" i="4"/>
  <c r="F1457" i="4"/>
  <c r="F747" i="4"/>
  <c r="F404" i="4"/>
  <c r="F484" i="4"/>
  <c r="F2489" i="4"/>
  <c r="F2082" i="4"/>
  <c r="F1169" i="4"/>
  <c r="F226" i="4"/>
  <c r="F2281" i="4"/>
  <c r="F2250" i="4"/>
  <c r="F2605" i="4"/>
  <c r="F1790" i="4"/>
  <c r="F1033" i="4"/>
  <c r="F439" i="4"/>
  <c r="F215" i="4"/>
  <c r="F183" i="4"/>
  <c r="F469" i="4"/>
  <c r="F139" i="4"/>
  <c r="F372" i="4"/>
  <c r="F365" i="4"/>
  <c r="F880" i="4"/>
  <c r="F453" i="4"/>
  <c r="F696" i="4"/>
  <c r="F1374" i="4"/>
  <c r="F966" i="4"/>
  <c r="F1158" i="4"/>
  <c r="F1303" i="4"/>
  <c r="F1559" i="4"/>
  <c r="F1410" i="4"/>
  <c r="F1453" i="4"/>
  <c r="F1837" i="4"/>
  <c r="F2252" i="4"/>
  <c r="F1965" i="4"/>
  <c r="F2101" i="4"/>
  <c r="F2316" i="4"/>
  <c r="F2558" i="4"/>
  <c r="F2552" i="4"/>
  <c r="F2534" i="4"/>
  <c r="F1891" i="4"/>
  <c r="F769" i="4"/>
  <c r="F294" i="4"/>
  <c r="F2493" i="4"/>
  <c r="F1631" i="4"/>
  <c r="F580" i="4"/>
  <c r="F222" i="4"/>
  <c r="F498" i="4"/>
  <c r="F2238" i="4"/>
  <c r="F2006" i="4"/>
  <c r="F1879" i="4"/>
  <c r="F1795" i="4"/>
  <c r="F1430" i="4"/>
  <c r="F1536" i="4"/>
  <c r="F1414" i="4"/>
  <c r="F1501" i="4"/>
  <c r="F883" i="4"/>
  <c r="F839" i="4"/>
  <c r="F1090" i="4"/>
  <c r="F1057" i="4"/>
  <c r="F582" i="4"/>
  <c r="F289" i="4"/>
  <c r="F113" i="4"/>
  <c r="F303" i="4"/>
  <c r="F923" i="4"/>
  <c r="F238" i="4"/>
  <c r="F610" i="4"/>
  <c r="F111" i="4"/>
  <c r="F1964" i="4"/>
  <c r="F1277" i="4"/>
  <c r="F370" i="4"/>
  <c r="F2603" i="4"/>
  <c r="F1915" i="4"/>
  <c r="F1308" i="4"/>
  <c r="F137" i="4"/>
  <c r="F2422" i="4"/>
  <c r="F2151" i="4"/>
  <c r="F1774" i="4"/>
  <c r="F2470" i="4"/>
  <c r="F2353" i="4"/>
  <c r="F2446" i="4"/>
  <c r="F2198" i="4"/>
  <c r="F1995" i="4"/>
  <c r="F1806" i="4"/>
  <c r="F1779" i="4"/>
  <c r="F1512" i="4"/>
  <c r="F1614" i="4"/>
  <c r="F1315" i="4"/>
  <c r="F980" i="4"/>
  <c r="F939" i="4"/>
  <c r="F687" i="4"/>
  <c r="F847" i="4"/>
  <c r="F983" i="4"/>
  <c r="F578" i="4"/>
  <c r="F234" i="4"/>
  <c r="F196" i="4"/>
  <c r="F117" i="4"/>
  <c r="F431" i="4"/>
  <c r="F2590" i="4"/>
  <c r="F2370" i="4"/>
  <c r="F1545" i="4"/>
  <c r="F178" i="4"/>
  <c r="F1985" i="4"/>
  <c r="F1407" i="4"/>
  <c r="F422" i="4"/>
  <c r="F2571" i="4"/>
  <c r="F2429" i="4"/>
  <c r="F2209" i="4"/>
  <c r="F2227" i="4"/>
  <c r="F2065" i="4"/>
  <c r="F2000" i="4"/>
  <c r="F1926" i="4"/>
  <c r="F1955" i="4"/>
  <c r="F1484" i="4"/>
  <c r="F1441" i="4"/>
  <c r="F1049" i="4"/>
  <c r="F931" i="4"/>
  <c r="F751" i="4"/>
  <c r="F1129" i="4"/>
  <c r="F514" i="4"/>
  <c r="F740" i="4"/>
  <c r="F82" i="4"/>
  <c r="F172" i="4"/>
  <c r="F387" i="4"/>
  <c r="F695" i="4"/>
  <c r="F23" i="4"/>
  <c r="F1639" i="4"/>
  <c r="F935" i="4"/>
  <c r="F694" i="4"/>
  <c r="F336" i="4"/>
  <c r="F2486" i="4"/>
  <c r="F1847" i="4"/>
  <c r="F1529" i="4"/>
  <c r="F2485" i="4"/>
  <c r="F2410" i="4"/>
  <c r="F2214" i="4"/>
  <c r="F2127" i="4"/>
  <c r="F2283" i="4"/>
  <c r="F1856" i="4"/>
  <c r="F1815" i="4"/>
  <c r="F1618" i="4"/>
  <c r="F1854" i="4"/>
  <c r="F1297" i="4"/>
  <c r="F1446" i="4"/>
  <c r="F1320" i="4"/>
  <c r="F1114" i="4"/>
  <c r="F891" i="4"/>
  <c r="F1234" i="4"/>
  <c r="F899" i="4"/>
  <c r="F467" i="4"/>
  <c r="F612" i="4"/>
  <c r="F371" i="4"/>
  <c r="F686" i="4"/>
  <c r="F503" i="4"/>
  <c r="F2111" i="4"/>
  <c r="F1275" i="4"/>
  <c r="F166" i="4"/>
  <c r="F2482" i="4"/>
  <c r="F1289" i="4"/>
  <c r="F451" i="4"/>
  <c r="F2188" i="4"/>
  <c r="F2591" i="4"/>
  <c r="F2386" i="4"/>
  <c r="F2567" i="4"/>
  <c r="F2465" i="4"/>
  <c r="F2280" i="4"/>
  <c r="F2152" i="4"/>
  <c r="F2079" i="4"/>
  <c r="F2112" i="4"/>
  <c r="F1859" i="4"/>
  <c r="F1638" i="4"/>
  <c r="F1498" i="4"/>
  <c r="F1472" i="4"/>
  <c r="F1047" i="4"/>
  <c r="F1010" i="4"/>
  <c r="F930" i="4"/>
  <c r="F460" i="4"/>
  <c r="F1140" i="4"/>
  <c r="F286" i="4"/>
  <c r="F313" i="4"/>
  <c r="F145" i="4"/>
  <c r="F535" i="4"/>
  <c r="F279" i="4"/>
  <c r="F33" i="4"/>
  <c r="F127" i="4"/>
  <c r="F47" i="4"/>
  <c r="F2088" i="4"/>
  <c r="F1504" i="4"/>
  <c r="F907" i="4"/>
  <c r="F97" i="4"/>
  <c r="F20" i="4"/>
  <c r="F1623" i="4"/>
  <c r="F1305" i="4"/>
  <c r="F90" i="4"/>
  <c r="F2284" i="4"/>
  <c r="F2559" i="4"/>
  <c r="F2532" i="4"/>
  <c r="F2340" i="4"/>
  <c r="F2230" i="4"/>
  <c r="F2050" i="4"/>
  <c r="F2110" i="4"/>
  <c r="F2105" i="4"/>
  <c r="F1851" i="4"/>
  <c r="F1657" i="4"/>
  <c r="F1465" i="4"/>
  <c r="F1428" i="4"/>
  <c r="F1210" i="4"/>
  <c r="F770" i="4"/>
  <c r="F1220" i="4"/>
  <c r="F964" i="4"/>
  <c r="F1168" i="4"/>
  <c r="F1060" i="4"/>
  <c r="F838" i="4"/>
  <c r="F138" i="4"/>
  <c r="F108" i="4"/>
  <c r="F384" i="4"/>
  <c r="F63" i="4"/>
  <c r="F27" i="4"/>
  <c r="F200" i="4"/>
  <c r="F72" i="4"/>
  <c r="F540" i="4"/>
  <c r="F103" i="4"/>
  <c r="F38" i="4"/>
  <c r="F248" i="4"/>
  <c r="F128" i="4"/>
  <c r="F602" i="4"/>
  <c r="F240" i="4"/>
  <c r="F474" i="4"/>
  <c r="F594" i="4"/>
  <c r="F776" i="4"/>
  <c r="F533" i="4"/>
  <c r="F661" i="4"/>
  <c r="F816" i="4"/>
  <c r="F658" i="4"/>
  <c r="F885" i="4"/>
  <c r="F99" i="4"/>
  <c r="F163" i="4"/>
  <c r="F227" i="4"/>
  <c r="F572" i="4"/>
  <c r="F783" i="4"/>
  <c r="F267" i="4"/>
  <c r="F332" i="4"/>
  <c r="F396" i="4"/>
  <c r="F755" i="4"/>
  <c r="F900" i="4"/>
  <c r="F613" i="4"/>
  <c r="F878" i="4"/>
  <c r="F325" i="4"/>
  <c r="F389" i="4"/>
  <c r="F456" i="4"/>
  <c r="F600" i="4"/>
  <c r="F737" i="4"/>
  <c r="F861" i="4"/>
  <c r="F824" i="4"/>
  <c r="F974" i="4"/>
  <c r="F493" i="4"/>
  <c r="F621" i="4"/>
  <c r="F749" i="4"/>
  <c r="F845" i="4"/>
  <c r="F1198" i="4"/>
  <c r="F501" i="4"/>
  <c r="F688" i="4"/>
  <c r="F822" i="4"/>
  <c r="F500" i="4"/>
  <c r="F628" i="4"/>
  <c r="F756" i="4"/>
  <c r="F829" i="4"/>
  <c r="F1006" i="4"/>
  <c r="F1055" i="4"/>
  <c r="F908" i="4"/>
  <c r="F786" i="4"/>
  <c r="F887" i="4"/>
  <c r="F1469" i="4"/>
  <c r="F1111" i="4"/>
  <c r="F1239" i="4"/>
  <c r="F1467" i="4"/>
  <c r="F1054" i="4"/>
  <c r="F1421" i="4"/>
  <c r="F1053" i="4"/>
  <c r="F1587" i="4"/>
  <c r="F1078" i="4"/>
  <c r="F1206" i="4"/>
  <c r="F1471" i="4"/>
  <c r="F1037" i="4"/>
  <c r="F1151" i="4"/>
  <c r="F1215" i="4"/>
  <c r="F1558" i="4"/>
  <c r="F1611" i="4"/>
  <c r="F1563" i="4"/>
  <c r="F1370" i="4"/>
  <c r="F1332" i="4"/>
  <c r="F1479" i="4"/>
  <c r="F971" i="4"/>
  <c r="F1035" i="4"/>
  <c r="F1099" i="4"/>
  <c r="F1163" i="4"/>
  <c r="K1163" i="4"/>
  <c r="F1227" i="4"/>
  <c r="F1290" i="4"/>
  <c r="F1486" i="4"/>
  <c r="F1645" i="4"/>
  <c r="F1372" i="4"/>
  <c r="F1491" i="4"/>
  <c r="F1670" i="4"/>
  <c r="F1109" i="4"/>
  <c r="F1173" i="4"/>
  <c r="F1237" i="4"/>
  <c r="F1351" i="4"/>
  <c r="F1415" i="4"/>
  <c r="F1703" i="4"/>
  <c r="F1640" i="4"/>
  <c r="F1665" i="4"/>
  <c r="F1892" i="4"/>
  <c r="F1749" i="4"/>
  <c r="F1666" i="4"/>
  <c r="F1572" i="4"/>
  <c r="F1627" i="4"/>
  <c r="F1804" i="4"/>
  <c r="F1724" i="4"/>
  <c r="F1861" i="4"/>
  <c r="F1738" i="4"/>
  <c r="F1761" i="4"/>
  <c r="F1917" i="4"/>
  <c r="F1689" i="4"/>
  <c r="F1721" i="4"/>
  <c r="F1821" i="4"/>
  <c r="F2211" i="4"/>
  <c r="F1968" i="4"/>
  <c r="F1777" i="4"/>
  <c r="F1841" i="4"/>
  <c r="F1905" i="4"/>
  <c r="F2232" i="4"/>
  <c r="F1802" i="4"/>
  <c r="F1866" i="4"/>
  <c r="F1930" i="4"/>
  <c r="F2216" i="4"/>
  <c r="F1996" i="4"/>
  <c r="F2157" i="4"/>
  <c r="F2035" i="4"/>
  <c r="F2215" i="4"/>
  <c r="F2068" i="4"/>
  <c r="F2077" i="4"/>
  <c r="F2276" i="4"/>
  <c r="K2168" i="4"/>
  <c r="F2168" i="4"/>
  <c r="F2435" i="4"/>
  <c r="F2432" i="4"/>
  <c r="F2139" i="4"/>
  <c r="F2208" i="4"/>
  <c r="F2383" i="4"/>
  <c r="F2375" i="4"/>
  <c r="F2293" i="4"/>
  <c r="F2231" i="4"/>
  <c r="F2351" i="4"/>
  <c r="F2574" i="4"/>
  <c r="F2420" i="4"/>
  <c r="F2467" i="4"/>
  <c r="F2549" i="4"/>
  <c r="F2365" i="4"/>
  <c r="F2459" i="4"/>
  <c r="F2424" i="4"/>
  <c r="F2545" i="4"/>
  <c r="F2504" i="4"/>
  <c r="F2517" i="4"/>
  <c r="F2576" i="4"/>
  <c r="F2564" i="4"/>
  <c r="F2616" i="4"/>
  <c r="F126" i="4"/>
  <c r="F2120" i="4"/>
  <c r="F881" i="4"/>
  <c r="F241" i="4"/>
  <c r="F1589" i="4"/>
  <c r="F2339" i="4"/>
  <c r="F2158" i="4"/>
  <c r="F825" i="4"/>
  <c r="F854" i="4"/>
  <c r="F2516" i="4"/>
  <c r="F2279" i="4"/>
  <c r="F1448" i="4"/>
  <c r="F278" i="4"/>
  <c r="F2164" i="4"/>
  <c r="F706" i="4"/>
  <c r="F2137" i="4"/>
  <c r="F929" i="4"/>
  <c r="F1104" i="4"/>
  <c r="F2593" i="4"/>
  <c r="F2562" i="4"/>
  <c r="F1871" i="4"/>
  <c r="F542" i="4"/>
  <c r="F835" i="4"/>
  <c r="F1261" i="4"/>
  <c r="F2515" i="4"/>
  <c r="F1982" i="4"/>
  <c r="F1423" i="4"/>
  <c r="F463" i="4"/>
  <c r="F160" i="4"/>
  <c r="F207" i="4"/>
  <c r="F725" i="4"/>
  <c r="F259" i="4"/>
  <c r="F828" i="4"/>
  <c r="F781" i="4"/>
  <c r="F685" i="4"/>
  <c r="F896" i="4"/>
  <c r="F1166" i="4"/>
  <c r="F1327" i="4"/>
  <c r="F938" i="4"/>
  <c r="F1664" i="4"/>
  <c r="F1195" i="4"/>
  <c r="F1523" i="4"/>
  <c r="F1619" i="4"/>
  <c r="F1970" i="4"/>
  <c r="F1898" i="4"/>
  <c r="F2203" i="4"/>
  <c r="F2187" i="4"/>
  <c r="F1959" i="4"/>
  <c r="F1728" i="4"/>
  <c r="F977" i="4"/>
  <c r="F351" i="4"/>
  <c r="F1744" i="4"/>
  <c r="F2269" i="4"/>
  <c r="F2071" i="4"/>
  <c r="F1466" i="4"/>
  <c r="F591" i="4"/>
  <c r="F1855" i="4"/>
  <c r="F2531" i="4"/>
  <c r="F1585" i="4"/>
  <c r="K1585" i="4"/>
  <c r="F710" i="4"/>
  <c r="F2098" i="4"/>
  <c r="F1505" i="4"/>
  <c r="F1904" i="4"/>
  <c r="F1485" i="4"/>
  <c r="F320" i="4"/>
  <c r="F1715" i="4"/>
  <c r="F2406" i="4"/>
  <c r="F1712" i="4"/>
  <c r="F753" i="4"/>
  <c r="F327" i="4"/>
  <c r="F1180" i="4"/>
  <c r="F2222" i="4"/>
  <c r="F1988" i="4"/>
  <c r="F1050" i="4"/>
  <c r="F249" i="4"/>
  <c r="F864" i="4"/>
  <c r="F29" i="4"/>
  <c r="F601" i="4"/>
  <c r="F268" i="4"/>
  <c r="F841" i="4"/>
  <c r="F536" i="4"/>
  <c r="F689" i="4"/>
  <c r="F920" i="4"/>
  <c r="F1542" i="4"/>
  <c r="F1434" i="4"/>
  <c r="F1295" i="4"/>
  <c r="F1515" i="4"/>
  <c r="F1075" i="4"/>
  <c r="F1334" i="4"/>
  <c r="F1321" i="4"/>
  <c r="F1940" i="4"/>
  <c r="F1842" i="4"/>
  <c r="F2224" i="4"/>
  <c r="F2407" i="4"/>
  <c r="F1617" i="4"/>
  <c r="F954" i="4"/>
  <c r="F204" i="4"/>
  <c r="F2393" i="4"/>
  <c r="F1800" i="4"/>
  <c r="F263" i="4"/>
  <c r="F36" i="4"/>
  <c r="F2586" i="4"/>
  <c r="F2254" i="4"/>
  <c r="F1999" i="4"/>
  <c r="F1923" i="4"/>
  <c r="F1679" i="4"/>
  <c r="F1392" i="4"/>
  <c r="F1416" i="4"/>
  <c r="F1056" i="4"/>
  <c r="F1041" i="4"/>
  <c r="F1154" i="4"/>
  <c r="F739" i="4"/>
  <c r="F984" i="4"/>
  <c r="F642" i="4"/>
  <c r="F401" i="4"/>
  <c r="F273" i="4"/>
  <c r="F66" i="4"/>
  <c r="F287" i="4"/>
  <c r="F296" i="4"/>
  <c r="F347" i="4"/>
  <c r="F486" i="4"/>
  <c r="F2543" i="4"/>
  <c r="F1997" i="4"/>
  <c r="F1137" i="4"/>
  <c r="F85" i="4"/>
  <c r="F2163" i="4"/>
  <c r="F1747" i="4"/>
  <c r="F1121" i="4"/>
  <c r="F73" i="4"/>
  <c r="F2530" i="4"/>
  <c r="F2126" i="4"/>
  <c r="F1646" i="4"/>
  <c r="F2399" i="4"/>
  <c r="F2548" i="4"/>
  <c r="F2226" i="4"/>
  <c r="F2106" i="4"/>
  <c r="F2121" i="4"/>
  <c r="F1755" i="4"/>
  <c r="F1641" i="4"/>
  <c r="F1575" i="4"/>
  <c r="F1337" i="4"/>
  <c r="F1524" i="4"/>
  <c r="F1052" i="4"/>
  <c r="F1353" i="4"/>
  <c r="F619" i="4"/>
  <c r="F718" i="4"/>
  <c r="F902" i="4"/>
  <c r="F630" i="4"/>
  <c r="F217" i="4"/>
  <c r="F140" i="4"/>
  <c r="F28" i="4"/>
  <c r="F197" i="4"/>
  <c r="F2570" i="4"/>
  <c r="F2299" i="4"/>
  <c r="F996" i="4"/>
  <c r="F846" i="4"/>
  <c r="F1957" i="4"/>
  <c r="F1323" i="4"/>
  <c r="F60" i="4"/>
  <c r="F2304" i="4"/>
  <c r="F2310" i="4"/>
  <c r="F2330" i="4"/>
  <c r="F2181" i="4"/>
  <c r="F2219" i="4"/>
  <c r="F2002" i="4"/>
  <c r="F1803" i="4"/>
  <c r="F1584" i="4"/>
  <c r="F1432" i="4"/>
  <c r="F1361" i="4"/>
  <c r="F1647" i="4"/>
  <c r="F1108" i="4"/>
  <c r="F683" i="4"/>
  <c r="F928" i="4"/>
  <c r="F374" i="4"/>
  <c r="F418" i="4"/>
  <c r="F65" i="4"/>
  <c r="F35" i="4"/>
  <c r="F288" i="4"/>
  <c r="F331" i="4"/>
  <c r="F2461" i="4"/>
  <c r="K2461" i="4"/>
  <c r="F1449" i="4"/>
  <c r="F1194" i="4"/>
  <c r="F516" i="4"/>
  <c r="F213" i="4"/>
  <c r="F2221" i="4"/>
  <c r="F1808" i="4"/>
  <c r="F1616" i="4"/>
  <c r="F2414" i="4"/>
  <c r="F2387" i="4"/>
  <c r="F2243" i="4"/>
  <c r="F2104" i="4"/>
  <c r="F2089" i="4"/>
  <c r="F1840" i="4"/>
  <c r="F1776" i="4"/>
  <c r="F1943" i="4"/>
  <c r="F1807" i="4"/>
  <c r="F1281" i="4"/>
  <c r="F1399" i="4"/>
  <c r="F1241" i="4"/>
  <c r="F1816" i="4"/>
  <c r="F777" i="4"/>
  <c r="F870" i="4"/>
  <c r="F873" i="4"/>
  <c r="F250" i="4"/>
  <c r="F416" i="4"/>
  <c r="F328" i="4"/>
  <c r="F532" i="4"/>
  <c r="F181" i="4"/>
  <c r="F1986" i="4"/>
  <c r="F1433" i="4"/>
  <c r="F156" i="4"/>
  <c r="F2434" i="4"/>
  <c r="F1267" i="4"/>
  <c r="F124" i="4"/>
  <c r="F2097" i="4"/>
  <c r="F2617" i="4"/>
  <c r="F2494" i="4"/>
  <c r="F2481" i="4"/>
  <c r="F2298" i="4"/>
  <c r="F2179" i="4"/>
  <c r="F2314" i="4"/>
  <c r="F2022" i="4"/>
  <c r="F2007" i="4"/>
  <c r="F1811" i="4"/>
  <c r="F1694" i="4"/>
  <c r="F1424" i="4"/>
  <c r="F1379" i="4"/>
  <c r="F972" i="4"/>
  <c r="F961" i="4"/>
  <c r="F947" i="4"/>
  <c r="F428" i="4"/>
  <c r="F1106" i="4"/>
  <c r="F566" i="4"/>
  <c r="F297" i="4"/>
  <c r="F98" i="4"/>
  <c r="F471" i="4"/>
  <c r="F236" i="4"/>
  <c r="F631" i="4"/>
  <c r="F173" i="4"/>
  <c r="F703" i="4"/>
  <c r="F2143" i="4"/>
  <c r="F1080" i="4"/>
  <c r="F1193" i="4"/>
  <c r="F148" i="4"/>
  <c r="F2614" i="4"/>
  <c r="F1642" i="4"/>
  <c r="F1257" i="4"/>
  <c r="F1088" i="4"/>
  <c r="F2354" i="4"/>
  <c r="F2398" i="4"/>
  <c r="F2529" i="4"/>
  <c r="F2361" i="4"/>
  <c r="F2201" i="4"/>
  <c r="F2514" i="4"/>
  <c r="F1998" i="4"/>
  <c r="F2055" i="4"/>
  <c r="F1990" i="4"/>
  <c r="F1632" i="4"/>
  <c r="F1557" i="4"/>
  <c r="F1373" i="4"/>
  <c r="F1153" i="4"/>
  <c r="F1036" i="4"/>
  <c r="F1065" i="4"/>
  <c r="F904" i="4"/>
  <c r="F855" i="4"/>
  <c r="F588" i="4"/>
  <c r="F723" i="4"/>
  <c r="F121" i="4"/>
  <c r="F42" i="4"/>
  <c r="F246" i="4"/>
  <c r="F220" i="4"/>
  <c r="F690" i="4"/>
  <c r="F255" i="4"/>
  <c r="F104" i="4"/>
  <c r="F604" i="4"/>
  <c r="F120" i="4"/>
  <c r="F80" i="4"/>
  <c r="F730" i="4"/>
  <c r="F144" i="4"/>
  <c r="F21" i="4"/>
  <c r="F449" i="4"/>
  <c r="F666" i="4"/>
  <c r="F608" i="4"/>
  <c r="F797" i="4"/>
  <c r="F537" i="4"/>
  <c r="F665" i="4"/>
  <c r="F849" i="4"/>
  <c r="F672" i="4"/>
  <c r="F965" i="4"/>
  <c r="F107" i="4"/>
  <c r="F171" i="4"/>
  <c r="F235" i="4"/>
  <c r="F576" i="4"/>
  <c r="F1046" i="4"/>
  <c r="F276" i="4"/>
  <c r="F340" i="4"/>
  <c r="F434" i="4"/>
  <c r="F767" i="4"/>
  <c r="F919" i="4"/>
  <c r="F656" i="4"/>
  <c r="F911" i="4"/>
  <c r="F333" i="4"/>
  <c r="F397" i="4"/>
  <c r="F464" i="4"/>
  <c r="F605" i="4"/>
  <c r="F758" i="4"/>
  <c r="F871" i="4"/>
  <c r="F848" i="4"/>
  <c r="F1045" i="4"/>
  <c r="F497" i="4"/>
  <c r="F625" i="4"/>
  <c r="F757" i="4"/>
  <c r="F852" i="4"/>
  <c r="F1535" i="4"/>
  <c r="F505" i="4"/>
  <c r="F693" i="4"/>
  <c r="F832" i="4"/>
  <c r="F504" i="4"/>
  <c r="F632" i="4"/>
  <c r="F760" i="4"/>
  <c r="F836" i="4"/>
  <c r="F1024" i="4"/>
  <c r="F1230" i="4"/>
  <c r="F941" i="4"/>
  <c r="F794" i="4"/>
  <c r="F901" i="4"/>
  <c r="F949" i="4"/>
  <c r="F1127" i="4"/>
  <c r="F1271" i="4"/>
  <c r="F1487" i="4"/>
  <c r="F1246" i="4"/>
  <c r="F1522" i="4"/>
  <c r="F1254" i="4"/>
  <c r="F1606" i="4"/>
  <c r="F1094" i="4"/>
  <c r="F1222" i="4"/>
  <c r="F1478" i="4"/>
  <c r="F1071" i="4"/>
  <c r="F1160" i="4"/>
  <c r="F1224" i="4"/>
  <c r="F1598" i="4"/>
  <c r="F1644" i="4"/>
  <c r="F1573" i="4"/>
  <c r="F1402" i="4"/>
  <c r="F1358" i="4"/>
  <c r="F1495" i="4"/>
  <c r="F979" i="4"/>
  <c r="F1043" i="4"/>
  <c r="F1107" i="4"/>
  <c r="F1171" i="4"/>
  <c r="K1171" i="4"/>
  <c r="F1298" i="4"/>
  <c r="F1502" i="4"/>
  <c r="F1685" i="4"/>
  <c r="F1884" i="4"/>
  <c r="F1117" i="4"/>
  <c r="F1354" i="4"/>
  <c r="F1418" i="4"/>
  <c r="F1735" i="4"/>
  <c r="F1901" i="4"/>
  <c r="F1663" i="4"/>
  <c r="F1628" i="4"/>
  <c r="F1876" i="4"/>
  <c r="F1781" i="4"/>
  <c r="F1690" i="4"/>
  <c r="F1722" i="4"/>
  <c r="F2012" i="4"/>
  <c r="F1785" i="4"/>
  <c r="F1849" i="4"/>
  <c r="F2344" i="4"/>
  <c r="F1810" i="4"/>
  <c r="F1981" i="4"/>
  <c r="F2004" i="4"/>
  <c r="F2220" i="4"/>
  <c r="F2141" i="4"/>
  <c r="F2225" i="4"/>
  <c r="F2249" i="4"/>
  <c r="F2217" i="4"/>
  <c r="F2413" i="4"/>
  <c r="F2239" i="4"/>
  <c r="F2384" i="4"/>
  <c r="F2394" i="4"/>
  <c r="F2431" i="4"/>
  <c r="F2492" i="4"/>
  <c r="F2309" i="4"/>
  <c r="F2427" i="4"/>
  <c r="F2463" i="4"/>
  <c r="F2512" i="4"/>
  <c r="F2518" i="4"/>
  <c r="F2612" i="4"/>
  <c r="F2119" i="4"/>
  <c r="F39" i="4"/>
  <c r="F1489" i="4"/>
  <c r="F492" i="4"/>
  <c r="F412" i="4"/>
  <c r="F2064" i="4"/>
  <c r="F1928" i="4"/>
  <c r="F2599" i="4"/>
  <c r="F1792" i="4"/>
  <c r="F1217" i="4"/>
  <c r="F26" i="4"/>
  <c r="F1902" i="4"/>
  <c r="F2320" i="4"/>
  <c r="F1615" i="4"/>
  <c r="F587" i="4"/>
  <c r="F482" i="4"/>
  <c r="F2417" i="4"/>
  <c r="F2086" i="4"/>
  <c r="F1528" i="4"/>
  <c r="F487" i="4"/>
  <c r="F70" i="4"/>
  <c r="F1848" i="4"/>
  <c r="F2510" i="4"/>
  <c r="F1602" i="4"/>
  <c r="F1017" i="4"/>
  <c r="F1376" i="4"/>
  <c r="F575" i="4"/>
  <c r="F2037" i="4"/>
  <c r="F1561" i="4"/>
  <c r="F409" i="4"/>
  <c r="F820" i="4"/>
  <c r="F135" i="4"/>
  <c r="F597" i="4"/>
  <c r="F195" i="4"/>
  <c r="F553" i="4"/>
  <c r="F421" i="4"/>
  <c r="F868" i="4"/>
  <c r="F445" i="4"/>
  <c r="F799" i="4"/>
  <c r="F951" i="4"/>
  <c r="F991" i="4"/>
  <c r="F1119" i="4"/>
  <c r="F1543" i="4"/>
  <c r="F1378" i="4"/>
  <c r="F1869" i="4"/>
  <c r="F1753" i="4"/>
  <c r="F1745" i="4"/>
  <c r="F1937" i="4"/>
  <c r="F2265" i="4"/>
  <c r="F2360" i="4"/>
  <c r="F2472" i="4"/>
  <c r="F2561" i="4"/>
  <c r="F1903" i="4"/>
  <c r="F395" i="4"/>
  <c r="F1256" i="4"/>
  <c r="F462" i="4"/>
  <c r="F57" i="4"/>
  <c r="F1864" i="4"/>
  <c r="F1696" i="4"/>
  <c r="F1707" i="4"/>
  <c r="F761" i="4"/>
  <c r="F89" i="4"/>
  <c r="F438" i="4"/>
  <c r="F2253" i="4"/>
  <c r="F1132" i="4"/>
  <c r="F193" i="4"/>
  <c r="F1517" i="4"/>
  <c r="F218" i="4"/>
  <c r="F1672" i="4"/>
  <c r="F1170" i="4"/>
  <c r="F51" i="4"/>
  <c r="F2536" i="4"/>
  <c r="F2242" i="4"/>
  <c r="F1264" i="4"/>
  <c r="F382" i="4"/>
  <c r="F283" i="4"/>
  <c r="F400" i="4"/>
  <c r="F2474" i="4"/>
  <c r="F2001" i="4"/>
  <c r="F459" i="4"/>
  <c r="F643" i="4"/>
  <c r="F53" i="4"/>
  <c r="F589" i="4"/>
  <c r="F75" i="4"/>
  <c r="F308" i="4"/>
  <c r="F301" i="4"/>
  <c r="F976" i="4"/>
  <c r="F997" i="4"/>
  <c r="F806" i="4"/>
  <c r="F959" i="4"/>
  <c r="F1014" i="4"/>
  <c r="F1128" i="4"/>
  <c r="F1820" i="4"/>
  <c r="F1203" i="4"/>
  <c r="F1149" i="4"/>
  <c r="F1772" i="4"/>
  <c r="F1992" i="4"/>
  <c r="F2092" i="4"/>
  <c r="F1989" i="4"/>
  <c r="F2341" i="4"/>
  <c r="F2495" i="4"/>
  <c r="F2506" i="4"/>
  <c r="F1656" i="4"/>
  <c r="F865" i="4"/>
  <c r="F84" i="4"/>
  <c r="F2144" i="4"/>
  <c r="F1273" i="4"/>
  <c r="F154" i="4"/>
  <c r="F312" i="4"/>
  <c r="F2519" i="4"/>
  <c r="F2102" i="4"/>
  <c r="F2030" i="4"/>
  <c r="F1887" i="4"/>
  <c r="F1590" i="4"/>
  <c r="F1304" i="4"/>
  <c r="F1341" i="4"/>
  <c r="F985" i="4"/>
  <c r="F948" i="4"/>
  <c r="F1081" i="4"/>
  <c r="F662" i="4"/>
  <c r="F940" i="4"/>
  <c r="F447" i="4"/>
  <c r="F385" i="4"/>
  <c r="F888" i="4"/>
  <c r="F1461" i="4"/>
  <c r="F271" i="4"/>
  <c r="F62" i="4"/>
  <c r="F554" i="4"/>
  <c r="F376" i="4"/>
  <c r="F2396" i="4"/>
  <c r="F1704" i="4"/>
  <c r="F1629" i="4"/>
  <c r="F25" i="4"/>
  <c r="F2245" i="4"/>
  <c r="F1649" i="4"/>
  <c r="F1025" i="4"/>
  <c r="F410" i="4"/>
  <c r="F2490" i="4"/>
  <c r="F1975" i="4"/>
  <c r="F1594" i="4"/>
  <c r="F2430" i="4"/>
  <c r="F2318" i="4"/>
  <c r="F2180" i="4"/>
  <c r="F2095" i="4"/>
  <c r="F2049" i="4"/>
  <c r="F1911" i="4"/>
  <c r="F1420" i="4"/>
  <c r="F1525" i="4"/>
  <c r="F1251" i="4"/>
  <c r="F1497" i="4"/>
  <c r="F1533" i="4"/>
  <c r="F1232" i="4"/>
  <c r="F522" i="4"/>
  <c r="F671" i="4"/>
  <c r="K830" i="4"/>
  <c r="F830" i="4"/>
  <c r="F419" i="4"/>
  <c r="F170" i="4"/>
  <c r="F76" i="4"/>
  <c r="F583" i="4"/>
  <c r="F214" i="4"/>
  <c r="F2524" i="4"/>
  <c r="F2122" i="4"/>
  <c r="F495" i="4"/>
  <c r="F299" i="4"/>
  <c r="F1783" i="4"/>
  <c r="F921" i="4"/>
  <c r="F346" i="4"/>
  <c r="F2146" i="4"/>
  <c r="K2146" i="4"/>
  <c r="F2287" i="4"/>
  <c r="F2277" i="4"/>
  <c r="F2134" i="4"/>
  <c r="F2078" i="4"/>
  <c r="F1946" i="4"/>
  <c r="F1919" i="4"/>
  <c r="F1570" i="4"/>
  <c r="F1530" i="4"/>
  <c r="F1228" i="4"/>
  <c r="F1417" i="4"/>
  <c r="F762" i="4"/>
  <c r="F586" i="4"/>
  <c r="F882" i="4"/>
  <c r="F342" i="4"/>
  <c r="F441" i="4"/>
  <c r="F383" i="4"/>
  <c r="F291" i="4"/>
  <c r="F182" i="4"/>
  <c r="F158" i="4"/>
  <c r="F2445" i="4"/>
  <c r="F1532" i="4"/>
  <c r="F1028" i="4"/>
  <c r="F360" i="4"/>
  <c r="F546" i="4"/>
  <c r="F2362" i="4"/>
  <c r="F1950" i="4"/>
  <c r="F1145" i="4"/>
  <c r="F2469" i="4"/>
  <c r="F2302" i="4"/>
  <c r="F2206" i="4"/>
  <c r="F2081" i="4"/>
  <c r="F1972" i="4"/>
  <c r="F1824" i="4"/>
  <c r="F1731" i="4"/>
  <c r="F1954" i="4"/>
  <c r="F1683" i="4"/>
  <c r="F1265" i="4"/>
  <c r="F1384" i="4"/>
  <c r="F1096" i="4"/>
  <c r="F1600" i="4"/>
  <c r="F1124" i="4"/>
  <c r="F675" i="4"/>
  <c r="F1878" i="4"/>
  <c r="F233" i="4"/>
  <c r="F92" i="4"/>
  <c r="F253" i="4"/>
  <c r="F494" i="4"/>
  <c r="F119" i="4"/>
  <c r="F2008" i="4"/>
  <c r="F1066" i="4"/>
  <c r="F59" i="4"/>
  <c r="F2251" i="4"/>
  <c r="F1520" i="4"/>
  <c r="F34" i="4"/>
  <c r="F2054" i="4"/>
  <c r="F2554" i="4"/>
  <c r="F2618" i="4"/>
  <c r="F2438" i="4"/>
  <c r="F2505" i="4"/>
  <c r="F2266" i="4"/>
  <c r="F2262" i="4"/>
  <c r="F2003" i="4"/>
  <c r="F2130" i="4"/>
  <c r="F1766" i="4"/>
  <c r="F1678" i="4"/>
  <c r="F1328" i="4"/>
  <c r="F1476" i="4"/>
  <c r="F1403" i="4"/>
  <c r="F1324" i="4"/>
  <c r="F874" i="4"/>
  <c r="F1048" i="4"/>
  <c r="F446" i="4"/>
  <c r="F411" i="4"/>
  <c r="F281" i="4"/>
  <c r="F81" i="4"/>
  <c r="F399" i="4"/>
  <c r="F132" i="4"/>
  <c r="F244" i="4"/>
  <c r="F44" i="4"/>
  <c r="F379" i="4"/>
  <c r="F2080" i="4"/>
  <c r="F1009" i="4"/>
  <c r="F936" i="4"/>
  <c r="F306" i="4"/>
  <c r="F2348" i="4"/>
  <c r="F1440" i="4"/>
  <c r="F955" i="4"/>
  <c r="F647" i="4"/>
  <c r="F2282" i="4"/>
  <c r="F2535" i="4"/>
  <c r="F2598" i="4"/>
  <c r="F2297" i="4"/>
  <c r="F2385" i="4"/>
  <c r="F2136" i="4"/>
  <c r="F2039" i="4"/>
  <c r="F1830" i="4"/>
  <c r="F1827" i="4"/>
  <c r="F1961" i="4"/>
  <c r="F1546" i="4"/>
  <c r="F1886" i="4"/>
  <c r="F1082" i="4"/>
  <c r="F793" i="4"/>
  <c r="F726" i="4"/>
  <c r="F834" i="4"/>
  <c r="F906" i="4"/>
  <c r="F425" i="4"/>
  <c r="F659" i="4"/>
  <c r="F74" i="4"/>
  <c r="F420" i="4"/>
  <c r="F48" i="4"/>
  <c r="F711" i="4"/>
  <c r="F22" i="4"/>
  <c r="F476" i="4"/>
  <c r="F136" i="4"/>
  <c r="F782" i="4"/>
  <c r="F247" i="4"/>
  <c r="F167" i="4"/>
  <c r="F787" i="4"/>
  <c r="F199" i="4"/>
  <c r="F31" i="4"/>
  <c r="F175" i="4"/>
  <c r="F903" i="4"/>
  <c r="F649" i="4"/>
  <c r="F805" i="4"/>
  <c r="F584" i="4"/>
  <c r="F712" i="4"/>
  <c r="F1253" i="4"/>
  <c r="F722" i="4"/>
  <c r="F1182" i="4"/>
  <c r="F115" i="4"/>
  <c r="F179" i="4"/>
  <c r="F243" i="4"/>
  <c r="F636" i="4"/>
  <c r="F517" i="4"/>
  <c r="F284" i="4"/>
  <c r="F348" i="4"/>
  <c r="F465" i="4"/>
  <c r="F796" i="4"/>
  <c r="F1214" i="4"/>
  <c r="F677" i="4"/>
  <c r="F277" i="4"/>
  <c r="F341" i="4"/>
  <c r="F405" i="4"/>
  <c r="F473" i="4"/>
  <c r="F609" i="4"/>
  <c r="F771" i="4"/>
  <c r="F927" i="4"/>
  <c r="F853" i="4"/>
  <c r="F1086" i="4"/>
  <c r="F506" i="4"/>
  <c r="F634" i="4"/>
  <c r="F774" i="4"/>
  <c r="F916" i="4"/>
  <c r="F429" i="4"/>
  <c r="F560" i="4"/>
  <c r="F697" i="4"/>
  <c r="F837" i="4"/>
  <c r="F509" i="4"/>
  <c r="F637" i="4"/>
  <c r="F773" i="4"/>
  <c r="F857" i="4"/>
  <c r="F1150" i="4"/>
  <c r="F1263" i="4"/>
  <c r="F1031" i="4"/>
  <c r="F802" i="4"/>
  <c r="F912" i="4"/>
  <c r="F958" i="4"/>
  <c r="F1143" i="4"/>
  <c r="F1302" i="4"/>
  <c r="F1494" i="4"/>
  <c r="F1269" i="4"/>
  <c r="F1658" i="4"/>
  <c r="F1287" i="4"/>
  <c r="F918" i="4"/>
  <c r="F1110" i="4"/>
  <c r="F1238" i="4"/>
  <c r="F917" i="4"/>
  <c r="F1087" i="4"/>
  <c r="F1167" i="4"/>
  <c r="F1231" i="4"/>
  <c r="F1247" i="4"/>
  <c r="F1676" i="4"/>
  <c r="F1576" i="4"/>
  <c r="F1436" i="4"/>
  <c r="F1364" i="4"/>
  <c r="F1511" i="4"/>
  <c r="F987" i="4"/>
  <c r="F1051" i="4"/>
  <c r="F1115" i="4"/>
  <c r="F1306" i="4"/>
  <c r="F1518" i="4"/>
  <c r="F1404" i="4"/>
  <c r="F1507" i="4"/>
  <c r="F1061" i="4"/>
  <c r="F1309" i="4"/>
  <c r="F1357" i="4"/>
  <c r="F1924" i="4"/>
  <c r="F1692" i="4"/>
  <c r="K1741" i="4"/>
  <c r="F1741" i="4"/>
  <c r="F1684" i="4"/>
  <c r="F1668" i="4"/>
  <c r="F1700" i="4"/>
  <c r="F1732" i="4"/>
  <c r="F1893" i="4"/>
  <c r="F1963" i="4"/>
  <c r="F1697" i="4"/>
  <c r="F1729" i="4"/>
  <c r="F1941" i="4"/>
  <c r="F1952" i="4"/>
  <c r="F2023" i="4"/>
  <c r="F1921" i="4"/>
  <c r="F1754" i="4"/>
  <c r="F1882" i="4"/>
  <c r="F1978" i="4"/>
  <c r="F1991" i="4"/>
  <c r="F2084" i="4"/>
  <c r="F2223" i="4"/>
  <c r="F2156" i="4"/>
  <c r="F2109" i="4"/>
  <c r="F2455" i="4"/>
  <c r="F2240" i="4"/>
  <c r="F2155" i="4"/>
  <c r="F2233" i="4"/>
  <c r="F2342" i="4"/>
  <c r="F2303" i="4"/>
  <c r="F2247" i="4"/>
  <c r="F2440" i="4"/>
  <c r="F2499" i="4"/>
  <c r="F2381" i="4"/>
  <c r="F2491" i="4"/>
  <c r="F2436" i="4"/>
  <c r="F2520" i="4"/>
  <c r="F2525" i="4"/>
  <c r="F2611" i="4"/>
  <c r="F603" i="4"/>
  <c r="F2457" i="4"/>
  <c r="F1513" i="4"/>
  <c r="F367" i="4"/>
  <c r="F415" i="4"/>
  <c r="F228" i="4"/>
  <c r="F2161" i="4"/>
  <c r="F1621" i="4"/>
  <c r="F106" i="4"/>
  <c r="F1739" i="4"/>
  <c r="F2150" i="4"/>
  <c r="F1164" i="4"/>
  <c r="F210" i="4"/>
  <c r="F1549" i="4"/>
  <c r="F2062" i="4"/>
  <c r="F1918" i="4"/>
  <c r="F1339" i="4"/>
  <c r="F724" i="4"/>
  <c r="F2579" i="4"/>
  <c r="F2167" i="4"/>
  <c r="F1012" i="4"/>
  <c r="F652" i="4"/>
  <c r="F304" i="4"/>
  <c r="F414" i="4"/>
  <c r="F2604" i="4"/>
  <c r="F1723" i="4"/>
  <c r="F556" i="4"/>
  <c r="F330" i="4"/>
  <c r="F45" i="4"/>
  <c r="F159" i="4"/>
  <c r="F480" i="4"/>
  <c r="F700" i="4"/>
  <c r="F485" i="4"/>
  <c r="F669" i="4"/>
  <c r="F808" i="4"/>
  <c r="F564" i="4"/>
  <c r="F1412" i="4"/>
  <c r="F1406" i="4"/>
  <c r="F1285" i="4"/>
  <c r="F1499" i="4"/>
  <c r="F1067" i="4"/>
  <c r="F1435" i="4"/>
  <c r="F1445" i="4"/>
  <c r="F1828" i="4"/>
  <c r="F1834" i="4"/>
  <c r="F2116" i="4"/>
  <c r="F2107" i="4"/>
  <c r="F2358" i="4"/>
  <c r="F550" i="4"/>
  <c r="F2278" i="4"/>
  <c r="F1162" i="4"/>
  <c r="F194" i="4"/>
  <c r="F2202" i="4"/>
  <c r="F502" i="4"/>
  <c r="F2190" i="4"/>
  <c r="F1408" i="4"/>
  <c r="F707" i="4"/>
  <c r="F2466" i="4"/>
  <c r="F189" i="4"/>
  <c r="F1775" i="4"/>
  <c r="F436" i="4"/>
  <c r="F344" i="4"/>
  <c r="F2057" i="4"/>
  <c r="F2047" i="4"/>
  <c r="F1401" i="4"/>
  <c r="F122" i="4"/>
  <c r="F2578" i="4"/>
  <c r="F2540" i="4"/>
  <c r="F1910" i="4"/>
  <c r="F867" i="4"/>
  <c r="F727" i="4"/>
  <c r="F1819" i="4"/>
  <c r="F809" i="4"/>
  <c r="F2094" i="4"/>
  <c r="F1252" i="4"/>
  <c r="F563" i="4"/>
  <c r="F827" i="4"/>
  <c r="F216" i="4"/>
  <c r="F729" i="4"/>
  <c r="F203" i="4"/>
  <c r="F617" i="4"/>
  <c r="F432" i="4"/>
  <c r="F1342" i="4"/>
  <c r="F800" i="4"/>
  <c r="F942" i="4"/>
  <c r="F1191" i="4"/>
  <c r="F1013" i="4"/>
  <c r="F1463" i="4"/>
  <c r="F1011" i="4"/>
  <c r="F1566" i="4"/>
  <c r="F1564" i="4"/>
  <c r="F1756" i="4"/>
  <c r="F1780" i="4"/>
  <c r="F1778" i="4"/>
  <c r="F2063" i="4"/>
  <c r="F1369" i="4"/>
  <c r="F731" i="4"/>
  <c r="F1186" i="4"/>
  <c r="F1912" i="4"/>
  <c r="F1633" i="4"/>
  <c r="F49" i="4"/>
  <c r="F269" i="4"/>
  <c r="F2415" i="4"/>
  <c r="F2045" i="4"/>
  <c r="F1935" i="4"/>
  <c r="F1578" i="4"/>
  <c r="F1516" i="4"/>
  <c r="F1288" i="4"/>
  <c r="F1540" i="4"/>
  <c r="F952" i="4"/>
  <c r="F1444" i="4"/>
  <c r="F962" i="4"/>
  <c r="F551" i="4"/>
  <c r="F842" i="4"/>
  <c r="F398" i="4"/>
  <c r="F369" i="4"/>
  <c r="F258" i="4"/>
  <c r="F960" i="4"/>
  <c r="F100" i="4"/>
  <c r="F682" i="4"/>
  <c r="F339" i="4"/>
  <c r="F43" i="4"/>
  <c r="F2296" i="4"/>
  <c r="F1691" i="4"/>
  <c r="F670" i="4"/>
  <c r="F212" i="4"/>
  <c r="F2029" i="4"/>
  <c r="F1931" i="4"/>
  <c r="K754" i="4"/>
  <c r="F754" i="4"/>
  <c r="F391" i="4"/>
  <c r="F2323" i="4"/>
  <c r="F2087" i="4"/>
  <c r="F1751" i="4"/>
  <c r="F2380" i="4"/>
  <c r="F2289" i="4"/>
  <c r="F2172" i="4"/>
  <c r="F2307" i="4"/>
  <c r="F2005" i="4"/>
  <c r="F1838" i="4"/>
  <c r="F1655" i="4"/>
  <c r="F1500" i="4"/>
  <c r="F1630" i="4"/>
  <c r="F1393" i="4"/>
  <c r="F1292" i="4"/>
  <c r="F1136" i="4"/>
  <c r="F992" i="4"/>
  <c r="F590" i="4"/>
  <c r="F719" i="4"/>
  <c r="F407" i="4"/>
  <c r="F153" i="4"/>
  <c r="F58" i="4"/>
  <c r="F490" i="4"/>
  <c r="F468" i="4"/>
  <c r="F2588" i="4"/>
  <c r="F2038" i="4"/>
  <c r="F651" i="4"/>
  <c r="F2568" i="4"/>
  <c r="F1947" i="4"/>
  <c r="F956" i="4"/>
  <c r="F282" i="4"/>
  <c r="F2441" i="4"/>
  <c r="F2426" i="4"/>
  <c r="F2246" i="4"/>
  <c r="F2016" i="4"/>
  <c r="F2135" i="4"/>
  <c r="F1875" i="4"/>
  <c r="F1759" i="4"/>
  <c r="F1760" i="4"/>
  <c r="F1660" i="4"/>
  <c r="F1196" i="4"/>
  <c r="F1359" i="4"/>
  <c r="F801" i="4"/>
  <c r="F679" i="4"/>
  <c r="F715" i="4"/>
  <c r="F310" i="4"/>
  <c r="F257" i="4"/>
  <c r="F116" i="4"/>
  <c r="F272" i="4"/>
  <c r="F738" i="4"/>
  <c r="F626" i="4"/>
  <c r="F2610" i="4"/>
  <c r="F1468" i="4"/>
  <c r="F1004" i="4"/>
  <c r="F93" i="4"/>
  <c r="F2513" i="4"/>
  <c r="F2197" i="4"/>
  <c r="F1650" i="4"/>
  <c r="F910" i="4"/>
  <c r="F2041" i="4"/>
  <c r="F2286" i="4"/>
  <c r="F2159" i="4"/>
  <c r="F2046" i="4"/>
  <c r="F1936" i="4"/>
  <c r="F1967" i="4"/>
  <c r="F1699" i="4"/>
  <c r="F1895" i="4"/>
  <c r="F1625" i="4"/>
  <c r="F1249" i="4"/>
  <c r="F1307" i="4"/>
  <c r="F1016" i="4"/>
  <c r="F1350" i="4"/>
  <c r="F932" i="4"/>
  <c r="F598" i="4"/>
  <c r="F1008" i="4"/>
  <c r="F186" i="4"/>
  <c r="F50" i="4"/>
  <c r="F230" i="4"/>
  <c r="F614" i="4"/>
  <c r="F41" i="4"/>
  <c r="F1983" i="4"/>
  <c r="F534" i="4"/>
  <c r="F519" i="4"/>
  <c r="F1896" i="4"/>
  <c r="F1556" i="4"/>
  <c r="F635" i="4"/>
  <c r="F2074" i="4"/>
  <c r="F2575" i="4"/>
  <c r="F2587" i="4"/>
  <c r="F2409" i="4"/>
  <c r="F2378" i="4"/>
  <c r="F2235" i="4"/>
  <c r="F2218" i="4"/>
  <c r="F2142" i="4"/>
  <c r="F1907" i="4"/>
  <c r="F1659" i="4"/>
  <c r="F1605" i="4"/>
  <c r="F1296" i="4"/>
  <c r="F1425" i="4"/>
  <c r="F1344" i="4"/>
  <c r="F953" i="4"/>
  <c r="F714" i="4"/>
  <c r="F924" i="4"/>
  <c r="F1200" i="4"/>
  <c r="F393" i="4"/>
  <c r="F499" i="4"/>
  <c r="F1072" i="4"/>
  <c r="F359" i="4"/>
  <c r="F68" i="4"/>
  <c r="F571" i="4"/>
  <c r="F190" i="4"/>
  <c r="F368" i="4"/>
  <c r="F2193" i="4"/>
  <c r="F1554" i="4"/>
  <c r="F611" i="4"/>
  <c r="F676" i="4"/>
  <c r="F2294" i="4"/>
  <c r="F1835" i="4"/>
  <c r="F1178" i="4"/>
  <c r="F149" i="4"/>
  <c r="F2205" i="4"/>
  <c r="F2613" i="4"/>
  <c r="F2502" i="4"/>
  <c r="F2329" i="4"/>
  <c r="F2275" i="4"/>
  <c r="F2113" i="4"/>
  <c r="F2066" i="4"/>
  <c r="F1667" i="4"/>
  <c r="F1799" i="4"/>
  <c r="F1726" i="4"/>
  <c r="F1413" i="4"/>
  <c r="F1593" i="4"/>
  <c r="F1284" i="4"/>
  <c r="F1244" i="4"/>
  <c r="F615" i="4"/>
  <c r="F735" i="4"/>
  <c r="F850" i="4"/>
  <c r="F646" i="4"/>
  <c r="F595" i="4"/>
  <c r="F1439" i="4"/>
  <c r="F394" i="4"/>
  <c r="F511" i="4"/>
  <c r="F87" i="4"/>
  <c r="F143" i="4"/>
  <c r="F668" i="4"/>
  <c r="F151" i="4"/>
  <c r="F798" i="4"/>
  <c r="F256" i="4"/>
  <c r="F176" i="4"/>
  <c r="F803" i="4"/>
  <c r="F208" i="4"/>
  <c r="F152" i="4"/>
  <c r="F46" i="4"/>
  <c r="F909" i="4"/>
  <c r="F426" i="4"/>
  <c r="F264" i="4"/>
  <c r="F593" i="4"/>
  <c r="F721" i="4"/>
  <c r="F1711" i="4"/>
  <c r="F736" i="4"/>
  <c r="F1286" i="4"/>
  <c r="F123" i="4"/>
  <c r="F187" i="4"/>
  <c r="F251" i="4"/>
  <c r="F640" i="4"/>
  <c r="F581" i="4"/>
  <c r="F292" i="4"/>
  <c r="F356" i="4"/>
  <c r="F489" i="4"/>
  <c r="F804" i="4"/>
  <c r="F458" i="4"/>
  <c r="F720" i="4"/>
  <c r="F285" i="4"/>
  <c r="F349" i="4"/>
  <c r="F413" i="4"/>
  <c r="F477" i="4"/>
  <c r="F664" i="4"/>
  <c r="F775" i="4"/>
  <c r="F934" i="4"/>
  <c r="F860" i="4"/>
  <c r="F1102" i="4"/>
  <c r="F552" i="4"/>
  <c r="F680" i="4"/>
  <c r="F779" i="4"/>
  <c r="F946" i="4"/>
  <c r="F437" i="4"/>
  <c r="F565" i="4"/>
  <c r="F752" i="4"/>
  <c r="F844" i="4"/>
  <c r="F513" i="4"/>
  <c r="F641" i="4"/>
  <c r="F792" i="4"/>
  <c r="F879" i="4"/>
  <c r="F1538" i="4"/>
  <c r="F1380" i="4"/>
  <c r="F1040" i="4"/>
  <c r="F810" i="4"/>
  <c r="F925" i="4"/>
  <c r="F1005" i="4"/>
  <c r="F1159" i="4"/>
  <c r="F1330" i="4"/>
  <c r="F1583" i="4"/>
  <c r="K1583" i="4"/>
  <c r="F1279" i="4"/>
  <c r="F986" i="4"/>
  <c r="F1365" i="4"/>
  <c r="F973" i="4"/>
  <c r="F1126" i="4"/>
  <c r="F1262" i="4"/>
  <c r="F926" i="4"/>
  <c r="F1103" i="4"/>
  <c r="F1176" i="4"/>
  <c r="F1270" i="4"/>
  <c r="F1278" i="4"/>
  <c r="F1483" i="4"/>
  <c r="F1604" i="4"/>
  <c r="F1603" i="4"/>
  <c r="F1390" i="4"/>
  <c r="F1527" i="4"/>
  <c r="F995" i="4"/>
  <c r="F1059" i="4"/>
  <c r="F1123" i="4"/>
  <c r="F1187" i="4"/>
  <c r="F1250" i="4"/>
  <c r="F1346" i="4"/>
  <c r="F1534" i="4"/>
  <c r="F1310" i="4"/>
  <c r="F1419" i="4"/>
  <c r="F1509" i="4"/>
  <c r="F1069" i="4"/>
  <c r="F1133" i="4"/>
  <c r="F1197" i="4"/>
  <c r="F1313" i="4"/>
  <c r="F1363" i="4"/>
  <c r="F1437" i="4"/>
  <c r="F1442" i="4"/>
  <c r="F1748" i="4"/>
  <c r="F1789" i="4"/>
  <c r="F1438" i="4"/>
  <c r="F1877" i="4"/>
  <c r="F1769" i="4"/>
  <c r="F1758" i="4"/>
  <c r="F1693" i="4"/>
  <c r="F1701" i="4"/>
  <c r="F1733" i="4"/>
  <c r="F1908" i="4"/>
  <c r="F1813" i="4"/>
  <c r="F1836" i="4"/>
  <c r="F1977" i="4"/>
  <c r="F1698" i="4"/>
  <c r="F1730" i="4"/>
  <c r="F1962" i="4"/>
  <c r="F1960" i="4"/>
  <c r="F2061" i="4"/>
  <c r="F1801" i="4"/>
  <c r="F1865" i="4"/>
  <c r="F1929" i="4"/>
  <c r="F1762" i="4"/>
  <c r="F1826" i="4"/>
  <c r="F1890" i="4"/>
  <c r="F2024" i="4"/>
  <c r="F2011" i="4"/>
  <c r="F2020" i="4"/>
  <c r="F2326" i="4"/>
  <c r="F2100" i="4"/>
  <c r="F2228" i="4"/>
  <c r="K2175" i="4"/>
  <c r="F2175" i="4"/>
  <c r="F2125" i="4"/>
  <c r="F2236" i="4"/>
  <c r="F2260" i="4"/>
  <c r="F2196" i="4"/>
  <c r="F2099" i="4"/>
  <c r="F2178" i="4"/>
  <c r="F2248" i="4"/>
  <c r="F2343" i="4"/>
  <c r="F2352" i="4"/>
  <c r="F2311" i="4"/>
  <c r="F2255" i="4"/>
  <c r="F2408" i="4"/>
  <c r="K2408" i="4"/>
  <c r="F2402" i="4"/>
  <c r="F2443" i="4"/>
  <c r="F2419" i="4"/>
  <c r="F2325" i="4"/>
  <c r="F2389" i="4"/>
  <c r="F2350" i="4"/>
  <c r="F2447" i="4"/>
  <c r="F2479" i="4"/>
  <c r="F2464" i="4"/>
  <c r="F2528" i="4"/>
  <c r="F2526" i="4"/>
  <c r="F2553" i="4"/>
  <c r="B14" i="15"/>
  <c r="K5" i="5"/>
  <c r="F4" i="14"/>
  <c r="M5" i="5"/>
  <c r="K1801" i="4" l="1"/>
  <c r="K1110" i="4"/>
  <c r="K844" i="4"/>
  <c r="D11" i="6"/>
  <c r="B16" i="15" s="1"/>
  <c r="L5" i="5"/>
  <c r="E4" i="14"/>
  <c r="K2526" i="4"/>
  <c r="K2061" i="4"/>
  <c r="K1659" i="4"/>
  <c r="K1898" i="4"/>
  <c r="K2102" i="4"/>
  <c r="K2068" i="4"/>
  <c r="K971" i="4"/>
  <c r="K762" i="4"/>
  <c r="K1364" i="4"/>
  <c r="K446" i="4"/>
  <c r="K1410" i="4"/>
  <c r="K840" i="4"/>
  <c r="K1108" i="4"/>
  <c r="K939" i="4"/>
  <c r="K1547" i="4"/>
  <c r="K1190" i="4"/>
  <c r="K398" i="4"/>
  <c r="K203" i="4"/>
  <c r="K1628" i="4"/>
  <c r="K2459" i="4"/>
  <c r="K2280" i="4"/>
  <c r="K2489" i="4"/>
  <c r="K953" i="4"/>
  <c r="K85" i="4"/>
  <c r="K2293" i="4"/>
  <c r="K989" i="4"/>
  <c r="K1717" i="4"/>
  <c r="K546" i="4"/>
  <c r="K1257" i="4"/>
  <c r="K2089" i="4"/>
  <c r="K2548" i="4"/>
  <c r="K2142" i="4"/>
  <c r="K995" i="4"/>
  <c r="K437" i="4"/>
  <c r="K611" i="4"/>
  <c r="K216" i="4"/>
  <c r="K773" i="4"/>
  <c r="K74" i="4"/>
  <c r="K1868" i="4"/>
  <c r="K1672" i="4"/>
  <c r="K2004" i="4"/>
  <c r="K434" i="4"/>
  <c r="K797" i="4"/>
  <c r="K120" i="4"/>
  <c r="K2465" i="4"/>
  <c r="K744" i="4"/>
  <c r="K789" i="4"/>
  <c r="K736" i="4"/>
  <c r="K1067" i="4"/>
  <c r="K1256" i="4"/>
  <c r="K1230" i="4"/>
  <c r="K739" i="4"/>
  <c r="K1330" i="4"/>
  <c r="K800" i="4"/>
  <c r="K1228" i="4"/>
  <c r="K720" i="4"/>
  <c r="K1339" i="4"/>
  <c r="K637" i="4"/>
  <c r="K1264" i="4"/>
  <c r="K1117" i="4"/>
  <c r="K1606" i="4"/>
  <c r="K619" i="4"/>
  <c r="K2504" i="4"/>
  <c r="K139" i="4"/>
  <c r="K1858" i="4"/>
  <c r="K1483" i="4"/>
  <c r="K1126" i="4"/>
  <c r="K1102" i="4"/>
  <c r="K2303" i="4"/>
  <c r="K853" i="4"/>
  <c r="K176" i="4"/>
  <c r="K2440" i="4"/>
  <c r="K1773" i="4"/>
  <c r="K2524" i="4"/>
  <c r="K1810" i="4"/>
  <c r="K965" i="4"/>
  <c r="K2383" i="4"/>
  <c r="K1837" i="4"/>
  <c r="K636" i="4"/>
  <c r="K925" i="4"/>
  <c r="K432" i="4"/>
  <c r="K1416" i="4"/>
  <c r="K1195" i="4"/>
  <c r="K2382" i="4"/>
  <c r="K2272" i="4"/>
  <c r="K950" i="4"/>
  <c r="K2473" i="4"/>
  <c r="K46" i="4"/>
  <c r="K1354" i="4"/>
  <c r="K1346" i="4"/>
  <c r="K509" i="4"/>
  <c r="K976" i="4"/>
  <c r="K979" i="4"/>
  <c r="K1593" i="4"/>
  <c r="K1835" i="4"/>
  <c r="K1013" i="4"/>
  <c r="K1412" i="4"/>
  <c r="K1803" i="4"/>
  <c r="K2208" i="4"/>
  <c r="K1587" i="4"/>
  <c r="K891" i="4"/>
  <c r="K2261" i="4"/>
  <c r="K2138" i="4"/>
  <c r="K2286" i="4"/>
  <c r="K2248" i="4"/>
  <c r="K1566" i="4"/>
  <c r="K666" i="4"/>
  <c r="K1908" i="4"/>
  <c r="K2320" i="4"/>
  <c r="K2542" i="4"/>
  <c r="K867" i="4"/>
  <c r="K1436" i="4"/>
  <c r="K1788" i="4"/>
  <c r="K1069" i="4"/>
  <c r="K2360" i="4"/>
  <c r="K2481" i="4"/>
  <c r="K2090" i="4"/>
  <c r="K714" i="4"/>
  <c r="K1668" i="4"/>
  <c r="K2326" i="4"/>
  <c r="K2084" i="4"/>
  <c r="K1430" i="4"/>
  <c r="K2218" i="4"/>
  <c r="K258" i="4"/>
  <c r="K2495" i="4"/>
  <c r="K98" i="4"/>
  <c r="K1236" i="4"/>
  <c r="K2159" i="4"/>
  <c r="K2415" i="4"/>
  <c r="K2502" i="4"/>
  <c r="K468" i="4"/>
  <c r="K1903" i="4"/>
  <c r="K2567" i="4"/>
  <c r="K980" i="4"/>
  <c r="K190" i="4"/>
  <c r="K1605" i="4"/>
  <c r="K1008" i="4"/>
  <c r="K2172" i="4"/>
  <c r="K369" i="4"/>
  <c r="K1408" i="4"/>
  <c r="K1954" i="4"/>
  <c r="K1353" i="4"/>
  <c r="K899" i="4"/>
  <c r="K883" i="4"/>
  <c r="K1910" i="4"/>
  <c r="K1245" i="4"/>
  <c r="K1932" i="4"/>
  <c r="K2147" i="4"/>
  <c r="K359" i="4"/>
  <c r="K116" i="4"/>
  <c r="K2427" i="4"/>
  <c r="K605" i="4"/>
  <c r="K235" i="4"/>
  <c r="K1964" i="4"/>
  <c r="K2184" i="4"/>
  <c r="K1907" i="4"/>
  <c r="K670" i="4"/>
  <c r="K669" i="4"/>
  <c r="K22" i="4"/>
  <c r="K182" i="4"/>
  <c r="K2484" i="4"/>
  <c r="K846" i="4"/>
  <c r="K496" i="4"/>
  <c r="K1437" i="4"/>
  <c r="K49" i="4"/>
  <c r="K1253" i="4"/>
  <c r="K82" i="4"/>
  <c r="K1762" i="4"/>
  <c r="K2365" i="4"/>
  <c r="K2405" i="4"/>
  <c r="K2041" i="4"/>
  <c r="K1775" i="4"/>
  <c r="K1164" i="4"/>
  <c r="K787" i="4"/>
  <c r="K1830" i="4"/>
  <c r="K1403" i="4"/>
  <c r="K382" i="4"/>
  <c r="F1932" i="4"/>
  <c r="K1663" i="4"/>
  <c r="K171" i="4"/>
  <c r="K255" i="4"/>
  <c r="K2028" i="4"/>
  <c r="K2279" i="4"/>
  <c r="K2270" i="4"/>
  <c r="K341" i="4"/>
  <c r="K2121" i="4"/>
  <c r="K1963" i="4"/>
  <c r="K34" i="4"/>
  <c r="K2413" i="4"/>
  <c r="K1166" i="4"/>
  <c r="K2351" i="4"/>
  <c r="K1289" i="4"/>
  <c r="K1891" i="4"/>
  <c r="K1172" i="4"/>
  <c r="K909" i="4"/>
  <c r="K771" i="4"/>
  <c r="K2529" i="4"/>
  <c r="K1004" i="4"/>
  <c r="K1760" i="4"/>
  <c r="K179" i="4"/>
  <c r="K1378" i="4"/>
  <c r="F2147" i="4"/>
  <c r="F1245" i="4"/>
  <c r="K1685" i="4"/>
  <c r="K690" i="4"/>
  <c r="K1421" i="4"/>
  <c r="K127" i="4"/>
  <c r="K778" i="4"/>
  <c r="K705" i="4"/>
  <c r="K2057" i="4"/>
  <c r="K480" i="4"/>
  <c r="K2472" i="4"/>
  <c r="K2126" i="4"/>
  <c r="K774" i="4"/>
  <c r="K2325" i="4"/>
  <c r="K1427" i="4"/>
  <c r="K488" i="4"/>
  <c r="K2011" i="4"/>
  <c r="K934" i="4"/>
  <c r="K2202" i="4"/>
  <c r="K2491" i="4"/>
  <c r="K2240" i="4"/>
  <c r="K1309" i="4"/>
  <c r="K955" i="4"/>
  <c r="K459" i="4"/>
  <c r="K2451" i="4"/>
  <c r="K1900" i="4"/>
  <c r="K1966" i="4"/>
  <c r="K2083" i="4"/>
  <c r="K1181" i="4"/>
  <c r="K2418" i="4"/>
  <c r="K450" i="4"/>
  <c r="K2196" i="4"/>
  <c r="K1826" i="4"/>
  <c r="K1836" i="4"/>
  <c r="K1419" i="4"/>
  <c r="K1059" i="4"/>
  <c r="K552" i="4"/>
  <c r="K477" i="4"/>
  <c r="K2378" i="4"/>
  <c r="K918" i="4"/>
  <c r="K1600" i="4"/>
  <c r="K410" i="4"/>
  <c r="K1704" i="4"/>
  <c r="K154" i="4"/>
  <c r="K1722" i="4"/>
  <c r="K104" i="4"/>
  <c r="K825" i="4"/>
  <c r="K1099" i="4"/>
  <c r="K99" i="4"/>
  <c r="K1843" i="4"/>
  <c r="K2131" i="4"/>
  <c r="K1944" i="4"/>
  <c r="D10" i="6"/>
  <c r="B15" i="15" s="1"/>
  <c r="K1756" i="4"/>
  <c r="K1202" i="4"/>
  <c r="J5" i="5"/>
  <c r="N5" i="5" s="1"/>
  <c r="K1402" i="4"/>
  <c r="K2375" i="4"/>
  <c r="F1944" i="4"/>
  <c r="K2253" i="4"/>
  <c r="K2177" i="4"/>
  <c r="K1896" i="4"/>
  <c r="K1816" i="4"/>
  <c r="K384" i="4"/>
  <c r="K738" i="4"/>
  <c r="K1929" i="4"/>
  <c r="K1857" i="4"/>
  <c r="K958" i="4"/>
  <c r="K1909" i="4"/>
  <c r="K2428" i="4"/>
  <c r="K1332" i="4"/>
  <c r="K857" i="4"/>
  <c r="K499" i="4"/>
  <c r="K1167" i="4"/>
  <c r="K1678" i="4"/>
  <c r="K1629" i="4"/>
  <c r="K1589" i="4"/>
  <c r="K2065" i="4"/>
  <c r="K483" i="4"/>
  <c r="K2288" i="4"/>
  <c r="K2530" i="4"/>
  <c r="K1802" i="4"/>
  <c r="K231" i="4"/>
  <c r="K1794" i="4"/>
  <c r="K1092" i="4"/>
  <c r="K1935" i="4"/>
  <c r="K1918" i="4"/>
  <c r="K2239" i="4"/>
  <c r="K1358" i="4"/>
  <c r="K873" i="4"/>
  <c r="K642" i="4"/>
  <c r="K977" i="4"/>
  <c r="K929" i="4"/>
  <c r="K54" i="4"/>
  <c r="K1123" i="4"/>
  <c r="K1641" i="4"/>
  <c r="K215" i="4"/>
  <c r="K96" i="4"/>
  <c r="K40" i="4"/>
  <c r="K2580" i="4"/>
  <c r="K539" i="4"/>
  <c r="K1736" i="4"/>
  <c r="K972" i="4"/>
  <c r="K1952" i="4"/>
  <c r="K1983" i="4"/>
  <c r="K476" i="4"/>
  <c r="K2385" i="4"/>
  <c r="K888" i="4"/>
  <c r="K1753" i="4"/>
  <c r="K195" i="4"/>
  <c r="K919" i="4"/>
  <c r="K365" i="4"/>
  <c r="K886" i="4"/>
  <c r="K988" i="4"/>
  <c r="K1822" i="4"/>
  <c r="K1962" i="4"/>
  <c r="K1179" i="4"/>
  <c r="K244" i="4"/>
  <c r="K2180" i="4"/>
  <c r="K1217" i="4"/>
  <c r="K2201" i="4"/>
  <c r="K28" i="4"/>
  <c r="K2393" i="4"/>
  <c r="K1198" i="4"/>
  <c r="K1946" i="4"/>
  <c r="K1757" i="4"/>
  <c r="K2426" i="4"/>
  <c r="K2588" i="4"/>
  <c r="K1191" i="4"/>
  <c r="K2436" i="4"/>
  <c r="K2469" i="4"/>
  <c r="K1251" i="4"/>
  <c r="K312" i="4"/>
  <c r="K1517" i="4"/>
  <c r="K794" i="4"/>
  <c r="K2219" i="4"/>
  <c r="K1469" i="4"/>
  <c r="K234" i="4"/>
  <c r="K969" i="4"/>
  <c r="K1477" i="4"/>
  <c r="K616" i="4"/>
  <c r="K91" i="4"/>
  <c r="K507" i="4"/>
  <c r="K656" i="4"/>
  <c r="K292" i="4"/>
  <c r="K2029" i="4"/>
  <c r="K617" i="4"/>
  <c r="K563" i="4"/>
  <c r="K2264" i="4"/>
  <c r="K308" i="4"/>
  <c r="K1489" i="4"/>
  <c r="K730" i="4"/>
  <c r="K126" i="4"/>
  <c r="K2424" i="4"/>
  <c r="K392" i="4"/>
  <c r="K2040" i="4"/>
  <c r="K2437" i="4"/>
  <c r="K1176" i="4"/>
  <c r="K2193" i="4"/>
  <c r="K626" i="4"/>
  <c r="K719" i="4"/>
  <c r="K1751" i="4"/>
  <c r="K1778" i="4"/>
  <c r="K942" i="4"/>
  <c r="K2599" i="4"/>
  <c r="K631" i="4"/>
  <c r="K928" i="4"/>
  <c r="K1584" i="4"/>
  <c r="K1441" i="4"/>
  <c r="K1746" i="4"/>
  <c r="K876" i="4"/>
  <c r="K295" i="4"/>
  <c r="K1860" i="4"/>
  <c r="K2060" i="4"/>
  <c r="K1984" i="4"/>
  <c r="K1874" i="4"/>
  <c r="K2373" i="4"/>
  <c r="K2471" i="4"/>
  <c r="K1916" i="4"/>
  <c r="K2263" i="4"/>
  <c r="K2192" i="4"/>
  <c r="K2423" i="4"/>
  <c r="K2592" i="4"/>
  <c r="K1348" i="4"/>
  <c r="K2100" i="4"/>
  <c r="K152" i="4"/>
  <c r="K1072" i="4"/>
  <c r="K801" i="4"/>
  <c r="K2116" i="4"/>
  <c r="K2342" i="4"/>
  <c r="K1893" i="4"/>
  <c r="K1404" i="4"/>
  <c r="K1115" i="4"/>
  <c r="K136" i="4"/>
  <c r="K793" i="4"/>
  <c r="K936" i="4"/>
  <c r="K1048" i="4"/>
  <c r="K1594" i="4"/>
  <c r="K2474" i="4"/>
  <c r="K1707" i="4"/>
  <c r="K2417" i="4"/>
  <c r="F2373" i="4"/>
  <c r="F1874" i="4"/>
  <c r="K941" i="4"/>
  <c r="K576" i="4"/>
  <c r="K608" i="4"/>
  <c r="K1373" i="4"/>
  <c r="K1943" i="4"/>
  <c r="K2414" i="4"/>
  <c r="K1392" i="4"/>
  <c r="K36" i="4"/>
  <c r="K601" i="4"/>
  <c r="K327" i="4"/>
  <c r="K2137" i="4"/>
  <c r="K1821" i="4"/>
  <c r="K749" i="4"/>
  <c r="K861" i="4"/>
  <c r="K248" i="4"/>
  <c r="K166" i="4"/>
  <c r="K935" i="4"/>
  <c r="K2603" i="4"/>
  <c r="K1539" i="4"/>
  <c r="F1916" i="4"/>
  <c r="K1571" i="4"/>
  <c r="K1101" i="4"/>
  <c r="K1029" i="4"/>
  <c r="K88" i="4"/>
  <c r="K157" i="4"/>
  <c r="K2367" i="4"/>
  <c r="K1871" i="4"/>
  <c r="K413" i="4"/>
  <c r="K187" i="4"/>
  <c r="K264" i="4"/>
  <c r="K368" i="4"/>
  <c r="K808" i="4"/>
  <c r="K2395" i="4"/>
  <c r="K1328" i="4"/>
  <c r="K1972" i="4"/>
  <c r="K2445" i="4"/>
  <c r="K662" i="4"/>
  <c r="F2592" i="4"/>
  <c r="K2573" i="4"/>
  <c r="K2301" i="4"/>
  <c r="K832" i="4"/>
  <c r="K672" i="4"/>
  <c r="K1241" i="4"/>
  <c r="K374" i="4"/>
  <c r="K217" i="4"/>
  <c r="K1755" i="4"/>
  <c r="K1620" i="4"/>
  <c r="K2562" i="4"/>
  <c r="K2516" i="4"/>
  <c r="K1996" i="4"/>
  <c r="K1804" i="4"/>
  <c r="K1370" i="4"/>
  <c r="K900" i="4"/>
  <c r="K776" i="4"/>
  <c r="K1168" i="4"/>
  <c r="K1795" i="4"/>
  <c r="K2200" i="4"/>
  <c r="K2256" i="4"/>
  <c r="K1812" i="4"/>
  <c r="K1395" i="4"/>
  <c r="K1455" i="4"/>
  <c r="K112" i="4"/>
  <c r="K2053" i="4"/>
  <c r="K2442" i="4"/>
  <c r="K1680" i="4"/>
  <c r="K915" i="4"/>
  <c r="K837" i="4"/>
  <c r="K2262" i="4"/>
  <c r="K2245" i="4"/>
  <c r="K1701" i="4"/>
  <c r="K735" i="4"/>
  <c r="K2543" i="4"/>
  <c r="K259" i="4"/>
  <c r="K881" i="4"/>
  <c r="K1841" i="4"/>
  <c r="K1054" i="4"/>
  <c r="K621" i="4"/>
  <c r="K63" i="4"/>
  <c r="K1234" i="4"/>
  <c r="K2366" i="4"/>
  <c r="K2250" i="4"/>
  <c r="K131" i="4"/>
  <c r="K772" i="4"/>
  <c r="K251" i="4"/>
  <c r="K731" i="4"/>
  <c r="K1445" i="4"/>
  <c r="K1977" i="4"/>
  <c r="K779" i="4"/>
  <c r="K1369" i="4"/>
  <c r="K1991" i="4"/>
  <c r="K1051" i="4"/>
  <c r="K1214" i="4"/>
  <c r="K495" i="4"/>
  <c r="F1860" i="4"/>
  <c r="K2447" i="4"/>
  <c r="K2443" i="4"/>
  <c r="K1442" i="4"/>
  <c r="K1380" i="4"/>
  <c r="K2046" i="4"/>
  <c r="K257" i="4"/>
  <c r="K1196" i="4"/>
  <c r="K551" i="4"/>
  <c r="K429" i="4"/>
  <c r="K1086" i="4"/>
  <c r="K473" i="4"/>
  <c r="K81" i="4"/>
  <c r="K2081" i="4"/>
  <c r="K586" i="4"/>
  <c r="K2122" i="4"/>
  <c r="K2092" i="4"/>
  <c r="K587" i="4"/>
  <c r="F1984" i="4"/>
  <c r="K949" i="4"/>
  <c r="K1024" i="4"/>
  <c r="K693" i="4"/>
  <c r="K947" i="4"/>
  <c r="K1646" i="4"/>
  <c r="K486" i="4"/>
  <c r="K1056" i="4"/>
  <c r="K2593" i="4"/>
  <c r="K501" i="4"/>
  <c r="K38" i="4"/>
  <c r="K294" i="4"/>
  <c r="K1559" i="4"/>
  <c r="K2376" i="4"/>
  <c r="K2453" i="4"/>
  <c r="K2565" i="4"/>
  <c r="K2507" i="4"/>
  <c r="K2185" i="4"/>
  <c r="K1331" i="4"/>
  <c r="K877" i="4"/>
  <c r="K1767" i="4"/>
  <c r="K129" i="4"/>
  <c r="K2466" i="4"/>
  <c r="K802" i="4"/>
  <c r="K560" i="4"/>
  <c r="K1644" i="4"/>
  <c r="K1960" i="4"/>
  <c r="K1187" i="4"/>
  <c r="K973" i="4"/>
  <c r="K565" i="4"/>
  <c r="K680" i="4"/>
  <c r="K1249" i="4"/>
  <c r="F2192" i="4"/>
  <c r="K1401" i="4"/>
  <c r="K189" i="4"/>
  <c r="F2263" i="4"/>
  <c r="K1829" i="4"/>
  <c r="K2247" i="4"/>
  <c r="K1882" i="4"/>
  <c r="K1243" i="4"/>
  <c r="K796" i="4"/>
  <c r="K1324" i="4"/>
  <c r="K1066" i="4"/>
  <c r="K2318" i="4"/>
  <c r="K948" i="4"/>
  <c r="K438" i="4"/>
  <c r="K421" i="4"/>
  <c r="K2612" i="4"/>
  <c r="K1913" i="4"/>
  <c r="K42" i="4"/>
  <c r="K2254" i="4"/>
  <c r="K1842" i="4"/>
  <c r="K536" i="4"/>
  <c r="K2432" i="4"/>
  <c r="K1866" i="4"/>
  <c r="K1611" i="4"/>
  <c r="K1220" i="4"/>
  <c r="F2423" i="4"/>
  <c r="K747" i="4"/>
  <c r="K1003" i="4"/>
  <c r="K2496" i="4"/>
  <c r="K2357" i="4"/>
  <c r="K314" i="4"/>
  <c r="K2350" i="4"/>
  <c r="K1200" i="4"/>
  <c r="K2296" i="4"/>
  <c r="K1213" i="4"/>
  <c r="K1924" i="4"/>
  <c r="K1511" i="4"/>
  <c r="K1546" i="4"/>
  <c r="K301" i="4"/>
  <c r="K2217" i="4"/>
  <c r="K1153" i="4"/>
  <c r="K961" i="4"/>
  <c r="K1811" i="4"/>
  <c r="K1807" i="4"/>
  <c r="K1337" i="4"/>
  <c r="K2106" i="4"/>
  <c r="K347" i="4"/>
  <c r="K685" i="4"/>
  <c r="K160" i="4"/>
  <c r="K542" i="4"/>
  <c r="K1305" i="4"/>
  <c r="K751" i="4"/>
  <c r="K1303" i="4"/>
  <c r="K2390" i="4"/>
  <c r="K1322" i="4"/>
  <c r="K1229" i="4"/>
  <c r="K1464" i="4"/>
  <c r="K527" i="4"/>
  <c r="K161" i="4"/>
  <c r="K777" i="4"/>
  <c r="K1988" i="4"/>
  <c r="K2273" i="4"/>
  <c r="K2510" i="4"/>
  <c r="K1106" i="4"/>
  <c r="K535" i="4"/>
  <c r="K2591" i="4"/>
  <c r="K1673" i="4"/>
  <c r="K2388" i="4"/>
  <c r="K699" i="4"/>
  <c r="K1239" i="4"/>
  <c r="K1476" i="4"/>
  <c r="K291" i="4"/>
  <c r="K2037" i="4"/>
  <c r="K66" i="4"/>
  <c r="K2236" i="4"/>
  <c r="K828" i="4"/>
  <c r="K1210" i="4"/>
  <c r="K503" i="4"/>
  <c r="K1285" i="4"/>
  <c r="K2299" i="4"/>
  <c r="K954" i="4"/>
  <c r="K1290" i="4"/>
  <c r="K847" i="4"/>
  <c r="K2353" i="4"/>
  <c r="K364" i="4"/>
  <c r="K1144" i="4"/>
  <c r="K2072" i="4"/>
  <c r="K932" i="4"/>
  <c r="K2125" i="4"/>
  <c r="K1518" i="4"/>
  <c r="K1642" i="4"/>
  <c r="K246" i="4"/>
  <c r="K117" i="4"/>
  <c r="K2582" i="4"/>
  <c r="K149" i="4"/>
  <c r="K1936" i="4"/>
  <c r="K2094" i="4"/>
  <c r="K700" i="4"/>
  <c r="K1269" i="4"/>
  <c r="K609" i="4"/>
  <c r="K31" i="4"/>
  <c r="K420" i="4"/>
  <c r="K2362" i="4"/>
  <c r="K2049" i="4"/>
  <c r="K385" i="4"/>
  <c r="K1602" i="4"/>
  <c r="K2064" i="4"/>
  <c r="K1522" i="4"/>
  <c r="K428" i="4"/>
  <c r="K1524" i="4"/>
  <c r="K1744" i="4"/>
  <c r="K145" i="4"/>
  <c r="K336" i="4"/>
  <c r="K1879" i="4"/>
  <c r="K2493" i="4"/>
  <c r="K2552" i="4"/>
  <c r="K439" i="4"/>
  <c r="K1371" i="4"/>
  <c r="K180" i="4"/>
  <c r="K1480" i="4"/>
  <c r="K1152" i="4"/>
  <c r="K305" i="4"/>
  <c r="K742" i="4"/>
  <c r="K379" i="4"/>
  <c r="K2078" i="4"/>
  <c r="K2297" i="4"/>
  <c r="K84" i="4"/>
  <c r="K68" i="4"/>
  <c r="K490" i="4"/>
  <c r="K724" i="4"/>
  <c r="K2554" i="4"/>
  <c r="K865" i="4"/>
  <c r="K218" i="4"/>
  <c r="K2141" i="4"/>
  <c r="K2298" i="4"/>
  <c r="K1267" i="4"/>
  <c r="K1194" i="4"/>
  <c r="K718" i="4"/>
  <c r="K1800" i="4"/>
  <c r="K1542" i="4"/>
  <c r="K351" i="4"/>
  <c r="K2468" i="4"/>
  <c r="K2515" i="4"/>
  <c r="K1703" i="4"/>
  <c r="K2188" i="4"/>
  <c r="K1033" i="4"/>
  <c r="K1169" i="4"/>
  <c r="K1809" i="4"/>
  <c r="K2401" i="4"/>
  <c r="K78" i="4"/>
  <c r="K1291" i="4"/>
  <c r="K1994" i="4"/>
  <c r="K1460" i="4"/>
  <c r="K2227" i="4"/>
  <c r="K355" i="4"/>
  <c r="K2425" i="4"/>
  <c r="K548" i="4"/>
  <c r="K77" i="4"/>
  <c r="K599" i="4"/>
  <c r="K2329" i="4"/>
  <c r="K1344" i="4"/>
  <c r="K1814" i="4"/>
  <c r="K92" i="4"/>
  <c r="K1532" i="4"/>
  <c r="K94" i="4"/>
  <c r="K303" i="4"/>
  <c r="K580" i="4"/>
  <c r="K2003" i="4"/>
  <c r="K2030" i="4"/>
  <c r="K2610" i="4"/>
  <c r="K1947" i="4"/>
  <c r="K590" i="4"/>
  <c r="K556" i="4"/>
  <c r="K2039" i="4"/>
  <c r="K2394" i="4"/>
  <c r="K1694" i="4"/>
  <c r="K404" i="4"/>
  <c r="K58" i="4"/>
  <c r="K1671" i="4"/>
  <c r="K2054" i="4"/>
  <c r="K868" i="4"/>
  <c r="K604" i="4"/>
  <c r="K1840" i="4"/>
  <c r="K1223" i="4"/>
  <c r="K1490" i="4"/>
  <c r="K207" i="4"/>
  <c r="K150" i="4"/>
  <c r="K1233" i="4"/>
  <c r="K943" i="4"/>
  <c r="K1428" i="4"/>
  <c r="K1662" i="4"/>
  <c r="K902" i="4"/>
  <c r="K1758" i="4"/>
  <c r="K1655" i="4"/>
  <c r="K1739" i="4"/>
  <c r="K1941" i="4"/>
  <c r="K1676" i="4"/>
  <c r="K70" i="4"/>
  <c r="K1154" i="4"/>
  <c r="K148" i="4"/>
  <c r="K1679" i="4"/>
  <c r="K2063" i="4"/>
  <c r="K1025" i="4"/>
  <c r="K2384" i="4"/>
  <c r="K268" i="4"/>
  <c r="K463" i="4"/>
  <c r="K1448" i="4"/>
  <c r="K572" i="4"/>
  <c r="K602" i="4"/>
  <c r="K1536" i="4"/>
  <c r="K399" i="4"/>
  <c r="K665" i="4"/>
  <c r="K2361" i="4"/>
  <c r="K1423" i="4"/>
  <c r="K2158" i="4"/>
  <c r="K90" i="4"/>
  <c r="K1504" i="4"/>
  <c r="K2486" i="4"/>
  <c r="K1015" i="4"/>
  <c r="K1170" i="4"/>
  <c r="K951" i="4"/>
  <c r="K328" i="4"/>
  <c r="K288" i="4"/>
  <c r="K674" i="4"/>
  <c r="K1784" i="4"/>
  <c r="K1027" i="4"/>
  <c r="K1294" i="4"/>
  <c r="K592" i="4"/>
  <c r="K703" i="4"/>
  <c r="K2586" i="4"/>
  <c r="K688" i="4"/>
  <c r="K696" i="4"/>
  <c r="K926" i="4"/>
  <c r="K407" i="4"/>
  <c r="K1242" i="4"/>
  <c r="K2337" i="4"/>
  <c r="K1495" i="4"/>
  <c r="K2494" i="4"/>
  <c r="K1114" i="4"/>
  <c r="K141" i="4"/>
  <c r="K992" i="4"/>
  <c r="K1950" i="4"/>
  <c r="K767" i="4"/>
  <c r="K2259" i="4"/>
  <c r="K330" i="4"/>
  <c r="K1527" i="4"/>
  <c r="K272" i="4"/>
  <c r="K2212" i="4"/>
  <c r="K119" i="4"/>
  <c r="K1726" i="4"/>
  <c r="K2578" i="4"/>
  <c r="K2455" i="4"/>
  <c r="K1684" i="4"/>
  <c r="K1087" i="4"/>
  <c r="K2251" i="4"/>
  <c r="K253" i="4"/>
  <c r="K1657" i="4"/>
  <c r="K1534" i="4"/>
  <c r="K775" i="4"/>
  <c r="K247" i="4"/>
  <c r="K2080" i="4"/>
  <c r="K2222" i="4"/>
  <c r="K513" i="4"/>
  <c r="K1999" i="4"/>
  <c r="K1905" i="4"/>
  <c r="K2371" i="4"/>
  <c r="K529" i="4"/>
  <c r="K173" i="4"/>
  <c r="K478" i="4"/>
  <c r="K270" i="4"/>
  <c r="K991" i="4"/>
  <c r="K1407" i="4"/>
  <c r="K114" i="4"/>
  <c r="K910" i="4"/>
  <c r="K2284" i="4"/>
  <c r="K1942" i="4"/>
  <c r="K2618" i="4"/>
  <c r="K401" i="4"/>
  <c r="K1501" i="4"/>
  <c r="K2133" i="4"/>
  <c r="K641" i="4"/>
  <c r="K394" i="4"/>
  <c r="K1359" i="4"/>
  <c r="K1128" i="4"/>
  <c r="K340" i="4"/>
  <c r="K2354" i="4"/>
  <c r="K2197" i="4"/>
  <c r="K62" i="4"/>
  <c r="K1444" i="4"/>
  <c r="K921" i="4"/>
  <c r="K1390" i="4"/>
  <c r="K436" i="4"/>
  <c r="K2206" i="4"/>
  <c r="K1624" i="4"/>
  <c r="K1057" i="4"/>
  <c r="K880" i="4"/>
  <c r="K1405" i="4"/>
  <c r="K2501" i="4"/>
  <c r="K1783" i="4"/>
  <c r="K331" i="4"/>
  <c r="K2407" i="4"/>
  <c r="K1505" i="4"/>
  <c r="K1471" i="4"/>
  <c r="K1540" i="4"/>
  <c r="K550" i="4"/>
  <c r="K2598" i="4"/>
  <c r="K1911" i="4"/>
  <c r="K1461" i="4"/>
  <c r="K940" i="4"/>
  <c r="K504" i="4"/>
  <c r="K107" i="4"/>
  <c r="K156" i="4"/>
  <c r="K140" i="4"/>
  <c r="K493" i="4"/>
  <c r="K460" i="4"/>
  <c r="K1498" i="4"/>
  <c r="K23" i="4"/>
  <c r="K1774" i="4"/>
  <c r="K923" i="4"/>
  <c r="K2006" i="4"/>
  <c r="K1949" i="4"/>
  <c r="K2460" i="4"/>
  <c r="K1070" i="4"/>
  <c r="K657" i="4"/>
  <c r="K1787" i="4"/>
  <c r="K1440" i="4"/>
  <c r="K986" i="4"/>
  <c r="K879" i="4"/>
  <c r="K230" i="4"/>
  <c r="K1393" i="4"/>
  <c r="K2047" i="4"/>
  <c r="K2109" i="4"/>
  <c r="K348" i="4"/>
  <c r="K2265" i="4"/>
  <c r="K1065" i="4"/>
  <c r="K2617" i="4"/>
  <c r="K250" i="4"/>
  <c r="K2243" i="4"/>
  <c r="K273" i="4"/>
  <c r="K2276" i="4"/>
  <c r="K1320" i="4"/>
  <c r="K1129" i="4"/>
  <c r="K1484" i="4"/>
  <c r="K357" i="4"/>
  <c r="K324" i="4"/>
  <c r="K2173" i="4"/>
  <c r="K358" i="4"/>
  <c r="K1319" i="4"/>
  <c r="K1250" i="4"/>
  <c r="K962" i="4"/>
  <c r="K1978" i="4"/>
  <c r="K1732" i="4"/>
  <c r="K1683" i="4"/>
  <c r="K1376" i="4"/>
  <c r="K2220" i="4"/>
  <c r="K901" i="4"/>
  <c r="K60" i="4"/>
  <c r="K1575" i="4"/>
  <c r="K1334" i="4"/>
  <c r="K1467" i="4"/>
  <c r="K908" i="4"/>
  <c r="K500" i="4"/>
  <c r="K47" i="4"/>
  <c r="K686" i="4"/>
  <c r="K2198" i="4"/>
  <c r="K1993" i="4"/>
  <c r="K226" i="4"/>
  <c r="K1209" i="4"/>
  <c r="K2140" i="4"/>
  <c r="K1597" i="4"/>
  <c r="K1510" i="4"/>
  <c r="K1397" i="4"/>
  <c r="K1980" i="4"/>
  <c r="K1068" i="4"/>
  <c r="K1042" i="4"/>
  <c r="K750" i="4"/>
  <c r="K1316" i="4"/>
  <c r="K2290" i="4"/>
  <c r="K383" i="4"/>
  <c r="K1998" i="4"/>
  <c r="K1904" i="4"/>
  <c r="K1721" i="4"/>
  <c r="K1670" i="4"/>
  <c r="K103" i="4"/>
  <c r="K1047" i="4"/>
  <c r="K1854" i="4"/>
  <c r="K2509" i="4"/>
  <c r="K644" i="4"/>
  <c r="K2178" i="4"/>
  <c r="K1363" i="4"/>
  <c r="K2409" i="4"/>
  <c r="K2016" i="4"/>
  <c r="K1292" i="4"/>
  <c r="K1633" i="4"/>
  <c r="K1772" i="4"/>
  <c r="K1696" i="4"/>
  <c r="K2012" i="4"/>
  <c r="K1224" i="4"/>
  <c r="K197" i="4"/>
  <c r="K630" i="4"/>
  <c r="K1523" i="4"/>
  <c r="K2255" i="4"/>
  <c r="K349" i="4"/>
  <c r="K2294" i="4"/>
  <c r="K405" i="4"/>
  <c r="K1182" i="4"/>
  <c r="K59" i="4"/>
  <c r="K2359" i="4"/>
  <c r="K2176" i="4"/>
  <c r="K1107" i="4"/>
  <c r="K2221" i="4"/>
  <c r="K2226" i="4"/>
  <c r="K1665" i="4"/>
  <c r="K1693" i="4"/>
  <c r="K1197" i="4"/>
  <c r="K664" i="4"/>
  <c r="K285" i="4"/>
  <c r="K208" i="4"/>
  <c r="K646" i="4"/>
  <c r="K1691" i="4"/>
  <c r="K1186" i="4"/>
  <c r="K2499" i="4"/>
  <c r="K425" i="4"/>
  <c r="K1776" i="4"/>
  <c r="K1923" i="4"/>
  <c r="K1180" i="4"/>
  <c r="K2215" i="4"/>
  <c r="K1730" i="4"/>
  <c r="K1813" i="4"/>
  <c r="K1286" i="4"/>
  <c r="K2235" i="4"/>
  <c r="K1288" i="4"/>
  <c r="K827" i="4"/>
  <c r="K122" i="4"/>
  <c r="K485" i="4"/>
  <c r="K465" i="4"/>
  <c r="K243" i="4"/>
  <c r="K782" i="4"/>
  <c r="K2130" i="4"/>
  <c r="K360" i="4"/>
  <c r="K2430" i="4"/>
  <c r="K193" i="4"/>
  <c r="K1298" i="4"/>
  <c r="K1045" i="4"/>
  <c r="K817" i="4"/>
  <c r="K850" i="4"/>
  <c r="K677" i="4"/>
  <c r="K2341" i="4"/>
  <c r="K1528" i="4"/>
  <c r="K1235" i="4"/>
  <c r="K2076" i="4"/>
  <c r="K1619" i="4"/>
  <c r="K2576" i="4"/>
  <c r="K1968" i="4"/>
  <c r="K1053" i="4"/>
  <c r="K946" i="4"/>
  <c r="K50" i="4"/>
  <c r="K2005" i="4"/>
  <c r="K1808" i="4"/>
  <c r="K515" i="4"/>
  <c r="K2087" i="4"/>
  <c r="K1647" i="4"/>
  <c r="K1761" i="4"/>
  <c r="K1446" i="4"/>
  <c r="K745" i="4"/>
  <c r="K1343" i="4"/>
  <c r="K952" i="4"/>
  <c r="K2066" i="4"/>
  <c r="K1711" i="4"/>
  <c r="K916" i="4"/>
  <c r="K874" i="4"/>
  <c r="K1137" i="4"/>
  <c r="K1041" i="4"/>
  <c r="K737" i="4"/>
  <c r="K1470" i="4"/>
  <c r="K376" i="4"/>
  <c r="K1656" i="4"/>
  <c r="K1535" i="4"/>
  <c r="K1382" i="4"/>
  <c r="K2174" i="4"/>
  <c r="K1718" i="4"/>
  <c r="K558" i="4"/>
  <c r="K433" i="4"/>
  <c r="K489" i="4"/>
  <c r="K1754" i="4"/>
  <c r="K997" i="4"/>
  <c r="K1526" i="4"/>
  <c r="K2000" i="4"/>
  <c r="K1598" i="4"/>
  <c r="K676" i="4"/>
  <c r="K2553" i="4"/>
  <c r="K1259" i="4"/>
  <c r="K1165" i="4"/>
  <c r="K2490" i="4"/>
  <c r="K2311" i="4"/>
  <c r="K342" i="4"/>
  <c r="K172" i="4"/>
  <c r="K2209" i="4"/>
  <c r="K895" i="4"/>
  <c r="K191" i="4"/>
  <c r="K1481" i="4"/>
  <c r="K809" i="4"/>
  <c r="K2155" i="4"/>
  <c r="K517" i="4"/>
  <c r="K1728" i="4"/>
  <c r="K1075" i="4"/>
  <c r="K2314" i="4"/>
  <c r="K2575" i="4"/>
  <c r="K1350" i="4"/>
  <c r="K1357" i="4"/>
  <c r="K1827" i="4"/>
  <c r="K2216" i="4"/>
  <c r="K974" i="4"/>
  <c r="K903" i="4"/>
  <c r="K1845" i="4"/>
  <c r="K675" i="4"/>
  <c r="K1781" i="4"/>
  <c r="K2614" i="4"/>
  <c r="K1302" i="4"/>
  <c r="K1698" i="4"/>
  <c r="K651" i="4"/>
  <c r="K1640" i="4"/>
  <c r="K645" i="4"/>
  <c r="K581" i="4"/>
  <c r="K798" i="4"/>
  <c r="K1697" i="4"/>
  <c r="K51" i="4"/>
  <c r="K1928" i="4"/>
  <c r="K1876" i="4"/>
  <c r="K1088" i="4"/>
  <c r="K753" i="4"/>
  <c r="K278" i="4"/>
  <c r="K1558" i="4"/>
  <c r="K1206" i="4"/>
  <c r="K2118" i="4"/>
  <c r="K987" i="4"/>
  <c r="K284" i="4"/>
  <c r="K26" i="4"/>
  <c r="K2079" i="4"/>
  <c r="K1379" i="4"/>
  <c r="K845" i="4"/>
  <c r="K2050" i="4"/>
  <c r="K912" i="4"/>
  <c r="K927" i="4"/>
  <c r="K89" i="4"/>
  <c r="K1937" i="4"/>
  <c r="K760" i="4"/>
  <c r="K1472" i="4"/>
  <c r="K1631" i="4"/>
  <c r="K1748" i="4"/>
  <c r="K1279" i="4"/>
  <c r="K1005" i="4"/>
  <c r="K804" i="4"/>
  <c r="K123" i="4"/>
  <c r="K1895" i="4"/>
  <c r="K1759" i="4"/>
  <c r="K1838" i="4"/>
  <c r="K842" i="4"/>
  <c r="K1429" i="4"/>
  <c r="K1061" i="4"/>
  <c r="K1306" i="4"/>
  <c r="K1124" i="4"/>
  <c r="K761" i="4"/>
  <c r="K1141" i="4"/>
  <c r="K625" i="4"/>
  <c r="K2310" i="4"/>
  <c r="K2269" i="4"/>
  <c r="K725" i="4"/>
  <c r="K1930" i="4"/>
  <c r="K2211" i="4"/>
  <c r="K1372" i="4"/>
  <c r="K1695" i="4"/>
  <c r="K2338" i="4"/>
  <c r="K1329" i="4"/>
  <c r="K1951" i="4"/>
  <c r="K24" i="4"/>
  <c r="K1225" i="4"/>
  <c r="K2287" i="4"/>
  <c r="K1992" i="4"/>
  <c r="K1109" i="4"/>
  <c r="K2482" i="4"/>
  <c r="K1654" i="4"/>
  <c r="K1897" i="4"/>
  <c r="K2528" i="4"/>
  <c r="K1203" i="4"/>
  <c r="K2225" i="4"/>
  <c r="K2097" i="4"/>
  <c r="K1596" i="4"/>
  <c r="K2389" i="4"/>
  <c r="K2343" i="4"/>
  <c r="K2260" i="4"/>
  <c r="K2228" i="4"/>
  <c r="K1133" i="4"/>
  <c r="K792" i="4"/>
  <c r="K752" i="4"/>
  <c r="K860" i="4"/>
  <c r="K356" i="4"/>
  <c r="K151" i="4"/>
  <c r="K595" i="4"/>
  <c r="K615" i="4"/>
  <c r="K1413" i="4"/>
  <c r="K924" i="4"/>
  <c r="K1425" i="4"/>
  <c r="K635" i="4"/>
  <c r="K1875" i="4"/>
  <c r="K2038" i="4"/>
  <c r="K707" i="4"/>
  <c r="K194" i="4"/>
  <c r="K2604" i="4"/>
  <c r="K2579" i="4"/>
  <c r="K2091" i="4"/>
  <c r="K584" i="4"/>
  <c r="K48" i="4"/>
  <c r="K1520" i="4"/>
  <c r="K233" i="4"/>
  <c r="K522" i="4"/>
  <c r="K1525" i="4"/>
  <c r="K2506" i="4"/>
  <c r="K75" i="4"/>
  <c r="K1725" i="4"/>
  <c r="K1043" i="4"/>
  <c r="K1127" i="4"/>
  <c r="K464" i="4"/>
  <c r="K1046" i="4"/>
  <c r="K449" i="4"/>
  <c r="K1036" i="4"/>
  <c r="K1990" i="4"/>
  <c r="K996" i="4"/>
  <c r="K287" i="4"/>
  <c r="K204" i="4"/>
  <c r="K29" i="4"/>
  <c r="K1712" i="4"/>
  <c r="K1777" i="4"/>
  <c r="K1035" i="4"/>
  <c r="K1151" i="4"/>
  <c r="K786" i="4"/>
  <c r="K1049" i="4"/>
  <c r="K113" i="4"/>
  <c r="K2605" i="4"/>
  <c r="K454" i="4"/>
  <c r="K1833" i="4"/>
  <c r="K1000" i="4"/>
  <c r="K791" i="4"/>
  <c r="K585" i="4"/>
  <c r="K2013" i="4"/>
  <c r="K1743" i="4"/>
  <c r="K2182" i="4"/>
  <c r="K1956" i="4"/>
  <c r="K553" i="4"/>
  <c r="K1463" i="4"/>
  <c r="K2358" i="4"/>
  <c r="K1287" i="4"/>
  <c r="K2304" i="4"/>
  <c r="K1627" i="4"/>
  <c r="K111" i="4"/>
  <c r="K381" i="4"/>
  <c r="K894" i="4"/>
  <c r="K2024" i="4"/>
  <c r="K1040" i="4"/>
  <c r="K2275" i="4"/>
  <c r="K1556" i="4"/>
  <c r="K956" i="4"/>
  <c r="K212" i="4"/>
  <c r="K1564" i="4"/>
  <c r="K2611" i="4"/>
  <c r="K2019" i="4"/>
  <c r="K2023" i="4"/>
  <c r="K1247" i="4"/>
  <c r="K917" i="4"/>
  <c r="K1658" i="4"/>
  <c r="K1143" i="4"/>
  <c r="K277" i="4"/>
  <c r="K2136" i="4"/>
  <c r="K2535" i="4"/>
  <c r="K2302" i="4"/>
  <c r="K76" i="4"/>
  <c r="K1590" i="4"/>
  <c r="K2519" i="4"/>
  <c r="K1848" i="4"/>
  <c r="K1254" i="4"/>
  <c r="K848" i="4"/>
  <c r="K855" i="4"/>
  <c r="K1080" i="4"/>
  <c r="K1399" i="4"/>
  <c r="K1515" i="4"/>
  <c r="K864" i="4"/>
  <c r="K2406" i="4"/>
  <c r="K612" i="4"/>
  <c r="K514" i="4"/>
  <c r="K2571" i="4"/>
  <c r="K370" i="4"/>
  <c r="K1158" i="4"/>
  <c r="K1550" i="4"/>
  <c r="K994" i="4"/>
  <c r="K2377" i="4"/>
  <c r="K366" i="4"/>
  <c r="K2194" i="4"/>
  <c r="K317" i="4"/>
  <c r="K2458" i="4"/>
  <c r="K455" i="4"/>
  <c r="K1945" i="4"/>
  <c r="K1769" i="4"/>
  <c r="K1016" i="4"/>
  <c r="K445" i="4"/>
  <c r="K1940" i="4"/>
  <c r="K2327" i="4"/>
  <c r="K2479" i="4"/>
  <c r="K1103" i="4"/>
  <c r="K458" i="4"/>
  <c r="K1244" i="4"/>
  <c r="K1178" i="4"/>
  <c r="K2587" i="4"/>
  <c r="K153" i="4"/>
  <c r="K339" i="4"/>
  <c r="K269" i="4"/>
  <c r="K1342" i="4"/>
  <c r="K45" i="4"/>
  <c r="K1700" i="4"/>
  <c r="K722" i="4"/>
  <c r="K805" i="4"/>
  <c r="K1232" i="4"/>
  <c r="K1975" i="4"/>
  <c r="K1989" i="4"/>
  <c r="K1902" i="4"/>
  <c r="K2492" i="4"/>
  <c r="K21" i="4"/>
  <c r="K1321" i="4"/>
  <c r="K591" i="4"/>
  <c r="K2139" i="4"/>
  <c r="K1724" i="4"/>
  <c r="K1227" i="4"/>
  <c r="K1037" i="4"/>
  <c r="K1851" i="4"/>
  <c r="K2532" i="4"/>
  <c r="K2112" i="4"/>
  <c r="K2410" i="4"/>
  <c r="K387" i="4"/>
  <c r="K238" i="4"/>
  <c r="K2558" i="4"/>
  <c r="K2073" i="4"/>
  <c r="K639" i="4"/>
  <c r="K1682" i="4"/>
  <c r="K1636" i="4"/>
  <c r="K1091" i="4"/>
  <c r="K733" i="4"/>
  <c r="K479" i="4"/>
  <c r="K2606" i="4"/>
  <c r="K1771" i="4"/>
  <c r="K162" i="4"/>
  <c r="K1345" i="4"/>
  <c r="K1185" i="4"/>
  <c r="K1347" i="4"/>
  <c r="K862" i="4"/>
  <c r="K1553" i="4"/>
  <c r="K627" i="4"/>
  <c r="K1569" i="4"/>
  <c r="K1184" i="4"/>
  <c r="K640" i="4"/>
  <c r="K115" i="4"/>
  <c r="K2438" i="4"/>
  <c r="K1738" i="4"/>
  <c r="K2285" i="4"/>
  <c r="K1890" i="4"/>
  <c r="K2190" i="4"/>
  <c r="K2520" i="4"/>
  <c r="K2334" i="4"/>
  <c r="K2223" i="4"/>
  <c r="K1921" i="4"/>
  <c r="K1125" i="4"/>
  <c r="K281" i="4"/>
  <c r="K1265" i="4"/>
  <c r="K1417" i="4"/>
  <c r="K1420" i="4"/>
  <c r="K1887" i="4"/>
  <c r="K53" i="4"/>
  <c r="K2561" i="4"/>
  <c r="K1017" i="4"/>
  <c r="K482" i="4"/>
  <c r="K39" i="4"/>
  <c r="K1735" i="4"/>
  <c r="K904" i="4"/>
  <c r="K2143" i="4"/>
  <c r="K1281" i="4"/>
  <c r="K2330" i="4"/>
  <c r="K710" i="4"/>
  <c r="K241" i="4"/>
  <c r="K2616" i="4"/>
  <c r="K2467" i="4"/>
  <c r="K1689" i="4"/>
  <c r="K1491" i="4"/>
  <c r="K822" i="4"/>
  <c r="K451" i="4"/>
  <c r="K467" i="4"/>
  <c r="K1614" i="4"/>
  <c r="K2422" i="4"/>
  <c r="K372" i="4"/>
  <c r="K2319" i="4"/>
  <c r="K875" i="4"/>
  <c r="K254" i="4"/>
  <c r="K1652" i="4"/>
  <c r="K1240" i="4"/>
  <c r="K1514" i="4"/>
  <c r="K2585" i="4"/>
  <c r="K905" i="4"/>
  <c r="K2551" i="4"/>
  <c r="K130" i="4"/>
  <c r="K678" i="4"/>
  <c r="K2151" i="4"/>
  <c r="K1365" i="4"/>
  <c r="K1439" i="4"/>
  <c r="K1667" i="4"/>
  <c r="K1578" i="4"/>
  <c r="K1435" i="4"/>
  <c r="K1031" i="4"/>
  <c r="K697" i="4"/>
  <c r="K447" i="4"/>
  <c r="K283" i="4"/>
  <c r="K1543" i="4"/>
  <c r="K1561" i="4"/>
  <c r="K2036" i="4"/>
  <c r="K1690" i="4"/>
  <c r="K2055" i="4"/>
  <c r="K870" i="4"/>
  <c r="K1617" i="4"/>
  <c r="K835" i="4"/>
  <c r="K2231" i="4"/>
  <c r="K783" i="4"/>
  <c r="K2088" i="4"/>
  <c r="K279" i="4"/>
  <c r="K2429" i="4"/>
  <c r="K178" i="4"/>
  <c r="K2446" i="4"/>
  <c r="K610" i="4"/>
  <c r="K2316" i="4"/>
  <c r="K966" i="4"/>
  <c r="K2160" i="4"/>
  <c r="K185" i="4"/>
  <c r="K363" i="4"/>
  <c r="K2162" i="4"/>
  <c r="K1931" i="4"/>
  <c r="K1162" i="4"/>
  <c r="K1012" i="4"/>
  <c r="K415" i="4"/>
  <c r="K1797" i="4"/>
  <c r="K1238" i="4"/>
  <c r="K175" i="4"/>
  <c r="K882" i="4"/>
  <c r="K346" i="4"/>
  <c r="K1304" i="4"/>
  <c r="K597" i="4"/>
  <c r="K412" i="4"/>
  <c r="K2518" i="4"/>
  <c r="K2431" i="4"/>
  <c r="K1677" i="4"/>
  <c r="K566" i="4"/>
  <c r="K416" i="4"/>
  <c r="K456" i="4"/>
  <c r="K661" i="4"/>
  <c r="K1815" i="4"/>
  <c r="K694" i="4"/>
  <c r="K1482" i="4"/>
  <c r="K1599" i="4"/>
  <c r="K998" i="4"/>
  <c r="K1032" i="4"/>
  <c r="K821" i="4"/>
  <c r="K811" i="4"/>
  <c r="K2602" i="4"/>
  <c r="K1159" i="4"/>
  <c r="K2419" i="4"/>
  <c r="K1310" i="4"/>
  <c r="K2113" i="4"/>
  <c r="K2613" i="4"/>
  <c r="K2135" i="4"/>
  <c r="K1780" i="4"/>
  <c r="K2381" i="4"/>
  <c r="K1818" i="4"/>
  <c r="K647" i="4"/>
  <c r="K1028" i="4"/>
  <c r="K2144" i="4"/>
  <c r="K1869" i="4"/>
  <c r="K276" i="4"/>
  <c r="K1557" i="4"/>
  <c r="K35" i="4"/>
  <c r="K2570" i="4"/>
  <c r="K1747" i="4"/>
  <c r="K296" i="4"/>
  <c r="K920" i="4"/>
  <c r="K1050" i="4"/>
  <c r="K2098" i="4"/>
  <c r="K1970" i="4"/>
  <c r="K2564" i="4"/>
  <c r="K1645" i="4"/>
  <c r="K964" i="4"/>
  <c r="K2470" i="4"/>
  <c r="K137" i="4"/>
  <c r="K2281" i="4"/>
  <c r="K1714" i="4"/>
  <c r="K1219" i="4"/>
  <c r="K843" i="4"/>
  <c r="K1156" i="4"/>
  <c r="K2324" i="4"/>
  <c r="K660" i="4"/>
  <c r="K1867" i="4"/>
  <c r="K1865" i="4"/>
  <c r="K256" i="4"/>
  <c r="K1625" i="4"/>
  <c r="K1660" i="4"/>
  <c r="K1819" i="4"/>
  <c r="K502" i="4"/>
  <c r="K2278" i="4"/>
  <c r="K1828" i="4"/>
  <c r="K2156" i="4"/>
  <c r="K1150" i="4"/>
  <c r="K1009" i="4"/>
  <c r="K2266" i="4"/>
  <c r="K494" i="4"/>
  <c r="K1731" i="4"/>
  <c r="K419" i="4"/>
  <c r="K2085" i="4"/>
  <c r="K2483" i="4"/>
  <c r="K1160" i="4"/>
  <c r="K2398" i="4"/>
  <c r="K124" i="4"/>
  <c r="K2232" i="4"/>
  <c r="K829" i="4"/>
  <c r="K332" i="4"/>
  <c r="K533" i="4"/>
  <c r="K1847" i="4"/>
  <c r="K2332" i="4"/>
  <c r="K2067" i="4"/>
  <c r="K2059" i="4"/>
  <c r="K1034" i="4"/>
  <c r="K1349" i="4"/>
  <c r="K2128" i="4"/>
  <c r="K245" i="4"/>
  <c r="K593" i="4"/>
  <c r="K1799" i="4"/>
  <c r="K2205" i="4"/>
  <c r="K1513" i="4"/>
  <c r="K1692" i="4"/>
  <c r="K1507" i="4"/>
  <c r="K711" i="4"/>
  <c r="K1384" i="4"/>
  <c r="K1570" i="4"/>
  <c r="K471" i="4"/>
  <c r="K2163" i="4"/>
  <c r="K320" i="4"/>
  <c r="K2339" i="4"/>
  <c r="K1415" i="4"/>
  <c r="K878" i="4"/>
  <c r="K1465" i="4"/>
  <c r="K907" i="4"/>
  <c r="K1859" i="4"/>
  <c r="K983" i="4"/>
  <c r="K1315" i="4"/>
  <c r="K1965" i="4"/>
  <c r="K1790" i="4"/>
  <c r="K692" i="4"/>
  <c r="K1155" i="4"/>
  <c r="K893" i="4"/>
  <c r="K318" i="4"/>
  <c r="K2464" i="4"/>
  <c r="K2352" i="4"/>
  <c r="K2099" i="4"/>
  <c r="K1313" i="4"/>
  <c r="K1509" i="4"/>
  <c r="K2074" i="4"/>
  <c r="K1621" i="4"/>
  <c r="K2233" i="4"/>
  <c r="K199" i="4"/>
  <c r="K2115" i="4"/>
  <c r="K2463" i="4"/>
  <c r="K397" i="4"/>
  <c r="K2002" i="4"/>
  <c r="K689" i="4"/>
  <c r="K1466" i="4"/>
  <c r="K1917" i="4"/>
  <c r="K1892" i="4"/>
  <c r="K200" i="4"/>
  <c r="K33" i="4"/>
  <c r="K1275" i="4"/>
  <c r="K1090" i="4"/>
  <c r="K1414" i="4"/>
  <c r="K1708" i="4"/>
  <c r="K1276" i="4"/>
  <c r="K2044" i="4"/>
  <c r="K1360" i="4"/>
  <c r="K56" i="4"/>
  <c r="K1116" i="4"/>
  <c r="K282" i="4"/>
  <c r="K299" i="4"/>
  <c r="K93" i="4"/>
  <c r="K2400" i="4"/>
  <c r="K143" i="4"/>
  <c r="K1252" i="4"/>
  <c r="K2107" i="4"/>
  <c r="K2167" i="4"/>
  <c r="K1231" i="4"/>
  <c r="K659" i="4"/>
  <c r="K132" i="4"/>
  <c r="K411" i="4"/>
  <c r="K214" i="4"/>
  <c r="K271" i="4"/>
  <c r="K1149" i="4"/>
  <c r="K1014" i="4"/>
  <c r="K1864" i="4"/>
  <c r="K395" i="4"/>
  <c r="K2607" i="4"/>
  <c r="K2093" i="4"/>
  <c r="K1785" i="4"/>
  <c r="K1418" i="4"/>
  <c r="K632" i="4"/>
  <c r="K505" i="4"/>
  <c r="K213" i="4"/>
  <c r="K683" i="4"/>
  <c r="K1052" i="4"/>
  <c r="K841" i="4"/>
  <c r="K2035" i="4"/>
  <c r="K389" i="4"/>
  <c r="K1140" i="4"/>
  <c r="K1512" i="4"/>
  <c r="K839" i="4"/>
  <c r="K453" i="4"/>
  <c r="K2082" i="4"/>
  <c r="K1326" i="4"/>
  <c r="K914" i="4"/>
  <c r="K512" i="4"/>
  <c r="K491" i="4"/>
  <c r="K614" i="4"/>
  <c r="K2001" i="4"/>
  <c r="K1222" i="4"/>
  <c r="K818" i="4"/>
  <c r="K2497" i="4"/>
  <c r="K2380" i="4"/>
  <c r="K729" i="4"/>
  <c r="K1270" i="4"/>
  <c r="K1262" i="4"/>
  <c r="K426" i="4"/>
  <c r="K1296" i="4"/>
  <c r="K534" i="4"/>
  <c r="K598" i="4"/>
  <c r="K1307" i="4"/>
  <c r="K1699" i="4"/>
  <c r="K1650" i="4"/>
  <c r="K2246" i="4"/>
  <c r="K1499" i="4"/>
  <c r="K564" i="4"/>
  <c r="K414" i="4"/>
  <c r="K2150" i="4"/>
  <c r="K2161" i="4"/>
  <c r="K2525" i="4"/>
  <c r="K1576" i="4"/>
  <c r="K1263" i="4"/>
  <c r="K649" i="4"/>
  <c r="K2282" i="4"/>
  <c r="K2134" i="4"/>
  <c r="K1533" i="4"/>
  <c r="K1649" i="4"/>
  <c r="K2119" i="4"/>
  <c r="K1094" i="4"/>
  <c r="K1487" i="4"/>
  <c r="K758" i="4"/>
  <c r="K333" i="4"/>
  <c r="K121" i="4"/>
  <c r="K1193" i="4"/>
  <c r="K1433" i="4"/>
  <c r="K65" i="4"/>
  <c r="K2224" i="4"/>
  <c r="K249" i="4"/>
  <c r="K1111" i="4"/>
  <c r="K658" i="4"/>
  <c r="K27" i="4"/>
  <c r="K20" i="4"/>
  <c r="K2096" i="4"/>
  <c r="K2292" i="4"/>
  <c r="K2257" i="4"/>
  <c r="K1612" i="4"/>
  <c r="K814" i="4"/>
  <c r="K545" i="4"/>
  <c r="K812" i="4"/>
  <c r="K717" i="4"/>
  <c r="K606" i="4"/>
  <c r="K2589" i="4"/>
  <c r="K2295" i="4"/>
  <c r="K1385" i="4"/>
  <c r="K225" i="4"/>
  <c r="K391" i="4"/>
  <c r="K2095" i="4"/>
  <c r="K1764" i="4"/>
  <c r="K1173" i="4"/>
  <c r="K286" i="4"/>
  <c r="K519" i="4"/>
  <c r="K1603" i="4"/>
  <c r="K87" i="4"/>
  <c r="K310" i="4"/>
  <c r="K1630" i="4"/>
  <c r="K2045" i="4"/>
  <c r="K2457" i="4"/>
  <c r="K1189" i="4"/>
  <c r="K506" i="4"/>
  <c r="K1082" i="4"/>
  <c r="K306" i="4"/>
  <c r="K1766" i="4"/>
  <c r="K1145" i="4"/>
  <c r="K583" i="4"/>
  <c r="K985" i="4"/>
  <c r="K959" i="4"/>
  <c r="K1132" i="4"/>
  <c r="K57" i="4"/>
  <c r="K575" i="4"/>
  <c r="K1792" i="4"/>
  <c r="K2309" i="4"/>
  <c r="K2249" i="4"/>
  <c r="K1884" i="4"/>
  <c r="K497" i="4"/>
  <c r="K911" i="4"/>
  <c r="K723" i="4"/>
  <c r="K1424" i="4"/>
  <c r="K418" i="4"/>
  <c r="K1323" i="4"/>
  <c r="K263" i="4"/>
  <c r="K1855" i="4"/>
  <c r="K1351" i="4"/>
  <c r="K325" i="4"/>
  <c r="K770" i="4"/>
  <c r="K2230" i="4"/>
  <c r="K2127" i="4"/>
  <c r="K2534" i="4"/>
  <c r="K469" i="4"/>
  <c r="K2204" i="4"/>
  <c r="K219" i="4"/>
  <c r="K472" i="4"/>
  <c r="K442" i="4"/>
  <c r="K1894" i="4"/>
  <c r="K201" i="4"/>
  <c r="K589" i="4"/>
  <c r="K1982" i="4"/>
  <c r="K1355" i="4"/>
  <c r="K1554" i="4"/>
  <c r="K1468" i="4"/>
  <c r="K715" i="4"/>
  <c r="K682" i="4"/>
  <c r="K1011" i="4"/>
  <c r="K1834" i="4"/>
  <c r="K304" i="4"/>
  <c r="K1549" i="4"/>
  <c r="K228" i="4"/>
  <c r="K1727" i="4"/>
  <c r="K1494" i="4"/>
  <c r="K712" i="4"/>
  <c r="K1878" i="4"/>
  <c r="K1096" i="4"/>
  <c r="K158" i="4"/>
  <c r="K441" i="4"/>
  <c r="K1919" i="4"/>
  <c r="K2277" i="4"/>
  <c r="K671" i="4"/>
  <c r="K1745" i="4"/>
  <c r="K820" i="4"/>
  <c r="K1981" i="4"/>
  <c r="K1493" i="4"/>
  <c r="K1271" i="4"/>
  <c r="K852" i="4"/>
  <c r="K1632" i="4"/>
  <c r="K297" i="4"/>
  <c r="K181" i="4"/>
  <c r="K516" i="4"/>
  <c r="K73" i="4"/>
  <c r="K896" i="4"/>
  <c r="K227" i="4"/>
  <c r="K816" i="4"/>
  <c r="K594" i="4"/>
  <c r="K128" i="4"/>
  <c r="K540" i="4"/>
  <c r="K431" i="4"/>
  <c r="K1142" i="4"/>
  <c r="K2148" i="4"/>
  <c r="K448" i="4"/>
  <c r="K1969" i="4"/>
  <c r="K810" i="4"/>
  <c r="K43" i="4"/>
  <c r="K1432" i="4"/>
  <c r="K240" i="4"/>
  <c r="K1789" i="4"/>
  <c r="K1733" i="4"/>
  <c r="K1967" i="4"/>
  <c r="K2402" i="4"/>
  <c r="K1604" i="4"/>
  <c r="K721" i="4"/>
  <c r="K803" i="4"/>
  <c r="K511" i="4"/>
  <c r="K393" i="4"/>
  <c r="K2307" i="4"/>
  <c r="K1723" i="4"/>
  <c r="K603" i="4"/>
  <c r="K1793" i="4"/>
  <c r="K1886" i="4"/>
  <c r="K2505" i="4"/>
  <c r="K1497" i="4"/>
  <c r="K1341" i="4"/>
  <c r="K1820" i="4"/>
  <c r="K806" i="4"/>
  <c r="K643" i="4"/>
  <c r="K400" i="4"/>
  <c r="K462" i="4"/>
  <c r="K799" i="4"/>
  <c r="K2344" i="4"/>
  <c r="K836" i="4"/>
  <c r="K144" i="4"/>
  <c r="K2514" i="4"/>
  <c r="K2179" i="4"/>
  <c r="K2104" i="4"/>
  <c r="K1121" i="4"/>
  <c r="K1295" i="4"/>
  <c r="K2456" i="4"/>
  <c r="K2164" i="4"/>
  <c r="K2574" i="4"/>
  <c r="K1572" i="4"/>
  <c r="K1006" i="4"/>
  <c r="K600" i="4"/>
  <c r="K2340" i="4"/>
  <c r="K1638" i="4"/>
  <c r="K2152" i="4"/>
  <c r="K1618" i="4"/>
  <c r="K1409" i="4"/>
  <c r="K377" i="4"/>
  <c r="K1922" i="4"/>
  <c r="K856" i="4"/>
  <c r="K155" i="4"/>
  <c r="K622" i="4"/>
  <c r="K2355" i="4"/>
  <c r="K889" i="4"/>
  <c r="K1007" i="4"/>
  <c r="K2020" i="4"/>
  <c r="K960" i="4"/>
  <c r="K1449" i="4"/>
  <c r="K1877" i="4"/>
  <c r="K668" i="4"/>
  <c r="K41" i="4"/>
  <c r="K186" i="4"/>
  <c r="K2513" i="4"/>
  <c r="K679" i="4"/>
  <c r="K2441" i="4"/>
  <c r="K2568" i="4"/>
  <c r="K100" i="4"/>
  <c r="K2540" i="4"/>
  <c r="K1406" i="4"/>
  <c r="K159" i="4"/>
  <c r="K652" i="4"/>
  <c r="K210" i="4"/>
  <c r="K106" i="4"/>
  <c r="K2317" i="4"/>
  <c r="K2404" i="4"/>
  <c r="K167" i="4"/>
  <c r="K834" i="4"/>
  <c r="K44" i="4"/>
  <c r="K170" i="4"/>
  <c r="K1273" i="4"/>
  <c r="K2536" i="4"/>
  <c r="K2512" i="4"/>
  <c r="K1938" i="4"/>
  <c r="K757" i="4"/>
  <c r="K2434" i="4"/>
  <c r="K1104" i="4"/>
  <c r="K2517" i="4"/>
  <c r="K1666" i="4"/>
  <c r="K1237" i="4"/>
  <c r="K1563" i="4"/>
  <c r="K887" i="4"/>
  <c r="K824" i="4"/>
  <c r="K267" i="4"/>
  <c r="K163" i="4"/>
  <c r="K474" i="4"/>
  <c r="K72" i="4"/>
  <c r="K2105" i="4"/>
  <c r="K740" i="4"/>
  <c r="K769" i="4"/>
  <c r="K1374" i="4"/>
  <c r="K183" i="4"/>
  <c r="K957" i="4"/>
  <c r="K2615" i="4"/>
  <c r="K2508" i="4"/>
  <c r="K1366" i="4"/>
  <c r="K232" i="4"/>
  <c r="K319" i="4"/>
  <c r="K1823" i="4"/>
  <c r="K2312" i="4"/>
  <c r="K1462" i="4"/>
  <c r="K892" i="4"/>
  <c r="K784" i="4"/>
  <c r="K2449" i="4"/>
  <c r="K2114" i="4"/>
  <c r="K403" i="4"/>
  <c r="K1212" i="4"/>
  <c r="K1782" i="4"/>
  <c r="K1447" i="4"/>
  <c r="K1552" i="4"/>
  <c r="K890" i="4"/>
  <c r="K1496" i="4"/>
  <c r="K2356" i="4"/>
  <c r="K1817" i="4"/>
  <c r="K1873" i="4"/>
  <c r="K452" i="4"/>
  <c r="K2397" i="4"/>
  <c r="K165" i="4"/>
  <c r="K1601" i="4"/>
  <c r="K466" i="4"/>
  <c r="K525" i="4"/>
  <c r="K2450" i="4"/>
  <c r="K475" i="4"/>
  <c r="K538" i="4"/>
  <c r="K823" i="4"/>
  <c r="K508" i="4"/>
  <c r="K1508" i="4"/>
  <c r="K2595" i="4"/>
  <c r="K1742" i="4"/>
  <c r="K1770" i="4"/>
  <c r="K1839" i="4"/>
  <c r="K311" i="4"/>
  <c r="K2372" i="4"/>
  <c r="K2547" i="4"/>
  <c r="K2581" i="4"/>
  <c r="K1192" i="4"/>
  <c r="K1074" i="4"/>
  <c r="K1083" i="4"/>
  <c r="K541" i="4"/>
  <c r="K2563" i="4"/>
  <c r="K1098" i="4"/>
  <c r="K1138" i="4"/>
  <c r="K897" i="4"/>
  <c r="K2034" i="4"/>
  <c r="K2300" i="4"/>
  <c r="K1648" i="4"/>
  <c r="K807" i="4"/>
  <c r="K380" i="4"/>
  <c r="K732" i="4"/>
  <c r="K1076" i="4"/>
  <c r="K667" i="4"/>
  <c r="K2026" i="4"/>
  <c r="K177" i="4"/>
  <c r="K1541" i="4"/>
  <c r="K1681" i="4"/>
  <c r="K375" i="4"/>
  <c r="K2153" i="4"/>
  <c r="K2213" i="4"/>
  <c r="K1888" i="4"/>
  <c r="K1112" i="4"/>
  <c r="K2433" i="4"/>
  <c r="K1375" i="4"/>
  <c r="K1581" i="4"/>
  <c r="K1872" i="4"/>
  <c r="K1335" i="4"/>
  <c r="H1388" i="4"/>
  <c r="K1388" i="4"/>
  <c r="H1261" i="4"/>
  <c r="K1261" i="4"/>
  <c r="H2444" i="4"/>
  <c r="K2444" i="4"/>
  <c r="H561" i="4"/>
  <c r="K561" i="4"/>
  <c r="H206" i="4"/>
  <c r="K206" i="4"/>
  <c r="H2009" i="4"/>
  <c r="K2009" i="4"/>
  <c r="H2391" i="4"/>
  <c r="K2391" i="4"/>
  <c r="H2331" i="4"/>
  <c r="K2331" i="4"/>
  <c r="H2171" i="4"/>
  <c r="K2171" i="4"/>
  <c r="H2015" i="4"/>
  <c r="K2015" i="4"/>
  <c r="H1934" i="4"/>
  <c r="K1934" i="4"/>
  <c r="H1479" i="4"/>
  <c r="K1479" i="4"/>
  <c r="H1300" i="4"/>
  <c r="K1300" i="4"/>
  <c r="H1105" i="4"/>
  <c r="K1105" i="4"/>
  <c r="H1218" i="4"/>
  <c r="K1218" i="4"/>
  <c r="H102" i="4"/>
  <c r="K102" i="4"/>
  <c r="H307" i="4"/>
  <c r="K307" i="4"/>
  <c r="H2077" i="4"/>
  <c r="K2077" i="4"/>
  <c r="H1768" i="4"/>
  <c r="K1768" i="4"/>
  <c r="H386" i="4"/>
  <c r="K386" i="4"/>
  <c r="H18" i="4"/>
  <c r="K18" i="4"/>
  <c r="H2210" i="4"/>
  <c r="K2210" i="4"/>
  <c r="H1637" i="4"/>
  <c r="K1637" i="4"/>
  <c r="H1146" i="4"/>
  <c r="K1146" i="4"/>
  <c r="H858" i="4"/>
  <c r="K858" i="4"/>
  <c r="H1488" i="4"/>
  <c r="K1488" i="4"/>
  <c r="H2609" i="4"/>
  <c r="K2609" i="4"/>
  <c r="K2560" i="4"/>
  <c r="K2544" i="4"/>
  <c r="K1097" i="4"/>
  <c r="K1912" i="4"/>
  <c r="K1961" i="4"/>
  <c r="K2396" i="4"/>
  <c r="K2086" i="4"/>
  <c r="K1615" i="4"/>
  <c r="K1849" i="4"/>
  <c r="K1573" i="4"/>
  <c r="K220" i="4"/>
  <c r="K2007" i="4"/>
  <c r="K1616" i="4"/>
  <c r="K2181" i="4"/>
  <c r="K1997" i="4"/>
  <c r="K687" i="4"/>
  <c r="K222" i="4"/>
  <c r="K2252" i="4"/>
  <c r="K1551" i="4"/>
  <c r="K2538" i="4"/>
  <c r="K1675" i="4"/>
  <c r="H1503" i="4"/>
  <c r="K1503" i="4"/>
  <c r="H196" i="4"/>
  <c r="K196" i="4"/>
  <c r="H1702" i="4"/>
  <c r="K1702" i="4"/>
  <c r="H2545" i="4"/>
  <c r="K2545" i="4"/>
  <c r="H1653" i="4"/>
  <c r="K1653" i="4"/>
  <c r="H1367" i="4"/>
  <c r="K1367" i="4"/>
  <c r="H1064" i="4"/>
  <c r="K1064" i="4"/>
  <c r="H884" i="4"/>
  <c r="K884" i="4"/>
  <c r="H706" i="4"/>
  <c r="K706" i="4"/>
  <c r="H579" i="4"/>
  <c r="K579" i="4"/>
  <c r="H854" i="4"/>
  <c r="K854" i="4"/>
  <c r="H2539" i="4"/>
  <c r="K2539" i="4"/>
  <c r="H1208" i="4"/>
  <c r="K1208" i="4"/>
  <c r="H329" i="4"/>
  <c r="K329" i="4"/>
  <c r="H2597" i="4"/>
  <c r="K2597" i="4"/>
  <c r="H2120" i="4"/>
  <c r="K2120" i="4"/>
  <c r="H1806" i="4"/>
  <c r="K1806" i="4"/>
  <c r="H1710" i="4"/>
  <c r="K1710" i="4"/>
  <c r="H1095" i="4"/>
  <c r="K1095" i="4"/>
  <c r="H628" i="4"/>
  <c r="K628" i="4"/>
  <c r="H1122" i="4"/>
  <c r="K1122" i="4"/>
  <c r="H260" i="4"/>
  <c r="K260" i="4"/>
  <c r="H2195" i="4"/>
  <c r="K2195" i="4"/>
  <c r="H362" i="4"/>
  <c r="K362" i="4"/>
  <c r="H2274" i="4"/>
  <c r="K2274" i="4"/>
  <c r="H708" i="4"/>
  <c r="K708" i="4"/>
  <c r="H2478" i="4"/>
  <c r="K2478" i="4"/>
  <c r="H2577" i="4"/>
  <c r="K2577" i="4"/>
  <c r="H2214" i="4"/>
  <c r="K2214" i="4"/>
  <c r="H1995" i="4"/>
  <c r="K1995" i="4"/>
  <c r="H1634" i="4"/>
  <c r="K1634" i="4"/>
  <c r="H1457" i="4"/>
  <c r="K1457" i="4"/>
  <c r="H1018" i="4"/>
  <c r="K1018" i="4"/>
  <c r="H1089" i="4"/>
  <c r="K1089" i="4"/>
  <c r="H863" i="4"/>
  <c r="K863" i="4"/>
  <c r="H748" i="4"/>
  <c r="K748" i="4"/>
  <c r="H1979" i="4"/>
  <c r="K1979" i="4"/>
  <c r="H1529" i="4"/>
  <c r="K1529" i="4"/>
  <c r="H313" i="4"/>
  <c r="K313" i="4"/>
  <c r="H2546" i="4"/>
  <c r="K2546" i="4"/>
  <c r="H2531" i="4"/>
  <c r="K2531" i="4"/>
  <c r="H2244" i="4"/>
  <c r="K2244" i="4"/>
  <c r="H2021" i="4"/>
  <c r="K2021" i="4"/>
  <c r="H1926" i="4"/>
  <c r="K1926" i="4"/>
  <c r="H1948" i="4"/>
  <c r="K1948" i="4"/>
  <c r="H1183" i="4"/>
  <c r="K1183" i="4"/>
  <c r="H1055" i="4"/>
  <c r="K1055" i="4"/>
  <c r="H713" i="4"/>
  <c r="K713" i="4"/>
  <c r="H300" i="4"/>
  <c r="K300" i="4"/>
  <c r="H321" i="4"/>
  <c r="K321" i="4"/>
  <c r="K125" i="4"/>
  <c r="K1391" i="4"/>
  <c r="K2289" i="4"/>
  <c r="K2323" i="4"/>
  <c r="K1516" i="4"/>
  <c r="K344" i="4"/>
  <c r="K1729" i="4"/>
  <c r="K1438" i="4"/>
  <c r="K1538" i="4"/>
  <c r="K571" i="4"/>
  <c r="K367" i="4"/>
  <c r="K906" i="4"/>
  <c r="K2348" i="4"/>
  <c r="K2008" i="4"/>
  <c r="K1824" i="4"/>
  <c r="K25" i="4"/>
  <c r="K1119" i="4"/>
  <c r="K409" i="4"/>
  <c r="K1398" i="4"/>
  <c r="K1246" i="4"/>
  <c r="K871" i="4"/>
  <c r="K849" i="4"/>
  <c r="K532" i="4"/>
  <c r="K2187" i="4"/>
  <c r="K1925" i="4"/>
  <c r="K885" i="4"/>
  <c r="K138" i="4"/>
  <c r="K2110" i="4"/>
  <c r="K1639" i="4"/>
  <c r="K578" i="4"/>
  <c r="K484" i="4"/>
  <c r="K1473" i="4"/>
  <c r="K741" i="4"/>
  <c r="K205" i="4"/>
  <c r="K531" i="4"/>
  <c r="H406" i="4"/>
  <c r="K406" i="4"/>
  <c r="H1623" i="4"/>
  <c r="K1623" i="4"/>
  <c r="H174" i="4"/>
  <c r="K174" i="4"/>
  <c r="H1277" i="4"/>
  <c r="K1277" i="4"/>
  <c r="H1327" i="4"/>
  <c r="K1327" i="4"/>
  <c r="H695" i="4"/>
  <c r="K695" i="4"/>
  <c r="H2071" i="4"/>
  <c r="K2071" i="4"/>
  <c r="H198" i="4"/>
  <c r="K198" i="4"/>
  <c r="H2370" i="4"/>
  <c r="K2370" i="4"/>
  <c r="H1613" i="4"/>
  <c r="K1613" i="4"/>
  <c r="H2017" i="4"/>
  <c r="K2017" i="4"/>
  <c r="H2476" i="4"/>
  <c r="K2476" i="4"/>
  <c r="H2347" i="4"/>
  <c r="K2347" i="4"/>
  <c r="H2157" i="4"/>
  <c r="K2157" i="4"/>
  <c r="H1985" i="4"/>
  <c r="K1985" i="4"/>
  <c r="H1953" i="4"/>
  <c r="K1953" i="4"/>
  <c r="H1537" i="4"/>
  <c r="K1537" i="4"/>
  <c r="H1120" i="4"/>
  <c r="K1120" i="4"/>
  <c r="H1260" i="4"/>
  <c r="K1260" i="4"/>
  <c r="H396" i="4"/>
  <c r="K396" i="4"/>
  <c r="H280" i="4"/>
  <c r="K280" i="4"/>
  <c r="H2291" i="4"/>
  <c r="K2291" i="4"/>
  <c r="H1574" i="4"/>
  <c r="K1574" i="4"/>
  <c r="H716" i="4"/>
  <c r="K716" i="4"/>
  <c r="H2503" i="4"/>
  <c r="K2503" i="4"/>
  <c r="H2559" i="4"/>
  <c r="K2559" i="4"/>
  <c r="H2439" i="4"/>
  <c r="K2439" i="4"/>
  <c r="H2313" i="4"/>
  <c r="K2313" i="4"/>
  <c r="H2101" i="4"/>
  <c r="K2101" i="4"/>
  <c r="H1705" i="4"/>
  <c r="K1705" i="4"/>
  <c r="H1567" i="4"/>
  <c r="K1567" i="4"/>
  <c r="H937" i="4"/>
  <c r="K937" i="4"/>
  <c r="H930" i="4"/>
  <c r="K930" i="4"/>
  <c r="H2306" i="4"/>
  <c r="K2306" i="4"/>
  <c r="H2590" i="4"/>
  <c r="K2590" i="4"/>
  <c r="H2477" i="4"/>
  <c r="K2477" i="4"/>
  <c r="H2032" i="4"/>
  <c r="K2032" i="4"/>
  <c r="H1282" i="4"/>
  <c r="K1282" i="4"/>
  <c r="H1545" i="4"/>
  <c r="K1545" i="4"/>
  <c r="H1010" i="4"/>
  <c r="K1010" i="4"/>
  <c r="H999" i="4"/>
  <c r="K999" i="4"/>
  <c r="H274" i="4"/>
  <c r="K274" i="4"/>
  <c r="H61" i="4"/>
  <c r="K61" i="4"/>
  <c r="H633" i="4"/>
  <c r="K633" i="4"/>
  <c r="H470" i="4"/>
  <c r="K470" i="4"/>
  <c r="H97" i="4"/>
  <c r="K97" i="4"/>
  <c r="H528" i="4"/>
  <c r="K528" i="4"/>
  <c r="H52" i="4"/>
  <c r="K52" i="4"/>
  <c r="H168" i="4"/>
  <c r="K168" i="4"/>
  <c r="H869" i="4"/>
  <c r="K869" i="4"/>
  <c r="H390" i="4"/>
  <c r="K390" i="4"/>
  <c r="H764" i="4"/>
  <c r="K764" i="4"/>
  <c r="H826" i="4"/>
  <c r="K826" i="4"/>
  <c r="H756" i="4"/>
  <c r="K756" i="4"/>
  <c r="H350" i="4"/>
  <c r="K350" i="4"/>
  <c r="H743" i="4"/>
  <c r="K743" i="4"/>
  <c r="H555" i="4"/>
  <c r="K555" i="4"/>
  <c r="H1078" i="4"/>
  <c r="K1078" i="4"/>
  <c r="H755" i="4"/>
  <c r="K755" i="4"/>
  <c r="H510" i="4"/>
  <c r="K510" i="4"/>
  <c r="H1205" i="4"/>
  <c r="K1205" i="4"/>
  <c r="H544" i="4"/>
  <c r="K544" i="4"/>
  <c r="H968" i="4"/>
  <c r="K968" i="4"/>
  <c r="H549" i="4"/>
  <c r="K549" i="4"/>
  <c r="H1386" i="4"/>
  <c r="K1386" i="4"/>
  <c r="H1060" i="4"/>
  <c r="K1060" i="4"/>
  <c r="H1188" i="4"/>
  <c r="K1188" i="4"/>
  <c r="H1336" i="4"/>
  <c r="K1336" i="4"/>
  <c r="H1453" i="4"/>
  <c r="K1453" i="4"/>
  <c r="H1019" i="4"/>
  <c r="K1019" i="4"/>
  <c r="H1579" i="4"/>
  <c r="K1579" i="4"/>
  <c r="H1280" i="4"/>
  <c r="K1280" i="4"/>
  <c r="H1308" i="4"/>
  <c r="K1308" i="4"/>
  <c r="H1338" i="4"/>
  <c r="K1338" i="4"/>
  <c r="H1297" i="4"/>
  <c r="K1297" i="4"/>
  <c r="H1381" i="4"/>
  <c r="K1381" i="4"/>
  <c r="H1915" i="4"/>
  <c r="K1915" i="4"/>
  <c r="H1914" i="4"/>
  <c r="K1914" i="4"/>
  <c r="H1314" i="4"/>
  <c r="K1314" i="4"/>
  <c r="H1459" i="4"/>
  <c r="K1459" i="4"/>
  <c r="H1661" i="4"/>
  <c r="K1661" i="4"/>
  <c r="H1779" i="4"/>
  <c r="K1779" i="4"/>
  <c r="H1971" i="4"/>
  <c r="K1971" i="4"/>
  <c r="H1844" i="4"/>
  <c r="K1844" i="4"/>
  <c r="H1749" i="4"/>
  <c r="K1749" i="4"/>
  <c r="H2154" i="4"/>
  <c r="K2154" i="4"/>
  <c r="H2129" i="4"/>
  <c r="K2129" i="4"/>
  <c r="H2335" i="4"/>
  <c r="K2335" i="4"/>
  <c r="H2237" i="4"/>
  <c r="K2237" i="4"/>
  <c r="H2572" i="4"/>
  <c r="K2572" i="4"/>
  <c r="H2411" i="4"/>
  <c r="K2411" i="4"/>
  <c r="H2435" i="4"/>
  <c r="K2435" i="4"/>
  <c r="E18" i="8"/>
  <c r="G18" i="8" s="1"/>
  <c r="L18" i="8"/>
  <c r="H2416" i="4"/>
  <c r="K2416" i="4"/>
  <c r="H2480" i="4"/>
  <c r="K2480" i="4"/>
  <c r="H2557" i="4"/>
  <c r="K2557" i="4"/>
  <c r="E46" i="8"/>
  <c r="G46" i="8" s="1"/>
  <c r="L46" i="8"/>
  <c r="E26" i="8"/>
  <c r="G26" i="8" s="1"/>
  <c r="L26" i="8"/>
  <c r="E29" i="9"/>
  <c r="G29" i="9" s="1"/>
  <c r="L29" i="9"/>
  <c r="L22" i="8"/>
  <c r="E22" i="8"/>
  <c r="G22" i="8" s="1"/>
  <c r="D13" i="14"/>
  <c r="D7" i="11"/>
  <c r="E7" i="11" s="1"/>
  <c r="F7" i="11" s="1"/>
  <c r="H7" i="11" s="1"/>
  <c r="E43" i="9"/>
  <c r="G43" i="9" s="1"/>
  <c r="L43" i="9"/>
  <c r="E29" i="8"/>
  <c r="G29" i="8" s="1"/>
  <c r="L29" i="8"/>
  <c r="E53" i="8"/>
  <c r="G53" i="8" s="1"/>
  <c r="L53" i="8"/>
  <c r="E35" i="8"/>
  <c r="G35" i="8" s="1"/>
  <c r="L35" i="8"/>
  <c r="E53" i="9"/>
  <c r="G53" i="9" s="1"/>
  <c r="L53" i="9"/>
  <c r="L36" i="9"/>
  <c r="E36" i="9"/>
  <c r="G36" i="9" s="1"/>
  <c r="L37" i="9"/>
  <c r="E37" i="9"/>
  <c r="G37" i="9" s="1"/>
  <c r="L42" i="9"/>
  <c r="E42" i="9"/>
  <c r="G42" i="9" s="1"/>
  <c r="E59" i="9"/>
  <c r="G59" i="9" s="1"/>
  <c r="L59" i="9"/>
  <c r="B18" i="10"/>
  <c r="F10" i="15"/>
  <c r="K618" i="4"/>
  <c r="H945" i="4"/>
  <c r="K945" i="4"/>
  <c r="H481" i="4"/>
  <c r="K481" i="4"/>
  <c r="H1486" i="4"/>
  <c r="K1486" i="4"/>
  <c r="H1958" i="4"/>
  <c r="K1958" i="4"/>
  <c r="H457" i="4"/>
  <c r="K457" i="4"/>
  <c r="H1825" i="4"/>
  <c r="K1825" i="4"/>
  <c r="H290" i="4"/>
  <c r="K290" i="4"/>
  <c r="K1278" i="4"/>
  <c r="K1284" i="4"/>
  <c r="K2062" i="4"/>
  <c r="K554" i="4"/>
  <c r="K1901" i="4"/>
  <c r="K1071" i="4"/>
  <c r="K588" i="4"/>
  <c r="K2022" i="4"/>
  <c r="K1959" i="4"/>
  <c r="K2203" i="4"/>
  <c r="K938" i="4"/>
  <c r="K1861" i="4"/>
  <c r="K2485" i="4"/>
  <c r="K931" i="4"/>
  <c r="K577" i="4"/>
  <c r="K1881" i="4"/>
  <c r="K526" i="4"/>
  <c r="K2523" i="4"/>
  <c r="H859" i="4"/>
  <c r="K859" i="4"/>
  <c r="H239" i="4"/>
  <c r="K239" i="4"/>
  <c r="H371" i="4"/>
  <c r="K371" i="4"/>
  <c r="H2018" i="4"/>
  <c r="K2018" i="4"/>
  <c r="H343" i="4"/>
  <c r="K343" i="4"/>
  <c r="H913" i="4"/>
  <c r="K913" i="4"/>
  <c r="H2369" i="4"/>
  <c r="K2369" i="4"/>
  <c r="H1299" i="4"/>
  <c r="K1299" i="4"/>
  <c r="K1136" i="4"/>
  <c r="K1500" i="4"/>
  <c r="K1530" i="4"/>
  <c r="K2242" i="4"/>
  <c r="K487" i="4"/>
  <c r="K492" i="4"/>
  <c r="K1502" i="4"/>
  <c r="K1478" i="4"/>
  <c r="K80" i="4"/>
  <c r="K236" i="4"/>
  <c r="K1986" i="4"/>
  <c r="K2387" i="4"/>
  <c r="K1957" i="4"/>
  <c r="K2399" i="4"/>
  <c r="K984" i="4"/>
  <c r="K1434" i="4"/>
  <c r="K1485" i="4"/>
  <c r="K1383" i="4"/>
  <c r="K613" i="4"/>
  <c r="K2283" i="4"/>
  <c r="K582" i="4"/>
  <c r="K2238" i="4"/>
  <c r="K1268" i="4"/>
  <c r="K69" i="4"/>
  <c r="K1062" i="4"/>
  <c r="K2169" i="4"/>
  <c r="K1973" i="4"/>
  <c r="K1750" i="4"/>
  <c r="K402" i="4"/>
  <c r="H2549" i="4"/>
  <c r="K2549" i="4"/>
  <c r="H422" i="4"/>
  <c r="K422" i="4"/>
  <c r="H2569" i="4"/>
  <c r="K2569" i="4"/>
  <c r="H2258" i="4"/>
  <c r="K2258" i="4"/>
  <c r="H1862" i="4"/>
  <c r="K1862" i="4"/>
  <c r="H1422" i="4"/>
  <c r="K1422" i="4"/>
  <c r="H1452" i="4"/>
  <c r="K1452" i="4"/>
  <c r="H108" i="4"/>
  <c r="K108" i="4"/>
  <c r="H1664" i="4"/>
  <c r="K1664" i="4"/>
  <c r="H543" i="4"/>
  <c r="K543" i="4"/>
  <c r="H289" i="4"/>
  <c r="K289" i="4"/>
  <c r="K727" i="4"/>
  <c r="K2070" i="4"/>
  <c r="K634" i="4"/>
  <c r="K726" i="4"/>
  <c r="K1081" i="4"/>
  <c r="K135" i="4"/>
  <c r="K537" i="4"/>
  <c r="K1361" i="4"/>
  <c r="K781" i="4"/>
  <c r="K388" i="4"/>
  <c r="K1474" i="4"/>
  <c r="K142" i="4"/>
  <c r="K1880" i="4"/>
  <c r="K1058" i="4"/>
  <c r="K518" i="4"/>
  <c r="K838" i="4"/>
  <c r="K1955" i="4"/>
  <c r="L30" i="8"/>
  <c r="E30" i="8"/>
  <c r="G30" i="8" s="1"/>
  <c r="E17" i="9"/>
  <c r="G17" i="9" s="1"/>
  <c r="L17" i="9"/>
  <c r="E36" i="8"/>
  <c r="G36" i="8" s="1"/>
  <c r="L36" i="8"/>
  <c r="E34" i="9"/>
  <c r="G34" i="9" s="1"/>
  <c r="L34" i="9"/>
  <c r="E23" i="8"/>
  <c r="G23" i="8" s="1"/>
  <c r="L23" i="8"/>
  <c r="E49" i="8"/>
  <c r="G49" i="8" s="1"/>
  <c r="L49" i="8"/>
  <c r="E50" i="9"/>
  <c r="G50" i="9" s="1"/>
  <c r="L50" i="9"/>
  <c r="E37" i="8"/>
  <c r="G37" i="8" s="1"/>
  <c r="L37" i="8"/>
  <c r="H4" i="14"/>
  <c r="K6" i="5"/>
  <c r="M6" i="5"/>
  <c r="E15" i="9"/>
  <c r="G15" i="9" s="1"/>
  <c r="L15" i="9"/>
  <c r="L54" i="8"/>
  <c r="E54" i="8"/>
  <c r="G54" i="8" s="1"/>
  <c r="E39" i="9"/>
  <c r="G39" i="9" s="1"/>
  <c r="L39" i="9"/>
  <c r="E60" i="9"/>
  <c r="G60" i="9" s="1"/>
  <c r="L60" i="9"/>
  <c r="K624" i="4"/>
  <c r="K704" i="4"/>
  <c r="K352" i="4"/>
  <c r="K2556" i="4"/>
  <c r="K993" i="4"/>
  <c r="K1763" i="4"/>
  <c r="K2403" i="4"/>
  <c r="K1352" i="4"/>
  <c r="K2541" i="4"/>
  <c r="K2374" i="4"/>
  <c r="K2199" i="4"/>
  <c r="K2149" i="4"/>
  <c r="K2124" i="4"/>
  <c r="K2108" i="4"/>
  <c r="K1765" i="4"/>
  <c r="K1852" i="4"/>
  <c r="K1325" i="4"/>
  <c r="K1555" i="4"/>
  <c r="K1933" i="4"/>
  <c r="K1506" i="4"/>
  <c r="K1023" i="4"/>
  <c r="K1207" i="4"/>
  <c r="K813" i="4"/>
  <c r="K790" i="4"/>
  <c r="K520" i="4"/>
  <c r="K37" i="4"/>
  <c r="K105" i="4"/>
  <c r="K1883" i="4"/>
  <c r="K2454" i="4"/>
  <c r="K95" i="4"/>
  <c r="K1387" i="4"/>
  <c r="K567" i="4"/>
  <c r="K2058" i="4"/>
  <c r="K2271" i="4"/>
  <c r="K1085" i="4"/>
  <c r="K1333" i="4"/>
  <c r="K788" i="4"/>
  <c r="K361" i="4"/>
  <c r="K79" i="4"/>
  <c r="K851" i="4"/>
  <c r="K2452" i="4"/>
  <c r="K1077" i="4"/>
  <c r="K982" i="4"/>
  <c r="K1134" i="4"/>
  <c r="K353" i="4"/>
  <c r="K498" i="4"/>
  <c r="E42" i="8"/>
  <c r="G42" i="8" s="1"/>
  <c r="L42" i="8"/>
  <c r="E14" i="8"/>
  <c r="G14" i="8" s="1"/>
  <c r="L14" i="8"/>
  <c r="E45" i="8"/>
  <c r="G45" i="8" s="1"/>
  <c r="L45" i="8"/>
  <c r="E63" i="9"/>
  <c r="G63" i="9" s="1"/>
  <c r="L63" i="9"/>
  <c r="E45" i="9"/>
  <c r="G45" i="9" s="1"/>
  <c r="L45" i="9"/>
  <c r="L33" i="8"/>
  <c r="E33" i="8"/>
  <c r="G33" i="8" s="1"/>
  <c r="L58" i="8"/>
  <c r="E58" i="8"/>
  <c r="G58" i="8" s="1"/>
  <c r="E52" i="9"/>
  <c r="G52" i="9" s="1"/>
  <c r="L52" i="9"/>
  <c r="E50" i="8"/>
  <c r="G50" i="8" s="1"/>
  <c r="L50" i="8"/>
  <c r="L16" i="8"/>
  <c r="E16" i="8"/>
  <c r="G16" i="8" s="1"/>
  <c r="E31" i="9"/>
  <c r="G31" i="9" s="1"/>
  <c r="L31" i="9"/>
  <c r="E20" i="9"/>
  <c r="G20" i="9" s="1"/>
  <c r="L20" i="9"/>
  <c r="L40" i="9"/>
  <c r="E40" i="9"/>
  <c r="G40" i="9" s="1"/>
  <c r="E61" i="9"/>
  <c r="G61" i="9" s="1"/>
  <c r="L61" i="9"/>
  <c r="L25" i="9"/>
  <c r="E25" i="9"/>
  <c r="G25" i="9" s="1"/>
  <c r="K2537" i="4"/>
  <c r="K2322" i="4"/>
  <c r="K1706" i="4"/>
  <c r="K530" i="4"/>
  <c r="K1026" i="4"/>
  <c r="K229" i="4"/>
  <c r="K1927" i="4"/>
  <c r="K2268" i="4"/>
  <c r="K765" i="4"/>
  <c r="K709" i="4"/>
  <c r="K169" i="4"/>
  <c r="K1987" i="4"/>
  <c r="K2488" i="4"/>
  <c r="K2392" i="4"/>
  <c r="K1889" i="4"/>
  <c r="K1716" i="4"/>
  <c r="K1687" i="4"/>
  <c r="K701" i="4"/>
  <c r="K629" i="4"/>
  <c r="K698" i="4"/>
  <c r="K316" i="4"/>
  <c r="K653" i="4"/>
  <c r="K192" i="4"/>
  <c r="K133" i="4"/>
  <c r="K202" i="4"/>
  <c r="K1283" i="4"/>
  <c r="K2010" i="4"/>
  <c r="K2364" i="4"/>
  <c r="K663" i="4"/>
  <c r="K970" i="4"/>
  <c r="K963" i="4"/>
  <c r="K1870" i="4"/>
  <c r="K2594" i="4"/>
  <c r="K315" i="4"/>
  <c r="K1582" i="4"/>
  <c r="K237" i="4"/>
  <c r="K188" i="4"/>
  <c r="K101" i="4"/>
  <c r="K146" i="4"/>
  <c r="K1846" i="4"/>
  <c r="K1431" i="4"/>
  <c r="K19" i="4"/>
  <c r="K1113" i="4"/>
  <c r="K1311" i="4"/>
  <c r="K32" i="4"/>
  <c r="K1674" i="4"/>
  <c r="K780" i="4"/>
  <c r="K2555" i="4"/>
  <c r="K1548" i="4"/>
  <c r="K2165" i="4"/>
  <c r="K1226" i="4"/>
  <c r="K261" i="4"/>
  <c r="K523" i="4"/>
  <c r="K337" i="4"/>
  <c r="K967" i="4"/>
  <c r="K746" i="4"/>
  <c r="K1565" i="4"/>
  <c r="E17" i="8"/>
  <c r="G17" i="8" s="1"/>
  <c r="L17" i="8"/>
  <c r="L41" i="8"/>
  <c r="E41" i="8"/>
  <c r="G41" i="8" s="1"/>
  <c r="L48" i="8"/>
  <c r="E48" i="8"/>
  <c r="G48" i="8" s="1"/>
  <c r="E34" i="8"/>
  <c r="G34" i="8" s="1"/>
  <c r="L34" i="8"/>
  <c r="E19" i="9"/>
  <c r="G19" i="9" s="1"/>
  <c r="L19" i="9"/>
  <c r="E21" i="9"/>
  <c r="G21" i="9" s="1"/>
  <c r="L21" i="9"/>
  <c r="L24" i="8"/>
  <c r="E24" i="8"/>
  <c r="G24" i="8" s="1"/>
  <c r="L55" i="9"/>
  <c r="E55" i="9"/>
  <c r="G55" i="9" s="1"/>
  <c r="E23" i="9"/>
  <c r="G23" i="9" s="1"/>
  <c r="L23" i="9"/>
  <c r="E47" i="8"/>
  <c r="G47" i="8" s="1"/>
  <c r="L47" i="8"/>
  <c r="L33" i="9"/>
  <c r="E33" i="9"/>
  <c r="G33" i="9" s="1"/>
  <c r="K1451" i="4"/>
  <c r="K655" i="4"/>
  <c r="K1607" i="4"/>
  <c r="K334" i="4"/>
  <c r="K2584" i="4"/>
  <c r="K1976" i="4"/>
  <c r="K1317" i="4"/>
  <c r="K1368" i="4"/>
  <c r="K424" i="4"/>
  <c r="K2600" i="4"/>
  <c r="K2412" i="4"/>
  <c r="K2123" i="4"/>
  <c r="K2241" i="4"/>
  <c r="K2186" i="4"/>
  <c r="K2014" i="4"/>
  <c r="K1885" i="4"/>
  <c r="K1651" i="4"/>
  <c r="K1635" i="4"/>
  <c r="K1221" i="4"/>
  <c r="K1475" i="4"/>
  <c r="K1274" i="4"/>
  <c r="K1199" i="4"/>
  <c r="K1174" i="4"/>
  <c r="K1362" i="4"/>
  <c r="K1079" i="4"/>
  <c r="K1118" i="4"/>
  <c r="K440" i="4"/>
  <c r="K211" i="4"/>
  <c r="K71" i="4"/>
  <c r="K427" i="4"/>
  <c r="K326" i="4"/>
  <c r="K2345" i="4"/>
  <c r="K2498" i="4"/>
  <c r="K423" i="4"/>
  <c r="K1356" i="4"/>
  <c r="K524" i="4"/>
  <c r="K596" i="4"/>
  <c r="K2321" i="4"/>
  <c r="K1400" i="4"/>
  <c r="K1521" i="4"/>
  <c r="K1266" i="4"/>
  <c r="K435" i="4"/>
  <c r="K86" i="4"/>
  <c r="K559" i="4"/>
  <c r="K2368" i="4"/>
  <c r="K1258" i="4"/>
  <c r="K1030" i="4"/>
  <c r="K293" i="4"/>
  <c r="K30" i="4"/>
  <c r="K623" i="4"/>
  <c r="K1715" i="4"/>
  <c r="K2386" i="4"/>
  <c r="K2111" i="4"/>
  <c r="K1856" i="4"/>
  <c r="K1719" i="4"/>
  <c r="E38" i="8"/>
  <c r="G38" i="8" s="1"/>
  <c r="L38" i="8"/>
  <c r="L56" i="8"/>
  <c r="E56" i="8"/>
  <c r="G56" i="8" s="1"/>
  <c r="E27" i="9"/>
  <c r="G27" i="9" s="1"/>
  <c r="L27" i="9"/>
  <c r="E28" i="9"/>
  <c r="G28" i="9" s="1"/>
  <c r="L28" i="9"/>
  <c r="L32" i="8"/>
  <c r="E32" i="8"/>
  <c r="G32" i="8" s="1"/>
  <c r="E44" i="9"/>
  <c r="G44" i="9" s="1"/>
  <c r="L44" i="9"/>
  <c r="L55" i="8"/>
  <c r="E55" i="8"/>
  <c r="G55" i="8" s="1"/>
  <c r="L14" i="9"/>
  <c r="E14" i="9"/>
  <c r="G14" i="9" s="1"/>
  <c r="E58" i="9"/>
  <c r="G58" i="9" s="1"/>
  <c r="L58" i="9"/>
  <c r="L48" i="9"/>
  <c r="E48" i="9"/>
  <c r="G48" i="9" s="1"/>
  <c r="K1139" i="4"/>
  <c r="K354" i="4"/>
  <c r="K2596" i="4"/>
  <c r="K109" i="4"/>
  <c r="K2308" i="4"/>
  <c r="K557" i="4"/>
  <c r="K766" i="4"/>
  <c r="K654" i="4"/>
  <c r="K2103" i="4"/>
  <c r="K338" i="4"/>
  <c r="K2521" i="4"/>
  <c r="K1272" i="4"/>
  <c r="K2349" i="4"/>
  <c r="K2305" i="4"/>
  <c r="K1850" i="4"/>
  <c r="K1622" i="4"/>
  <c r="K1211" i="4"/>
  <c r="K978" i="4"/>
  <c r="K1255" i="4"/>
  <c r="K944" i="4"/>
  <c r="K573" i="4"/>
  <c r="K461" i="4"/>
  <c r="K570" i="4"/>
  <c r="K866" i="4"/>
  <c r="K64" i="4"/>
  <c r="K224" i="4"/>
  <c r="K252" i="4"/>
  <c r="K831" i="4"/>
  <c r="K1544" i="4"/>
  <c r="K2583" i="4"/>
  <c r="K1084" i="4"/>
  <c r="K209" i="4"/>
  <c r="K1248" i="4"/>
  <c r="K2048" i="4"/>
  <c r="K2363" i="4"/>
  <c r="K242" i="4"/>
  <c r="K1492" i="4"/>
  <c r="K1577" i="4"/>
  <c r="K2056" i="4"/>
  <c r="K1073" i="4"/>
  <c r="K1831" i="4"/>
  <c r="K1798" i="4"/>
  <c r="K298" i="4"/>
  <c r="K1002" i="4"/>
  <c r="K1791" i="4"/>
  <c r="K1832" i="4"/>
  <c r="K322" i="4"/>
  <c r="K785" i="4"/>
  <c r="K684" i="4"/>
  <c r="K221" i="4"/>
  <c r="K1130" i="4"/>
  <c r="K898" i="4"/>
  <c r="K1204" i="4"/>
  <c r="K1591" i="4"/>
  <c r="K620" i="4"/>
  <c r="K265" i="4"/>
  <c r="K1609" i="4"/>
  <c r="D5" i="11"/>
  <c r="E5" i="11" s="1"/>
  <c r="F5" i="11" s="1"/>
  <c r="D14" i="14"/>
  <c r="E62" i="8"/>
  <c r="G62" i="8" s="1"/>
  <c r="L62" i="8"/>
  <c r="E31" i="8"/>
  <c r="G31" i="8" s="1"/>
  <c r="L31" i="8"/>
  <c r="L64" i="8"/>
  <c r="E64" i="8"/>
  <c r="G64" i="8" s="1"/>
  <c r="L47" i="9"/>
  <c r="E47" i="9"/>
  <c r="G47" i="9" s="1"/>
  <c r="L40" i="8"/>
  <c r="E40" i="8"/>
  <c r="G40" i="8" s="1"/>
  <c r="L46" i="9"/>
  <c r="E46" i="9"/>
  <c r="G46" i="9" s="1"/>
  <c r="L63" i="8"/>
  <c r="E63" i="8"/>
  <c r="G63" i="8" s="1"/>
  <c r="E51" i="8"/>
  <c r="G51" i="8" s="1"/>
  <c r="L51" i="8"/>
  <c r="L22" i="9"/>
  <c r="E22" i="9"/>
  <c r="G22" i="9" s="1"/>
  <c r="L56" i="9"/>
  <c r="E56" i="9"/>
  <c r="G56" i="9" s="1"/>
  <c r="E41" i="9"/>
  <c r="G41" i="9" s="1"/>
  <c r="L41" i="9"/>
  <c r="K2132" i="4"/>
  <c r="K1709" i="4"/>
  <c r="K1063" i="4"/>
  <c r="K673" i="4"/>
  <c r="K1626" i="4"/>
  <c r="K1312" i="4"/>
  <c r="K1020" i="4"/>
  <c r="K1301" i="4"/>
  <c r="K2550" i="4"/>
  <c r="K1853" i="4"/>
  <c r="K1318" i="4"/>
  <c r="K1394" i="4"/>
  <c r="K1939" i="4"/>
  <c r="K1734" i="4"/>
  <c r="K2031" i="4"/>
  <c r="K2608" i="4"/>
  <c r="K2500" i="4"/>
  <c r="K2052" i="4"/>
  <c r="K2117" i="4"/>
  <c r="K1796" i="4"/>
  <c r="K1737" i="4"/>
  <c r="K1805" i="4"/>
  <c r="K1588" i="4"/>
  <c r="K1157" i="4"/>
  <c r="K1340" i="4"/>
  <c r="K1643" i="4"/>
  <c r="K1531" i="4"/>
  <c r="K1135" i="4"/>
  <c r="K1038" i="4"/>
  <c r="K795" i="4"/>
  <c r="K373" i="4"/>
  <c r="K819" i="4"/>
  <c r="K147" i="4"/>
  <c r="K763" i="4"/>
  <c r="K521" i="4"/>
  <c r="K408" i="4"/>
  <c r="K2267" i="4"/>
  <c r="K1610" i="4"/>
  <c r="K1458" i="4"/>
  <c r="K118" i="4"/>
  <c r="K417" i="4"/>
  <c r="K262" i="4"/>
  <c r="K2522" i="4"/>
  <c r="K302" i="4"/>
  <c r="K1562" i="4"/>
  <c r="K2051" i="4"/>
  <c r="K1580" i="4"/>
  <c r="K1454" i="4"/>
  <c r="K568" i="4"/>
  <c r="K1377" i="4"/>
  <c r="K2533" i="4"/>
  <c r="K2191" i="4"/>
  <c r="K1396" i="4"/>
  <c r="K1044" i="4"/>
  <c r="K2315" i="4"/>
  <c r="K1686" i="4"/>
  <c r="E39" i="8"/>
  <c r="G39" i="8" s="1"/>
  <c r="L39" i="8"/>
  <c r="L26" i="9"/>
  <c r="E26" i="9"/>
  <c r="G26" i="9" s="1"/>
  <c r="E57" i="8"/>
  <c r="G57" i="8" s="1"/>
  <c r="L57" i="8"/>
  <c r="E15" i="8"/>
  <c r="G15" i="8" s="1"/>
  <c r="L15" i="8"/>
  <c r="L60" i="8"/>
  <c r="E60" i="8"/>
  <c r="G60" i="8" s="1"/>
  <c r="L43" i="8"/>
  <c r="E43" i="8"/>
  <c r="G43" i="8" s="1"/>
  <c r="L19" i="8"/>
  <c r="E19" i="8"/>
  <c r="G19" i="8" s="1"/>
  <c r="L62" i="9"/>
  <c r="E62" i="9"/>
  <c r="G62" i="9" s="1"/>
  <c r="L18" i="9"/>
  <c r="E18" i="9"/>
  <c r="G18" i="9" s="1"/>
  <c r="E24" i="9"/>
  <c r="G24" i="9" s="1"/>
  <c r="L24" i="9"/>
  <c r="L59" i="8"/>
  <c r="E59" i="8"/>
  <c r="G59" i="8" s="1"/>
  <c r="L54" i="9"/>
  <c r="E54" i="9"/>
  <c r="G54" i="9" s="1"/>
  <c r="L30" i="9"/>
  <c r="E30" i="9"/>
  <c r="G30" i="9" s="1"/>
  <c r="L64" i="9"/>
  <c r="E64" i="9"/>
  <c r="G64" i="9" s="1"/>
  <c r="E49" i="9"/>
  <c r="G49" i="9" s="1"/>
  <c r="L49" i="9"/>
  <c r="K1906" i="4"/>
  <c r="K1592" i="4"/>
  <c r="K922" i="4"/>
  <c r="K55" i="4"/>
  <c r="K2189" i="4"/>
  <c r="K2170" i="4"/>
  <c r="K266" i="4"/>
  <c r="K2601" i="4"/>
  <c r="K1131" i="4"/>
  <c r="K1920" i="4"/>
  <c r="K1201" i="4"/>
  <c r="K638" i="4"/>
  <c r="K2448" i="4"/>
  <c r="K2346" i="4"/>
  <c r="K1786" i="4"/>
  <c r="K1608" i="4"/>
  <c r="K1147" i="4"/>
  <c r="K1456" i="4"/>
  <c r="K1519" i="4"/>
  <c r="K872" i="4"/>
  <c r="K184" i="4"/>
  <c r="K574" i="4"/>
  <c r="K1216" i="4"/>
  <c r="K2166" i="4"/>
  <c r="K2234" i="4"/>
  <c r="K1863" i="4"/>
  <c r="K1177" i="4"/>
  <c r="K2033" i="4"/>
  <c r="K2527" i="4"/>
  <c r="K734" i="4"/>
  <c r="K378" i="4"/>
  <c r="K650" i="4"/>
  <c r="K1752" i="4"/>
  <c r="K2229" i="4"/>
  <c r="K2145" i="4"/>
  <c r="K1148" i="4"/>
  <c r="K1161" i="4"/>
  <c r="K1100" i="4"/>
  <c r="K2462" i="4"/>
  <c r="K1560" i="4"/>
  <c r="K2421" i="4"/>
  <c r="K443" i="4"/>
  <c r="K2511" i="4"/>
  <c r="K164" i="4"/>
  <c r="K562" i="4"/>
  <c r="K335" i="4"/>
  <c r="K430" i="4"/>
  <c r="K1568" i="4"/>
  <c r="K815" i="4"/>
  <c r="K768" i="4"/>
  <c r="K607" i="4"/>
  <c r="K2025" i="4"/>
  <c r="K2042" i="4"/>
  <c r="K444" i="4"/>
  <c r="K2487" i="4"/>
  <c r="K702" i="4"/>
  <c r="K2379" i="4"/>
  <c r="K275" i="4"/>
  <c r="K1001" i="4"/>
  <c r="K2420" i="4"/>
  <c r="K1215" i="4"/>
  <c r="K323" i="4"/>
  <c r="K691" i="4"/>
  <c r="E28" i="8"/>
  <c r="G28" i="8" s="1"/>
  <c r="L28" i="8"/>
  <c r="L20" i="8"/>
  <c r="E20" i="8"/>
  <c r="G20" i="8" s="1"/>
  <c r="E25" i="8"/>
  <c r="G25" i="8" s="1"/>
  <c r="L25" i="8"/>
  <c r="L44" i="8"/>
  <c r="E44" i="8"/>
  <c r="G44" i="8" s="1"/>
  <c r="D6" i="11"/>
  <c r="E6" i="11" s="1"/>
  <c r="F6" i="11" s="1"/>
  <c r="H6" i="11" s="1"/>
  <c r="D8" i="11"/>
  <c r="E8" i="11" s="1"/>
  <c r="F8" i="11" s="1"/>
  <c r="H8" i="11" s="1"/>
  <c r="D11" i="7"/>
  <c r="D12" i="14"/>
  <c r="D10" i="7"/>
  <c r="B18" i="15" s="1"/>
  <c r="G4" i="14"/>
  <c r="J6" i="5"/>
  <c r="L6" i="5"/>
  <c r="E61" i="8"/>
  <c r="G61" i="8" s="1"/>
  <c r="L61" i="8"/>
  <c r="E21" i="8"/>
  <c r="G21" i="8" s="1"/>
  <c r="L21" i="8"/>
  <c r="L52" i="8"/>
  <c r="E52" i="8"/>
  <c r="G52" i="8" s="1"/>
  <c r="E27" i="8"/>
  <c r="G27" i="8" s="1"/>
  <c r="L27" i="8"/>
  <c r="E32" i="9"/>
  <c r="G32" i="9" s="1"/>
  <c r="L32" i="9"/>
  <c r="E35" i="9"/>
  <c r="G35" i="9" s="1"/>
  <c r="L35" i="9"/>
  <c r="E16" i="9"/>
  <c r="G16" i="9" s="1"/>
  <c r="L16" i="9"/>
  <c r="L38" i="9"/>
  <c r="E38" i="9"/>
  <c r="G38" i="9" s="1"/>
  <c r="E51" i="9"/>
  <c r="G51" i="9" s="1"/>
  <c r="L51" i="9"/>
  <c r="E57" i="9"/>
  <c r="G57" i="9" s="1"/>
  <c r="L57" i="9"/>
  <c r="K2475" i="4"/>
  <c r="K1669" i="4"/>
  <c r="K1586" i="4"/>
  <c r="K2333" i="4"/>
  <c r="K2027" i="4"/>
  <c r="K1740" i="4"/>
  <c r="K1175" i="4"/>
  <c r="K1022" i="4"/>
  <c r="K110" i="4"/>
  <c r="K2566" i="4"/>
  <c r="K2328" i="4"/>
  <c r="K2336" i="4"/>
  <c r="K2043" i="4"/>
  <c r="K2075" i="4"/>
  <c r="K1713" i="4"/>
  <c r="K1595" i="4"/>
  <c r="K1389" i="4"/>
  <c r="K1093" i="4"/>
  <c r="K990" i="4"/>
  <c r="K1450" i="4"/>
  <c r="K933" i="4"/>
  <c r="K1021" i="4"/>
  <c r="K1426" i="4"/>
  <c r="K728" i="4"/>
  <c r="K309" i="4"/>
  <c r="K681" i="4"/>
  <c r="K759" i="4"/>
  <c r="K83" i="4"/>
  <c r="K648" i="4"/>
  <c r="K223" i="4"/>
  <c r="K833" i="4"/>
  <c r="K345" i="4"/>
  <c r="K1899" i="4"/>
  <c r="K1720" i="4"/>
  <c r="K1039" i="4"/>
  <c r="K1411" i="4"/>
  <c r="K1688" i="4"/>
  <c r="K134" i="4"/>
  <c r="K2207" i="4"/>
  <c r="K981" i="4"/>
  <c r="K975" i="4"/>
  <c r="K1974" i="4"/>
  <c r="K2183" i="4"/>
  <c r="K1443" i="4"/>
  <c r="K1293" i="4"/>
  <c r="K569" i="4"/>
  <c r="K67" i="4"/>
  <c r="K2069" i="4"/>
  <c r="K547" i="4"/>
  <c r="D14" i="6" l="1"/>
  <c r="D16" i="15" s="1"/>
  <c r="D15" i="6"/>
  <c r="B29" i="15"/>
  <c r="D13" i="6"/>
  <c r="D15" i="15" s="1"/>
  <c r="B28" i="15"/>
  <c r="I15" i="9"/>
  <c r="J15" i="9" s="1"/>
  <c r="N6" i="5"/>
  <c r="H9" i="15" s="1"/>
  <c r="I15" i="8"/>
  <c r="H10" i="15"/>
  <c r="B31" i="15"/>
  <c r="B11" i="11"/>
  <c r="H5" i="11"/>
  <c r="B12" i="11" s="1"/>
  <c r="D13" i="7"/>
  <c r="D19" i="15" s="1"/>
  <c r="B19" i="15"/>
  <c r="D14" i="7"/>
  <c r="B30" i="15"/>
  <c r="F8" i="15"/>
  <c r="D13" i="15"/>
  <c r="D14" i="15"/>
  <c r="H8" i="15"/>
  <c r="A10" i="5"/>
  <c r="I16" i="9" l="1"/>
  <c r="I17" i="9" s="1"/>
  <c r="I18" i="9" s="1"/>
  <c r="I19" i="9" s="1"/>
  <c r="I20" i="9" s="1"/>
  <c r="I21" i="9" s="1"/>
  <c r="I22" i="9" s="1"/>
  <c r="I23" i="9" s="1"/>
  <c r="I24" i="9" s="1"/>
  <c r="I25" i="9" s="1"/>
  <c r="I26" i="9" s="1"/>
  <c r="I27" i="9" s="1"/>
  <c r="I28" i="9" s="1"/>
  <c r="I29" i="9" s="1"/>
  <c r="I30" i="9" s="1"/>
  <c r="I31" i="9" s="1"/>
  <c r="I32" i="9" s="1"/>
  <c r="I33" i="9" s="1"/>
  <c r="I34" i="9" s="1"/>
  <c r="I35" i="9" s="1"/>
  <c r="I36" i="9" s="1"/>
  <c r="I37" i="9" s="1"/>
  <c r="I38" i="9" s="1"/>
  <c r="I39" i="9" s="1"/>
  <c r="I40" i="9" s="1"/>
  <c r="I41" i="9" s="1"/>
  <c r="I42" i="9" s="1"/>
  <c r="I43" i="9" s="1"/>
  <c r="I44" i="9" s="1"/>
  <c r="I45" i="9" s="1"/>
  <c r="I46" i="9" s="1"/>
  <c r="I47" i="9" s="1"/>
  <c r="I48" i="9" s="1"/>
  <c r="I49" i="9" s="1"/>
  <c r="I50" i="9" s="1"/>
  <c r="I51" i="9" s="1"/>
  <c r="I52" i="9" s="1"/>
  <c r="I53" i="9" s="1"/>
  <c r="I54" i="9" s="1"/>
  <c r="I55" i="9" s="1"/>
  <c r="I56" i="9" s="1"/>
  <c r="I57" i="9" s="1"/>
  <c r="I58" i="9" s="1"/>
  <c r="I59" i="9" s="1"/>
  <c r="I60" i="9" s="1"/>
  <c r="I61" i="9" s="1"/>
  <c r="I62" i="9" s="1"/>
  <c r="I63" i="9" s="1"/>
  <c r="I64" i="9" s="1"/>
  <c r="A11" i="5"/>
  <c r="F9" i="15"/>
  <c r="B13" i="11"/>
  <c r="F11" i="15"/>
  <c r="J15" i="8"/>
  <c r="I16" i="8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I61" i="8" s="1"/>
  <c r="I62" i="8" s="1"/>
  <c r="I63" i="8" s="1"/>
  <c r="I64" i="8" s="1"/>
  <c r="J16" i="9" l="1"/>
  <c r="J17" i="9" s="1"/>
  <c r="J18" i="9" s="1"/>
  <c r="J19" i="9" s="1"/>
  <c r="J20" i="9" s="1"/>
  <c r="J21" i="9" s="1"/>
  <c r="J22" i="9" s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J37" i="9" s="1"/>
  <c r="J38" i="9" s="1"/>
  <c r="J39" i="9" s="1"/>
  <c r="J40" i="9" s="1"/>
  <c r="J41" i="9" s="1"/>
  <c r="J42" i="9" s="1"/>
  <c r="J43" i="9" s="1"/>
  <c r="J44" i="9" s="1"/>
  <c r="J45" i="9" s="1"/>
  <c r="B6" i="9"/>
  <c r="J16" i="8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B6" i="8"/>
  <c r="H11" i="15"/>
  <c r="B32" i="15"/>
  <c r="J46" i="9" l="1"/>
  <c r="J47" i="9" s="1"/>
  <c r="J48" i="9" s="1"/>
  <c r="J49" i="9" s="1"/>
  <c r="J50" i="9" s="1"/>
  <c r="J51" i="9" s="1"/>
  <c r="J52" i="9" s="1"/>
  <c r="J53" i="9" s="1"/>
  <c r="J54" i="9" s="1"/>
  <c r="J55" i="9" s="1"/>
  <c r="J32" i="8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J43" i="8" s="1"/>
  <c r="J44" i="8" s="1"/>
  <c r="J45" i="8" s="1"/>
  <c r="J46" i="8" s="1"/>
  <c r="J47" i="8" s="1"/>
  <c r="B7" i="8"/>
  <c r="J56" i="9" l="1"/>
  <c r="J57" i="9" s="1"/>
  <c r="J58" i="9" s="1"/>
  <c r="J59" i="9" s="1"/>
  <c r="J60" i="9" s="1"/>
  <c r="J61" i="9" s="1"/>
  <c r="J62" i="9" s="1"/>
  <c r="J63" i="9" s="1"/>
  <c r="J64" i="9" s="1"/>
  <c r="B7" i="9"/>
  <c r="B8" i="9"/>
  <c r="J48" i="8"/>
  <c r="J49" i="8" s="1"/>
  <c r="J50" i="8" s="1"/>
  <c r="J51" i="8" s="1"/>
  <c r="J52" i="8" s="1"/>
  <c r="J53" i="8" s="1"/>
  <c r="J54" i="8" s="1"/>
  <c r="J55" i="8" s="1"/>
  <c r="J56" i="8" s="1"/>
  <c r="J57" i="8" s="1"/>
  <c r="J58" i="8" s="1"/>
  <c r="J59" i="8" s="1"/>
  <c r="J60" i="8" s="1"/>
  <c r="J61" i="8" s="1"/>
  <c r="J62" i="8" s="1"/>
  <c r="J63" i="8" s="1"/>
  <c r="J64" i="8" s="1"/>
  <c r="B8" i="8"/>
  <c r="B5" i="9" l="1"/>
  <c r="D8" i="12" s="1"/>
  <c r="F8" i="12" s="1"/>
  <c r="B4" i="9"/>
  <c r="G8" i="12"/>
  <c r="B4" i="8"/>
  <c r="B5" i="8"/>
  <c r="D7" i="12" s="1"/>
  <c r="D6" i="12"/>
  <c r="B9" i="9"/>
  <c r="G7" i="12" l="1"/>
  <c r="F7" i="12"/>
  <c r="D5" i="12"/>
  <c r="B9" i="8"/>
  <c r="I8" i="12"/>
  <c r="H8" i="12"/>
  <c r="F6" i="12"/>
  <c r="G6" i="12"/>
  <c r="H6" i="12" l="1"/>
  <c r="I6" i="12"/>
  <c r="B22" i="14"/>
  <c r="D133" i="14"/>
  <c r="D8" i="13"/>
  <c r="F16" i="15"/>
  <c r="H7" i="12"/>
  <c r="I7" i="12"/>
  <c r="F5" i="12"/>
  <c r="G5" i="12"/>
  <c r="F15" i="15" l="1"/>
  <c r="B21" i="14"/>
  <c r="D7" i="13"/>
  <c r="D132" i="14"/>
  <c r="H8" i="13"/>
  <c r="C22" i="14" s="1"/>
  <c r="E8" i="13"/>
  <c r="I5" i="12"/>
  <c r="H5" i="12"/>
  <c r="B20" i="14"/>
  <c r="D6" i="13"/>
  <c r="J8" i="13" l="1"/>
  <c r="H16" i="15" s="1"/>
  <c r="I8" i="13"/>
  <c r="H7" i="13"/>
  <c r="C21" i="14" s="1"/>
  <c r="E7" i="13"/>
  <c r="H6" i="13"/>
  <c r="C20" i="14" s="1"/>
  <c r="E6" i="13"/>
  <c r="B19" i="14"/>
  <c r="D5" i="13"/>
  <c r="I6" i="13" l="1"/>
  <c r="J7" i="13"/>
  <c r="H15" i="15" s="1"/>
  <c r="J6" i="13"/>
  <c r="H14" i="15" s="1"/>
  <c r="H5" i="13"/>
  <c r="E5" i="13"/>
  <c r="I7" i="13"/>
  <c r="C19" i="14" l="1"/>
  <c r="B11" i="13"/>
  <c r="H12" i="12" s="1"/>
  <c r="F12" i="15" s="1"/>
  <c r="J5" i="13"/>
  <c r="I5" i="13"/>
  <c r="B12" i="13" l="1"/>
  <c r="H13" i="15"/>
  <c r="B34" i="15" l="1"/>
  <c r="B33" i="15"/>
  <c r="H12" i="15"/>
  <c r="B23" i="15"/>
</calcChain>
</file>

<file path=xl/sharedStrings.xml><?xml version="1.0" encoding="utf-8"?>
<sst xmlns="http://schemas.openxmlformats.org/spreadsheetml/2006/main" count="744" uniqueCount="440">
  <si>
    <t>ANALISIS Y DISENO DE ZAPATA AISLADA RECTANGULAR - PUENTE COLGANTE PEATONAL</t>
  </si>
  <si>
    <t>DATOS GENERALES</t>
  </si>
  <si>
    <t>Nombre del proyecto</t>
  </si>
  <si>
    <t>Proyecto puente colgante peatonal</t>
  </si>
  <si>
    <t>Editable</t>
  </si>
  <si>
    <t>Convenciones</t>
  </si>
  <si>
    <t>Elemento estructural</t>
  </si>
  <si>
    <t>Zapata aislada rectangular</t>
  </si>
  <si>
    <t>Celdas amarillas = ingreso editable</t>
  </si>
  <si>
    <t>Ubicacion</t>
  </si>
  <si>
    <t>Peru</t>
  </si>
  <si>
    <t>Celdas verdes = resultado por formula</t>
  </si>
  <si>
    <t>Observaciones</t>
  </si>
  <si>
    <t>Caso base referencial editable</t>
  </si>
  <si>
    <t>Formulas sin proteccion ni ocultamiento</t>
  </si>
  <si>
    <t>Unidad de fuerza</t>
  </si>
  <si>
    <t>tonf / kgf</t>
  </si>
  <si>
    <t>No usar N ni kN</t>
  </si>
  <si>
    <t>qadm se verifica solo en servicio</t>
  </si>
  <si>
    <t>Unidad de longitud</t>
  </si>
  <si>
    <t>m / cm / mm</t>
  </si>
  <si>
    <t>Compatible Excel 2016</t>
  </si>
  <si>
    <t>Norma base</t>
  </si>
  <si>
    <t>Manual de Puentes MTC; RNE E.050; RNE E.060</t>
  </si>
  <si>
    <t>Base tecnica peruana</t>
  </si>
  <si>
    <t>MATERIALES, SUELO Y FACTORES</t>
  </si>
  <si>
    <t>Parametro</t>
  </si>
  <si>
    <t>Simbolo</t>
  </si>
  <si>
    <t>Valor editable</t>
  </si>
  <si>
    <t>Unidad</t>
  </si>
  <si>
    <t>Comentario</t>
  </si>
  <si>
    <t>Resistencia del concreto</t>
  </si>
  <si>
    <t>f'c</t>
  </si>
  <si>
    <t>kg/cm2</t>
  </si>
  <si>
    <t>RNE E.060</t>
  </si>
  <si>
    <t>Fluencia del acero</t>
  </si>
  <si>
    <t>fy</t>
  </si>
  <si>
    <t>Barras corrugadas</t>
  </si>
  <si>
    <t>Peso especifico concreto</t>
  </si>
  <si>
    <t>gamma_c</t>
  </si>
  <si>
    <t>tonf/m3</t>
  </si>
  <si>
    <t>Concreto armado</t>
  </si>
  <si>
    <t>Peso especifico suelo sobre zapata</t>
  </si>
  <si>
    <t>gamma_s</t>
  </si>
  <si>
    <t>Presion admisible del suelo</t>
  </si>
  <si>
    <t>qadm</t>
  </si>
  <si>
    <t>tonf/m2</t>
  </si>
  <si>
    <t>Comparar solo con servicio</t>
  </si>
  <si>
    <t>Coef. friccion suelo-concreto</t>
  </si>
  <si>
    <t>mu</t>
  </si>
  <si>
    <t>-</t>
  </si>
  <si>
    <t>Control referencial</t>
  </si>
  <si>
    <t>Recubrimiento inferior</t>
  </si>
  <si>
    <t>r_inf</t>
  </si>
  <si>
    <t>cm</t>
  </si>
  <si>
    <t>Hasta barra inferior</t>
  </si>
  <si>
    <t>Recubrimiento superior</t>
  </si>
  <si>
    <t>r_sup</t>
  </si>
  <si>
    <t>Hasta barra superior</t>
  </si>
  <si>
    <t>Factor reduccion flexion</t>
  </si>
  <si>
    <t>phi_f</t>
  </si>
  <si>
    <t>Factor reduccion cortante</t>
  </si>
  <si>
    <t>phi_v</t>
  </si>
  <si>
    <t>Factor reduccion punzonamiento</t>
  </si>
  <si>
    <t>phi_p</t>
  </si>
  <si>
    <t>Cuantia minima</t>
  </si>
  <si>
    <t>rho_min</t>
  </si>
  <si>
    <t>Separacion maxima normativa</t>
  </si>
  <si>
    <t>smax_usr</t>
  </si>
  <si>
    <t>smax = MIN(3h, valor editable)</t>
  </si>
  <si>
    <t>GEOMETRIA DE ZAPATA Y GRILLA</t>
  </si>
  <si>
    <t>Largo de zapata en X</t>
  </si>
  <si>
    <t>Bx</t>
  </si>
  <si>
    <t>m</t>
  </si>
  <si>
    <t>Ancho de zapata en Y</t>
  </si>
  <si>
    <t>By</t>
  </si>
  <si>
    <t>Espesor total de zapata</t>
  </si>
  <si>
    <t>h</t>
  </si>
  <si>
    <t>Profundidad de desplante</t>
  </si>
  <si>
    <t>Df</t>
  </si>
  <si>
    <t>Activar peso propio de zapata</t>
  </si>
  <si>
    <t>Wzapata</t>
  </si>
  <si>
    <t>Si</t>
  </si>
  <si>
    <t>Si/No</t>
  </si>
  <si>
    <t>Incluye gamma_c</t>
  </si>
  <si>
    <t>Activar peso de suelo sobre zapata</t>
  </si>
  <si>
    <t>Wsuelo</t>
  </si>
  <si>
    <t>Incluye gamma_s</t>
  </si>
  <si>
    <t>Altura de suelo sobre zapata</t>
  </si>
  <si>
    <t>hs</t>
  </si>
  <si>
    <t>Numero de divisiones en X</t>
  </si>
  <si>
    <t>nx</t>
  </si>
  <si>
    <t>Grilla hasta 50</t>
  </si>
  <si>
    <t>Numero de divisiones en Y</t>
  </si>
  <si>
    <t>ny</t>
  </si>
  <si>
    <t>GEOMETRIA DE COLUMNA Y TRASLADO DE FUERZAS</t>
  </si>
  <si>
    <t>Dimension columna en X</t>
  </si>
  <si>
    <t>cx</t>
  </si>
  <si>
    <t>Dimension columna en Y</t>
  </si>
  <si>
    <t>cy</t>
  </si>
  <si>
    <t>Coordenada X de columna</t>
  </si>
  <si>
    <t>xc</t>
  </si>
  <si>
    <t>Respecto al centro</t>
  </si>
  <si>
    <t>Coordenada Y de columna</t>
  </si>
  <si>
    <t>yc</t>
  </si>
  <si>
    <t>Altura traslado fuerzas horizontales</t>
  </si>
  <si>
    <t>zh</t>
  </si>
  <si>
    <t>Madd = F*z</t>
  </si>
  <si>
    <t>Activar traslado horizontal</t>
  </si>
  <si>
    <t>traslado</t>
  </si>
  <si>
    <t>Signo Mx por Fy*zh</t>
  </si>
  <si>
    <t>sgn_mx_fy</t>
  </si>
  <si>
    <t>+1/-1</t>
  </si>
  <si>
    <t>Convencion SAP2000</t>
  </si>
  <si>
    <t>Signo My por Fx*zh</t>
  </si>
  <si>
    <t>sgn_my_fx</t>
  </si>
  <si>
    <t>Convertir carga vertical a compresion positiva</t>
  </si>
  <si>
    <t>convP</t>
  </si>
  <si>
    <t>Usa ABS(P) si P es negativo</t>
  </si>
  <si>
    <t>ACERO Y SEPARACIONES ADOPTADAS</t>
  </si>
  <si>
    <t>Barra inferior direccion X</t>
  </si>
  <si>
    <t>bar_inf_x</t>
  </si>
  <si>
    <t>Ø5/8"</t>
  </si>
  <si>
    <t>Seleccion comercial Peru</t>
  </si>
  <si>
    <t>Barra inferior direccion Y</t>
  </si>
  <si>
    <t>bar_inf_y</t>
  </si>
  <si>
    <t>Barra superior direccion X</t>
  </si>
  <si>
    <t>bar_sup_x</t>
  </si>
  <si>
    <t>Ø3/8"</t>
  </si>
  <si>
    <t>Si hay momento negativo</t>
  </si>
  <si>
    <t>Barra superior direccion Y</t>
  </si>
  <si>
    <t>bar_sup_y</t>
  </si>
  <si>
    <t>Separacion adoptada inf. X</t>
  </si>
  <si>
    <t>s_inf_x</t>
  </si>
  <si>
    <t>Lista practica</t>
  </si>
  <si>
    <t>Separacion adoptada inf. Y</t>
  </si>
  <si>
    <t>s_inf_y</t>
  </si>
  <si>
    <t>Separacion adoptada sup. X</t>
  </si>
  <si>
    <t>s_sup_x</t>
  </si>
  <si>
    <t>Separacion adoptada sup. Y</t>
  </si>
  <si>
    <t>s_sup_y</t>
  </si>
  <si>
    <t>BARRAS COMERCIALES USADAS EN PERU</t>
  </si>
  <si>
    <t>Codigo</t>
  </si>
  <si>
    <t>Denominacion Peru</t>
  </si>
  <si>
    <t>Equivalencia referencial</t>
  </si>
  <si>
    <t>Diametro mm</t>
  </si>
  <si>
    <t>Diametro cm</t>
  </si>
  <si>
    <t>Area comercial cm2</t>
  </si>
  <si>
    <t>Peso kg/m</t>
  </si>
  <si>
    <t>Ø6mm</t>
  </si>
  <si>
    <t>6 mm</t>
  </si>
  <si>
    <t>Ø8mm</t>
  </si>
  <si>
    <t>8 mm</t>
  </si>
  <si>
    <t>3/8"</t>
  </si>
  <si>
    <t>#3</t>
  </si>
  <si>
    <t>Ø12mm</t>
  </si>
  <si>
    <t>12 mm</t>
  </si>
  <si>
    <t>Ø1/2"</t>
  </si>
  <si>
    <t>1/2"</t>
  </si>
  <si>
    <t>#4</t>
  </si>
  <si>
    <t>5/8"</t>
  </si>
  <si>
    <t>#5</t>
  </si>
  <si>
    <t>Ø3/4"</t>
  </si>
  <si>
    <t>3/4"</t>
  </si>
  <si>
    <t>#6</t>
  </si>
  <si>
    <t>Ø1"</t>
  </si>
  <si>
    <t>1"</t>
  </si>
  <si>
    <t>#8</t>
  </si>
  <si>
    <t>Ø1 3/8"</t>
  </si>
  <si>
    <t>1 3/8"</t>
  </si>
  <si>
    <t>#11</t>
  </si>
  <si>
    <t>Nota</t>
  </si>
  <si>
    <t>Los calculos usan el area comercial de esta tabla; no se recalcula pi*D^2/4 para el acero principal.</t>
  </si>
  <si>
    <t>CARGAS DE SERVICIO Y CARGAS ULTIMAS</t>
  </si>
  <si>
    <t>CARGAS_SERVICIO</t>
  </si>
  <si>
    <t>Origen de cargas</t>
  </si>
  <si>
    <t>SAP2000 - servicio</t>
  </si>
  <si>
    <t>Las cargas verticales se transforman con ABS(P) si se activa convP.</t>
  </si>
  <si>
    <t>Ingreso</t>
  </si>
  <si>
    <t>Valor para calculo</t>
  </si>
  <si>
    <t>Formula / nota</t>
  </si>
  <si>
    <t>Fuerza horizontal X</t>
  </si>
  <si>
    <t>FX</t>
  </si>
  <si>
    <t>tonf</t>
  </si>
  <si>
    <t>Fuerza horizontal Y</t>
  </si>
  <si>
    <t>FY</t>
  </si>
  <si>
    <t>Carga axial vertical</t>
  </si>
  <si>
    <t>P</t>
  </si>
  <si>
    <t>Momento alrededor X</t>
  </si>
  <si>
    <t>MX</t>
  </si>
  <si>
    <t>tonf*m</t>
  </si>
  <si>
    <t>Mx incluye traslado FY*zh si esta activo</t>
  </si>
  <si>
    <t>Momento alrededor Y</t>
  </si>
  <si>
    <t>MY</t>
  </si>
  <si>
    <t>My incluye traslado FX*zh si esta activo</t>
  </si>
  <si>
    <t>Torsion alrededor Z</t>
  </si>
  <si>
    <t>MZ</t>
  </si>
  <si>
    <t>CARGAS_ULTIMAS</t>
  </si>
  <si>
    <t>SAP2000 - ultimas</t>
  </si>
  <si>
    <t>GEOMETRIA, PESOS E INERCIAS</t>
  </si>
  <si>
    <t>PROPIEDADES GEOMETRICAS</t>
  </si>
  <si>
    <t>Area de zapata</t>
  </si>
  <si>
    <t>m2</t>
  </si>
  <si>
    <t>A = Bx*By</t>
  </si>
  <si>
    <t>Volumen de zapata</t>
  </si>
  <si>
    <t>m3</t>
  </si>
  <si>
    <t>V = Bx*By*h</t>
  </si>
  <si>
    <t>Peso propio de zapata</t>
  </si>
  <si>
    <t>Activable</t>
  </si>
  <si>
    <t>Peso suelo sobre zapata</t>
  </si>
  <si>
    <t>Peso total incluido</t>
  </si>
  <si>
    <t>Wzapata + Wsuelo</t>
  </si>
  <si>
    <t>Inercia respecto X</t>
  </si>
  <si>
    <t>m4</t>
  </si>
  <si>
    <t>Ix = Bx*By^3/12</t>
  </si>
  <si>
    <t>Inercia respecto Y</t>
  </si>
  <si>
    <t>Iy = By*Bx^3/12</t>
  </si>
  <si>
    <t>Separacion maxima final</t>
  </si>
  <si>
    <t>MIN(3h, editable)</t>
  </si>
  <si>
    <t>Columna dentro de zapata</t>
  </si>
  <si>
    <t>Verifica limites en planta</t>
  </si>
  <si>
    <t>Distancia minima a borde</t>
  </si>
  <si>
    <t>Si es menor que d revisar</t>
  </si>
  <si>
    <t>GRILLA_DE_ANALISIS 50 x 50 (editable mediante nx, ny)</t>
  </si>
  <si>
    <t>i</t>
  </si>
  <si>
    <t>j</t>
  </si>
  <si>
    <t>x (m)</t>
  </si>
  <si>
    <t>y (m)</t>
  </si>
  <si>
    <t>q_serv (tonf/m2)</t>
  </si>
  <si>
    <t>q_serv_corr</t>
  </si>
  <si>
    <t>q_u (tonf/m2)</t>
  </si>
  <si>
    <t>q_u_corr</t>
  </si>
  <si>
    <t>Dentro columna</t>
  </si>
  <si>
    <t>Dentro zapata</t>
  </si>
  <si>
    <t>RESULTANTE DE CARGAS Y EXCENTRICIDADES</t>
  </si>
  <si>
    <t>Estado</t>
  </si>
  <si>
    <t>P carga</t>
  </si>
  <si>
    <t>W zapata</t>
  </si>
  <si>
    <t>W suelo</t>
  </si>
  <si>
    <t>P total</t>
  </si>
  <si>
    <t>Mx total</t>
  </si>
  <si>
    <t>My total</t>
  </si>
  <si>
    <t>ex = My/P</t>
  </si>
  <si>
    <t>ey = Mx/P</t>
  </si>
  <si>
    <t>|ex|&lt;=Bx/6</t>
  </si>
  <si>
    <t>|ey|&lt;=By/6</t>
  </si>
  <si>
    <t>xR</t>
  </si>
  <si>
    <t>yR</t>
  </si>
  <si>
    <t>Estado nucleo</t>
  </si>
  <si>
    <t>Servicio</t>
  </si>
  <si>
    <t>Ultima</t>
  </si>
  <si>
    <t>ADVERTENCIAS</t>
  </si>
  <si>
    <t>PRESIONES DE CONTACTO - SERVICIO</t>
  </si>
  <si>
    <t>Esquina</t>
  </si>
  <si>
    <t>signo X</t>
  </si>
  <si>
    <t>signo Y</t>
  </si>
  <si>
    <t>q (tonf/m2)</t>
  </si>
  <si>
    <t>Control</t>
  </si>
  <si>
    <t>Valor</t>
  </si>
  <si>
    <t>+X,+Y</t>
  </si>
  <si>
    <t>Presion por formula elastica biaxial</t>
  </si>
  <si>
    <t>+X,-Y</t>
  </si>
  <si>
    <t>-X,+Y</t>
  </si>
  <si>
    <t>-X,-Y</t>
  </si>
  <si>
    <t>qmax</t>
  </si>
  <si>
    <t>qmin</t>
  </si>
  <si>
    <t>Verificacion qmax &lt;= qadm</t>
  </si>
  <si>
    <t>Verificacion qmin &gt;= 0</t>
  </si>
  <si>
    <t>Advertencia</t>
  </si>
  <si>
    <t>PRESIONES DE CONTACTO - ULTIMAS</t>
  </si>
  <si>
    <t>Uso</t>
  </si>
  <si>
    <t>Las presiones ultimas no se comparan directamente con qadm; se usan para diseno estructural.</t>
  </si>
  <si>
    <t>Verificacion qmin,u &gt;= 0</t>
  </si>
  <si>
    <t>DIAGRAMAS EN DIRECCION X</t>
  </si>
  <si>
    <t>RESUMEN DE DIAGRAMA</t>
  </si>
  <si>
    <t>Momento positivo maximo</t>
  </si>
  <si>
    <t>Formula ligada a tabla inferior</t>
  </si>
  <si>
    <t>Momento negativo maximo</t>
  </si>
  <si>
    <t>Cortante maximo absoluto</t>
  </si>
  <si>
    <t>Momento cara izquierda</t>
  </si>
  <si>
    <t>Momento cara derecha</t>
  </si>
  <si>
    <t>Momento de diseno por metro</t>
  </si>
  <si>
    <t>tonf*m/m</t>
  </si>
  <si>
    <t>q_u eje</t>
  </si>
  <si>
    <t>q_u corr</t>
  </si>
  <si>
    <t>w_u integrada</t>
  </si>
  <si>
    <t>peso distrib.</t>
  </si>
  <si>
    <t>w_neta</t>
  </si>
  <si>
    <t>P_col tramo</t>
  </si>
  <si>
    <t>V_X</t>
  </si>
  <si>
    <t>M_X</t>
  </si>
  <si>
    <t>zona columna</t>
  </si>
  <si>
    <t>nota</t>
  </si>
  <si>
    <t>DIAGRAMAS EN DIRECCION Y</t>
  </si>
  <si>
    <t>Momento cara inferior</t>
  </si>
  <si>
    <t>Momento cara superior</t>
  </si>
  <si>
    <t>V_Y</t>
  </si>
  <si>
    <t>M_Y</t>
  </si>
  <si>
    <t>VERIFICACION DE PUNZONAMIENTO</t>
  </si>
  <si>
    <t>DATOS Y CALCULO</t>
  </si>
  <si>
    <t>Dimension columna X</t>
  </si>
  <si>
    <t>Dimension columna Y</t>
  </si>
  <si>
    <t>Diametro barra inferior X</t>
  </si>
  <si>
    <t>Tabla BARRAS_PERU</t>
  </si>
  <si>
    <t>Diametro barra inferior Y</t>
  </si>
  <si>
    <t>Profundidad efectiva dx</t>
  </si>
  <si>
    <t>h - rinf - db/2</t>
  </si>
  <si>
    <t>Profundidad efectiva dy</t>
  </si>
  <si>
    <t>Profundidad efectiva d</t>
  </si>
  <si>
    <t>Usar minimo</t>
  </si>
  <si>
    <t>Perimetro critico bo</t>
  </si>
  <si>
    <t>A d/2 de la cara</t>
  </si>
  <si>
    <t>Area dentro perimetro critico</t>
  </si>
  <si>
    <t>(cx+d)(cy+d)</t>
  </si>
  <si>
    <t>Presion ultima promedio q_u,crit</t>
  </si>
  <si>
    <t>En centro de columna</t>
  </si>
  <si>
    <t>Fuerza de punzonamiento Vu</t>
  </si>
  <si>
    <t>Vu = Pu - q*Acrit</t>
  </si>
  <si>
    <t>Capacidad concreta Vc</t>
  </si>
  <si>
    <t>0.53*sqrt(fc)*bo*d</t>
  </si>
  <si>
    <t>Capacidad reducida phi Vc</t>
  </si>
  <si>
    <t>phi_p*Vc</t>
  </si>
  <si>
    <t>Relacion D/C</t>
  </si>
  <si>
    <t>Demanda / capacidad</t>
  </si>
  <si>
    <t>Resultado</t>
  </si>
  <si>
    <t>Punzonamiento</t>
  </si>
  <si>
    <t>Advertencia borde</t>
  </si>
  <si>
    <t>Geometria</t>
  </si>
  <si>
    <t>CORTANTE A DISTANCIA d DE LA CARA DE COLUMNA</t>
  </si>
  <si>
    <t>Seccion</t>
  </si>
  <si>
    <t>L libre</t>
  </si>
  <si>
    <t>L critico</t>
  </si>
  <si>
    <t>q lado</t>
  </si>
  <si>
    <t>q neta</t>
  </si>
  <si>
    <t>Vu</t>
  </si>
  <si>
    <t>phi Vc</t>
  </si>
  <si>
    <t>D/C</t>
  </si>
  <si>
    <t>X - izquierda</t>
  </si>
  <si>
    <t>X - derecha</t>
  </si>
  <si>
    <t>Y - inferior</t>
  </si>
  <si>
    <t>Y - superior</t>
  </si>
  <si>
    <t>Vu maximo</t>
  </si>
  <si>
    <t>Relacion D/C maxima</t>
  </si>
  <si>
    <t>DISENO DE ACERO POR FLEXION</t>
  </si>
  <si>
    <t>Parrilla</t>
  </si>
  <si>
    <t>Tipo</t>
  </si>
  <si>
    <t>Direccion</t>
  </si>
  <si>
    <t>Mu</t>
  </si>
  <si>
    <t>d</t>
  </si>
  <si>
    <t>As flexion</t>
  </si>
  <si>
    <t>As minimo</t>
  </si>
  <si>
    <t>As requerido</t>
  </si>
  <si>
    <t>Acero inferior X</t>
  </si>
  <si>
    <t>Inferior</t>
  </si>
  <si>
    <t>X</t>
  </si>
  <si>
    <t>Acero inferior Y</t>
  </si>
  <si>
    <t>Y</t>
  </si>
  <si>
    <t>Acero superior X</t>
  </si>
  <si>
    <t>Superior</t>
  </si>
  <si>
    <t>Acero superior Y</t>
  </si>
  <si>
    <t>Mu en tonf*m/m; As en cm2/m. Se usa b=100 cm y formulas clasicas de Excel 2016.</t>
  </si>
  <si>
    <t>D/C flexion (desde acero detallado)</t>
  </si>
  <si>
    <t>ACERO DETALLADO Y SEPARACIONES</t>
  </si>
  <si>
    <t>Diametro</t>
  </si>
  <si>
    <t>Area barra</t>
  </si>
  <si>
    <t>s calculada</t>
  </si>
  <si>
    <t>s adoptada</t>
  </si>
  <si>
    <t>s maxima</t>
  </si>
  <si>
    <t>As colocado</t>
  </si>
  <si>
    <t>As_col/As_req</t>
  </si>
  <si>
    <t>Inferior X</t>
  </si>
  <si>
    <t>Inferior Y</t>
  </si>
  <si>
    <t>Superior X</t>
  </si>
  <si>
    <t>Superior Y</t>
  </si>
  <si>
    <t>Relacion D/C maxima acero</t>
  </si>
  <si>
    <t>Resultado acero</t>
  </si>
  <si>
    <t>Control separacion maxima</t>
  </si>
  <si>
    <t>GRAFICOS EDITABLES Y DATOS AUXILIARES</t>
  </si>
  <si>
    <t>x_zapata</t>
  </si>
  <si>
    <t>y_zapata</t>
  </si>
  <si>
    <t>x_col</t>
  </si>
  <si>
    <t>y_col</t>
  </si>
  <si>
    <t>x_srv</t>
  </si>
  <si>
    <t>y_srv</t>
  </si>
  <si>
    <t>x_u</t>
  </si>
  <si>
    <t>y_u</t>
  </si>
  <si>
    <t>Mapa presion servicio (tonf/m2)</t>
  </si>
  <si>
    <t>Centro columna</t>
  </si>
  <si>
    <t>Inf X</t>
  </si>
  <si>
    <t>Mapa presion ultima (tonf/m2)</t>
  </si>
  <si>
    <t>Inf Y</t>
  </si>
  <si>
    <t>Sup X</t>
  </si>
  <si>
    <t>Sup Y</t>
  </si>
  <si>
    <t>x_dim_Bx</t>
  </si>
  <si>
    <t>y_dim_Bx</t>
  </si>
  <si>
    <t>x_dim_By</t>
  </si>
  <si>
    <t>y_dim_By</t>
  </si>
  <si>
    <t>Esquema acero inferior</t>
  </si>
  <si>
    <t>Esquema acero superior</t>
  </si>
  <si>
    <t>RESUMEN FINAL AUTOMATICO</t>
  </si>
  <si>
    <t>RESULTADOS PRINCIPALES</t>
  </si>
  <si>
    <t>Concepto</t>
  </si>
  <si>
    <t>P ultima total</t>
  </si>
  <si>
    <t>Mx ultima total</t>
  </si>
  <si>
    <t>My ultima total</t>
  </si>
  <si>
    <t>Columna cx x cy</t>
  </si>
  <si>
    <t>Nucleo servicio</t>
  </si>
  <si>
    <t>Ubicacion columna x,y</t>
  </si>
  <si>
    <t>Nucleo ultima</t>
  </si>
  <si>
    <t>P servicio total</t>
  </si>
  <si>
    <t>Punzonamiento D/C</t>
  </si>
  <si>
    <t>Mx servicio total</t>
  </si>
  <si>
    <t>Cortante D/C</t>
  </si>
  <si>
    <t>My servicio total</t>
  </si>
  <si>
    <t>Flexion D/C</t>
  </si>
  <si>
    <t>ex servicio</t>
  </si>
  <si>
    <t>ey servicio</t>
  </si>
  <si>
    <t>qmax servicio</t>
  </si>
  <si>
    <t>qmin servicio</t>
  </si>
  <si>
    <t>Separacion maxima</t>
  </si>
  <si>
    <t>qmax ultima</t>
  </si>
  <si>
    <t>Columna dentro zapata</t>
  </si>
  <si>
    <t>qmin ultima</t>
  </si>
  <si>
    <t>RESULTADO FINAL</t>
  </si>
  <si>
    <t>Resultado final</t>
  </si>
  <si>
    <t>Condicion</t>
  </si>
  <si>
    <t>Debe cumplir servicio, concreto armado, acero, geometria y nucleo central.</t>
  </si>
  <si>
    <t>ADVERTENCIAS AUTOMATICAS</t>
  </si>
  <si>
    <t>La presion maxima de servicio supera la presion admisible del suelo.</t>
  </si>
  <si>
    <t>Existe presion negativa en una esquina; hay levantamiento parcial.</t>
  </si>
  <si>
    <t>La resultante esta fuera del nucleo central.</t>
  </si>
  <si>
    <t>No cumple punzonamiento.</t>
  </si>
  <si>
    <t>No cumple cortante unidireccional.</t>
  </si>
  <si>
    <t>No cumple flexion o acero detallado.</t>
  </si>
  <si>
    <t>El acero colocado es menor que el requerido.</t>
  </si>
  <si>
    <t>La separacion de barras excede la maxima permitida.</t>
  </si>
  <si>
    <t>La columna esta fuera del area de la zapata.</t>
  </si>
  <si>
    <t>La distancia de la columna al borde es menor que d; revisar cuidadosamente cortante y punzonamiento.</t>
  </si>
  <si>
    <t>Las cargas verticales tienen signo negativo; verificar convencion de SAP2000.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</si>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</sst>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AF4FB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2" xfId="0" applyFont="1" applyBorder="1" applyAlignment="1">
      <alignment vertical="center" wrapText="1"/>
    </xf>
    <xf numFmtId="0" fontId="4" fillId="5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2" fontId="4" fillId="5" borderId="2" xfId="0" applyNumberFormat="1" applyFont="1" applyFill="1" applyBorder="1" applyAlignment="1">
      <alignment horizontal="right" vertical="center"/>
    </xf>
    <xf numFmtId="165" fontId="4" fillId="5" borderId="2" xfId="0" applyNumberFormat="1" applyFont="1" applyFill="1" applyBorder="1" applyAlignment="1">
      <alignment horizontal="right" vertical="center"/>
    </xf>
    <xf numFmtId="1" fontId="4" fillId="5" borderId="2" xfId="0" applyNumberFormat="1" applyFont="1" applyFill="1" applyBorder="1" applyAlignment="1">
      <alignment horizontal="right" vertical="center"/>
    </xf>
    <xf numFmtId="166" fontId="4" fillId="5" borderId="2" xfId="0" applyNumberFormat="1" applyFont="1" applyFill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/>
    </xf>
    <xf numFmtId="0" fontId="3" fillId="4" borderId="2" xfId="0" applyFont="1" applyFill="1" applyBorder="1" applyAlignment="1">
      <alignment vertical="center" wrapText="1"/>
    </xf>
    <xf numFmtId="2" fontId="4" fillId="6" borderId="2" xfId="0" applyNumberFormat="1" applyFont="1" applyFill="1" applyBorder="1" applyAlignment="1">
      <alignment horizontal="right" vertical="center"/>
    </xf>
    <xf numFmtId="2" fontId="3" fillId="0" borderId="2" xfId="0" applyNumberFormat="1" applyFont="1" applyBorder="1" applyAlignment="1">
      <alignment vertical="center" wrapText="1"/>
    </xf>
    <xf numFmtId="0" fontId="4" fillId="6" borderId="2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48"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Dimensiones, columna y resultantes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9091805555555557E-2"/>
          <c:y val="0.16450551024405058"/>
          <c:w val="0.67679172811992128"/>
          <c:h val="0.71346016712107641"/>
        </c:manualLayout>
      </c:layout>
      <c:scatterChart>
        <c:scatterStyle val="lineMarker"/>
        <c:varyColors val="1"/>
        <c:ser>
          <c:idx val="0"/>
          <c:order val="0"/>
          <c:tx>
            <c:v>Contorno 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2E-4A27-8AEA-4E0EF28EEC2C}"/>
            </c:ext>
          </c:extLst>
        </c:ser>
        <c:ser>
          <c:idx val="1"/>
          <c:order val="1"/>
          <c:tx>
            <c:v>Contorno 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2E-4A27-8AEA-4E0EF28EEC2C}"/>
            </c:ext>
          </c:extLst>
        </c:ser>
        <c:ser>
          <c:idx val="4"/>
          <c:order val="2"/>
          <c:tx>
            <c:v>Posicion columna</c:v>
          </c:tx>
          <c:spPr>
            <a:ln>
              <a:noFill/>
              <a:prstDash val="solid"/>
            </a:ln>
          </c:spPr>
          <c:marker>
            <c:symbol val="square"/>
            <c:size val="8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xVal>
            <c:numRef>
              <c:f>GRAFICOS!$C$9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GRAFICOS!$D$9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2E-4A27-8AEA-4E0EF28EEC2C}"/>
            </c:ext>
          </c:extLst>
        </c:ser>
        <c:ser>
          <c:idx val="5"/>
          <c:order val="3"/>
          <c:tx>
            <c:v>Resultante servicio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xVal>
            <c:numRef>
              <c:f>GRAFICOS!$E$4</c:f>
              <c:numCache>
                <c:formatCode>General</c:formatCode>
                <c:ptCount val="1"/>
                <c:pt idx="0">
                  <c:v>9.7934670189746015E-4</c:v>
                </c:pt>
              </c:numCache>
            </c:numRef>
          </c:xVal>
          <c:yVal>
            <c:numRef>
              <c:f>GRAFICOS!$F$4</c:f>
              <c:numCache>
                <c:formatCode>General</c:formatCode>
                <c:ptCount val="1"/>
                <c:pt idx="0">
                  <c:v>-3.5108776519825668E-3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2E-4A27-8AEA-4E0EF28EEC2C}"/>
            </c:ext>
          </c:extLst>
        </c:ser>
        <c:ser>
          <c:idx val="6"/>
          <c:order val="4"/>
          <c:tx>
            <c:v>Resultante ultima</c:v>
          </c:tx>
          <c:spPr>
            <a:ln>
              <a:noFill/>
              <a:prstDash val="solid"/>
            </a:ln>
          </c:spPr>
          <c:marker>
            <c:symbol val="diamond"/>
            <c:size val="9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</c:marker>
          <c:xVal>
            <c:numRef>
              <c:f>GRAFICOS!$G$4</c:f>
              <c:numCache>
                <c:formatCode>General</c:formatCode>
                <c:ptCount val="1"/>
                <c:pt idx="0">
                  <c:v>1.1177360941741685E-3</c:v>
                </c:pt>
              </c:numCache>
            </c:numRef>
          </c:xVal>
          <c:yVal>
            <c:numRef>
              <c:f>GRAFICOS!$H$4</c:f>
              <c:numCache>
                <c:formatCode>General</c:formatCode>
                <c:ptCount val="1"/>
                <c:pt idx="0">
                  <c:v>-3.7748104934829372E-3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2E-4A27-8AEA-4E0EF28EE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servicio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GRAFICOS!$B$11</c:f>
              <c:strCache>
                <c:ptCount val="1"/>
                <c:pt idx="0">
                  <c:v>Servicio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GRAFICOS!$B$12:$B$15</c:f>
              <c:numCache>
                <c:formatCode>General</c:formatCode>
                <c:ptCount val="4"/>
                <c:pt idx="0">
                  <c:v>11.028290133333332</c:v>
                </c:pt>
                <c:pt idx="1">
                  <c:v>11.152694755555554</c:v>
                </c:pt>
                <c:pt idx="2">
                  <c:v>10.99358791111111</c:v>
                </c:pt>
                <c:pt idx="3">
                  <c:v>11.117992533333332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3-4A9E-AFF1-16995A9C0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servicio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2337962962962964E-2"/>
          <c:y val="0.18338756125765071"/>
          <c:w val="0.80154907407407405"/>
          <c:h val="0.7620918124225071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GRAFICOS!$B$11</c:f>
              <c:strCache>
                <c:ptCount val="1"/>
                <c:pt idx="0">
                  <c:v>Servicio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GRAFICOS!$B$12:$B$15</c:f>
              <c:numCache>
                <c:formatCode>General</c:formatCode>
                <c:ptCount val="4"/>
                <c:pt idx="0">
                  <c:v>11.028290133333332</c:v>
                </c:pt>
                <c:pt idx="1">
                  <c:v>11.152694755555554</c:v>
                </c:pt>
                <c:pt idx="2">
                  <c:v>10.99358791111111</c:v>
                </c:pt>
                <c:pt idx="3">
                  <c:v>11.117992533333332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F-41EE-8AD9-3B0AA2CE1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ultimas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2337962962962964E-2"/>
          <c:y val="0.20158730158730159"/>
          <c:w val="0.80154907407407405"/>
          <c:h val="0.7429761904761903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GRAFICOS!$D$11</c:f>
              <c:strCache>
                <c:ptCount val="1"/>
                <c:pt idx="0">
                  <c:v>Ultima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GRAFICOS!$D$12:$D$15</c:f>
              <c:numCache>
                <c:formatCode>General</c:formatCode>
                <c:ptCount val="4"/>
                <c:pt idx="0">
                  <c:v>14.443843555555555</c:v>
                </c:pt>
                <c:pt idx="1">
                  <c:v>14.619061333333333</c:v>
                </c:pt>
                <c:pt idx="2">
                  <c:v>14.391960888888887</c:v>
                </c:pt>
                <c:pt idx="3">
                  <c:v>14.567178666666665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8-48CE-A7B8-743A29101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 ultima integrada 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DIAGRAMAS_X!$E$13</c:f>
              <c:strCache>
                <c:ptCount val="1"/>
                <c:pt idx="0">
                  <c:v>w_u integrada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7.4999999999999956E-2</c:v>
                </c:pt>
                <c:pt idx="27">
                  <c:v>0.14999999999999991</c:v>
                </c:pt>
                <c:pt idx="28">
                  <c:v>0.22500000000000009</c:v>
                </c:pt>
                <c:pt idx="29">
                  <c:v>0.29999999999999982</c:v>
                </c:pt>
                <c:pt idx="30">
                  <c:v>0.375</c:v>
                </c:pt>
                <c:pt idx="31">
                  <c:v>0.45000000000000018</c:v>
                </c:pt>
                <c:pt idx="32">
                  <c:v>0.52499999999999991</c:v>
                </c:pt>
                <c:pt idx="33">
                  <c:v>0.60000000000000009</c:v>
                </c:pt>
                <c:pt idx="34">
                  <c:v>0.67499999999999982</c:v>
                </c:pt>
                <c:pt idx="35">
                  <c:v>0.75</c:v>
                </c:pt>
                <c:pt idx="36">
                  <c:v>0.82500000000000018</c:v>
                </c:pt>
                <c:pt idx="37">
                  <c:v>0.89999999999999991</c:v>
                </c:pt>
                <c:pt idx="38">
                  <c:v>0.97500000000000009</c:v>
                </c:pt>
                <c:pt idx="39">
                  <c:v>1.0499999999999998</c:v>
                </c:pt>
                <c:pt idx="40">
                  <c:v>1.125</c:v>
                </c:pt>
                <c:pt idx="41">
                  <c:v>1.2000000000000002</c:v>
                </c:pt>
                <c:pt idx="42">
                  <c:v>1.2749999999999999</c:v>
                </c:pt>
                <c:pt idx="43">
                  <c:v>1.35</c:v>
                </c:pt>
                <c:pt idx="44">
                  <c:v>1.4249999999999998</c:v>
                </c:pt>
                <c:pt idx="45">
                  <c:v>1.5</c:v>
                </c:pt>
                <c:pt idx="46">
                  <c:v>1.5750000000000002</c:v>
                </c:pt>
                <c:pt idx="47">
                  <c:v>1.65</c:v>
                </c:pt>
                <c:pt idx="48">
                  <c:v>1.7250000000000001</c:v>
                </c:pt>
                <c:pt idx="49">
                  <c:v>1.7999999999999998</c:v>
                </c:pt>
                <c:pt idx="50">
                  <c:v>1.875</c:v>
                </c:pt>
              </c:numCache>
            </c:numRef>
          </c:cat>
          <c:val>
            <c:numRef>
              <c:f>DIAGRAMAS_X!$E$14:$E$64</c:f>
              <c:numCache>
                <c:formatCode>0.00</c:formatCode>
                <c:ptCount val="51"/>
                <c:pt idx="0">
                  <c:v>54.298386666666659</c:v>
                </c:pt>
                <c:pt idx="1">
                  <c:v>54.302277866666664</c:v>
                </c:pt>
                <c:pt idx="2">
                  <c:v>54.306169066666662</c:v>
                </c:pt>
                <c:pt idx="3">
                  <c:v>54.310060266666667</c:v>
                </c:pt>
                <c:pt idx="4">
                  <c:v>54.313951466666659</c:v>
                </c:pt>
                <c:pt idx="5">
                  <c:v>54.317842666666664</c:v>
                </c:pt>
                <c:pt idx="6">
                  <c:v>54.321733866666662</c:v>
                </c:pt>
                <c:pt idx="7">
                  <c:v>54.325625066666667</c:v>
                </c:pt>
                <c:pt idx="8">
                  <c:v>54.329516266666658</c:v>
                </c:pt>
                <c:pt idx="9">
                  <c:v>54.333407466666657</c:v>
                </c:pt>
                <c:pt idx="10">
                  <c:v>54.337298666666662</c:v>
                </c:pt>
                <c:pt idx="11">
                  <c:v>54.34118986666666</c:v>
                </c:pt>
                <c:pt idx="12">
                  <c:v>54.345081066666665</c:v>
                </c:pt>
                <c:pt idx="13">
                  <c:v>54.348972266666657</c:v>
                </c:pt>
                <c:pt idx="14">
                  <c:v>54.352863466666662</c:v>
                </c:pt>
                <c:pt idx="15">
                  <c:v>54.35675466666666</c:v>
                </c:pt>
                <c:pt idx="16">
                  <c:v>54.360645866666665</c:v>
                </c:pt>
                <c:pt idx="17">
                  <c:v>54.364537066666664</c:v>
                </c:pt>
                <c:pt idx="18">
                  <c:v>54.368428266666662</c:v>
                </c:pt>
                <c:pt idx="19">
                  <c:v>54.37231946666666</c:v>
                </c:pt>
                <c:pt idx="20">
                  <c:v>54.376210666666665</c:v>
                </c:pt>
                <c:pt idx="21">
                  <c:v>54.380101866666664</c:v>
                </c:pt>
                <c:pt idx="22">
                  <c:v>54.383993066666662</c:v>
                </c:pt>
                <c:pt idx="23">
                  <c:v>54.38788426666666</c:v>
                </c:pt>
                <c:pt idx="24">
                  <c:v>54.391775466666665</c:v>
                </c:pt>
                <c:pt idx="25">
                  <c:v>54.395666666666664</c:v>
                </c:pt>
                <c:pt idx="26">
                  <c:v>54.399557866666662</c:v>
                </c:pt>
                <c:pt idx="27">
                  <c:v>54.40344906666666</c:v>
                </c:pt>
                <c:pt idx="28">
                  <c:v>54.407340266666658</c:v>
                </c:pt>
                <c:pt idx="29">
                  <c:v>54.411231466666663</c:v>
                </c:pt>
                <c:pt idx="30">
                  <c:v>54.415122666666662</c:v>
                </c:pt>
                <c:pt idx="31">
                  <c:v>54.41901386666666</c:v>
                </c:pt>
                <c:pt idx="32">
                  <c:v>54.422905066666658</c:v>
                </c:pt>
                <c:pt idx="33">
                  <c:v>54.426796266666663</c:v>
                </c:pt>
                <c:pt idx="34">
                  <c:v>54.430687466666662</c:v>
                </c:pt>
                <c:pt idx="35">
                  <c:v>54.434578666666667</c:v>
                </c:pt>
                <c:pt idx="36">
                  <c:v>54.438469866666658</c:v>
                </c:pt>
                <c:pt idx="37">
                  <c:v>54.442361066666663</c:v>
                </c:pt>
                <c:pt idx="38">
                  <c:v>54.446252266666662</c:v>
                </c:pt>
                <c:pt idx="39">
                  <c:v>54.450143466666667</c:v>
                </c:pt>
                <c:pt idx="40">
                  <c:v>54.454034666666665</c:v>
                </c:pt>
                <c:pt idx="41">
                  <c:v>54.457925866666663</c:v>
                </c:pt>
                <c:pt idx="42">
                  <c:v>54.461817066666661</c:v>
                </c:pt>
                <c:pt idx="43">
                  <c:v>54.46570826666666</c:v>
                </c:pt>
                <c:pt idx="44">
                  <c:v>54.469599466666665</c:v>
                </c:pt>
                <c:pt idx="45">
                  <c:v>54.473490666666663</c:v>
                </c:pt>
                <c:pt idx="46">
                  <c:v>54.477381866666661</c:v>
                </c:pt>
                <c:pt idx="47">
                  <c:v>54.48127306666666</c:v>
                </c:pt>
                <c:pt idx="48">
                  <c:v>54.485164266666665</c:v>
                </c:pt>
                <c:pt idx="49">
                  <c:v>54.489055466666663</c:v>
                </c:pt>
                <c:pt idx="50">
                  <c:v>54.492946666666661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CC-4FA9-8531-AAE117DF1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Cortante VX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DIAGRAMAS_X!$I$13</c:f>
              <c:strCache>
                <c:ptCount val="1"/>
                <c:pt idx="0">
                  <c:v>V_X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7.4999999999999956E-2</c:v>
                </c:pt>
                <c:pt idx="27">
                  <c:v>0.14999999999999991</c:v>
                </c:pt>
                <c:pt idx="28">
                  <c:v>0.22500000000000009</c:v>
                </c:pt>
                <c:pt idx="29">
                  <c:v>0.29999999999999982</c:v>
                </c:pt>
                <c:pt idx="30">
                  <c:v>0.375</c:v>
                </c:pt>
                <c:pt idx="31">
                  <c:v>0.45000000000000018</c:v>
                </c:pt>
                <c:pt idx="32">
                  <c:v>0.52499999999999991</c:v>
                </c:pt>
                <c:pt idx="33">
                  <c:v>0.60000000000000009</c:v>
                </c:pt>
                <c:pt idx="34">
                  <c:v>0.67499999999999982</c:v>
                </c:pt>
                <c:pt idx="35">
                  <c:v>0.75</c:v>
                </c:pt>
                <c:pt idx="36">
                  <c:v>0.82500000000000018</c:v>
                </c:pt>
                <c:pt idx="37">
                  <c:v>0.89999999999999991</c:v>
                </c:pt>
                <c:pt idx="38">
                  <c:v>0.97500000000000009</c:v>
                </c:pt>
                <c:pt idx="39">
                  <c:v>1.0499999999999998</c:v>
                </c:pt>
                <c:pt idx="40">
                  <c:v>1.125</c:v>
                </c:pt>
                <c:pt idx="41">
                  <c:v>1.2000000000000002</c:v>
                </c:pt>
                <c:pt idx="42">
                  <c:v>1.2749999999999999</c:v>
                </c:pt>
                <c:pt idx="43">
                  <c:v>1.35</c:v>
                </c:pt>
                <c:pt idx="44">
                  <c:v>1.4249999999999998</c:v>
                </c:pt>
                <c:pt idx="45">
                  <c:v>1.5</c:v>
                </c:pt>
                <c:pt idx="46">
                  <c:v>1.5750000000000002</c:v>
                </c:pt>
                <c:pt idx="47">
                  <c:v>1.65</c:v>
                </c:pt>
                <c:pt idx="48">
                  <c:v>1.7250000000000001</c:v>
                </c:pt>
                <c:pt idx="49">
                  <c:v>1.7999999999999998</c:v>
                </c:pt>
                <c:pt idx="50">
                  <c:v>1.875</c:v>
                </c:pt>
              </c:numCache>
            </c:numRef>
          </c:cat>
          <c:val>
            <c:numRef>
              <c:f>DIAGRAMAS_X!$I$14:$I$64</c:f>
              <c:numCache>
                <c:formatCode>0.00</c:formatCode>
                <c:ptCount val="51"/>
                <c:pt idx="0">
                  <c:v>0</c:v>
                </c:pt>
                <c:pt idx="1">
                  <c:v>2.9756499199999977</c:v>
                </c:pt>
                <c:pt idx="2">
                  <c:v>5.9515916799999955</c:v>
                </c:pt>
                <c:pt idx="3">
                  <c:v>8.9278252800000022</c:v>
                </c:pt>
                <c:pt idx="4">
                  <c:v>11.90435072</c:v>
                </c:pt>
                <c:pt idx="5">
                  <c:v>14.881167999999999</c:v>
                </c:pt>
                <c:pt idx="6">
                  <c:v>17.858277119999997</c:v>
                </c:pt>
                <c:pt idx="7">
                  <c:v>20.835678079999994</c:v>
                </c:pt>
                <c:pt idx="8">
                  <c:v>23.813370880000001</c:v>
                </c:pt>
                <c:pt idx="9">
                  <c:v>26.79135552</c:v>
                </c:pt>
                <c:pt idx="10">
                  <c:v>29.769631999999998</c:v>
                </c:pt>
                <c:pt idx="11">
                  <c:v>32.748200319999995</c:v>
                </c:pt>
                <c:pt idx="12">
                  <c:v>35.727060479999999</c:v>
                </c:pt>
                <c:pt idx="13">
                  <c:v>38.706212479999998</c:v>
                </c:pt>
                <c:pt idx="14">
                  <c:v>41.68565632</c:v>
                </c:pt>
                <c:pt idx="15">
                  <c:v>44.665391999999997</c:v>
                </c:pt>
                <c:pt idx="16">
                  <c:v>47.645419519999997</c:v>
                </c:pt>
                <c:pt idx="17">
                  <c:v>50.625738879999993</c:v>
                </c:pt>
                <c:pt idx="18">
                  <c:v>53.606350079999999</c:v>
                </c:pt>
                <c:pt idx="19">
                  <c:v>56.58725312</c:v>
                </c:pt>
                <c:pt idx="20">
                  <c:v>59.568447999999997</c:v>
                </c:pt>
                <c:pt idx="21">
                  <c:v>62.549934719999996</c:v>
                </c:pt>
                <c:pt idx="22">
                  <c:v>65.531713279999991</c:v>
                </c:pt>
                <c:pt idx="23">
                  <c:v>49.871283679999969</c:v>
                </c:pt>
                <c:pt idx="24">
                  <c:v>24.88989591999999</c:v>
                </c:pt>
                <c:pt idx="25">
                  <c:v>-9.1199999999989956E-2</c:v>
                </c:pt>
                <c:pt idx="26">
                  <c:v>-25.072004079999971</c:v>
                </c:pt>
                <c:pt idx="27">
                  <c:v>-50.052516319999953</c:v>
                </c:pt>
                <c:pt idx="28">
                  <c:v>-65.711486719999982</c:v>
                </c:pt>
                <c:pt idx="29">
                  <c:v>-62.727665279999997</c:v>
                </c:pt>
                <c:pt idx="30">
                  <c:v>-59.743551999999987</c:v>
                </c:pt>
                <c:pt idx="31">
                  <c:v>-56.759146879999982</c:v>
                </c:pt>
                <c:pt idx="32">
                  <c:v>-53.774449919999995</c:v>
                </c:pt>
                <c:pt idx="33">
                  <c:v>-50.789461119999991</c:v>
                </c:pt>
                <c:pt idx="34">
                  <c:v>-47.804180479999999</c:v>
                </c:pt>
                <c:pt idx="35">
                  <c:v>-44.81860799999999</c:v>
                </c:pt>
                <c:pt idx="36">
                  <c:v>-41.832743679999986</c:v>
                </c:pt>
                <c:pt idx="37">
                  <c:v>-38.84658752</c:v>
                </c:pt>
                <c:pt idx="38">
                  <c:v>-35.86013951999999</c:v>
                </c:pt>
                <c:pt idx="39">
                  <c:v>-32.873399679999999</c:v>
                </c:pt>
                <c:pt idx="40">
                  <c:v>-29.88636799999999</c:v>
                </c:pt>
                <c:pt idx="41">
                  <c:v>-26.899044479999983</c:v>
                </c:pt>
                <c:pt idx="42">
                  <c:v>-23.911429119999994</c:v>
                </c:pt>
                <c:pt idx="43">
                  <c:v>-20.923521919999988</c:v>
                </c:pt>
                <c:pt idx="44">
                  <c:v>-17.935322879999998</c:v>
                </c:pt>
                <c:pt idx="45">
                  <c:v>-14.94683199999999</c:v>
                </c:pt>
                <c:pt idx="46">
                  <c:v>-11.958049279999983</c:v>
                </c:pt>
                <c:pt idx="47">
                  <c:v>-8.968974719999995</c:v>
                </c:pt>
                <c:pt idx="48">
                  <c:v>-5.9796083199999881</c:v>
                </c:pt>
                <c:pt idx="49">
                  <c:v>-2.989950079999999</c:v>
                </c:pt>
                <c:pt idx="50">
                  <c:v>7.9936057773011271E-15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79-45A5-91BE-B630F1B8F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Momento MX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DIAGRAMAS_X!$J$13</c:f>
              <c:strCache>
                <c:ptCount val="1"/>
                <c:pt idx="0">
                  <c:v>M_X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7.4999999999999956E-2</c:v>
                </c:pt>
                <c:pt idx="27">
                  <c:v>0.14999999999999991</c:v>
                </c:pt>
                <c:pt idx="28">
                  <c:v>0.22500000000000009</c:v>
                </c:pt>
                <c:pt idx="29">
                  <c:v>0.29999999999999982</c:v>
                </c:pt>
                <c:pt idx="30">
                  <c:v>0.375</c:v>
                </c:pt>
                <c:pt idx="31">
                  <c:v>0.45000000000000018</c:v>
                </c:pt>
                <c:pt idx="32">
                  <c:v>0.52499999999999991</c:v>
                </c:pt>
                <c:pt idx="33">
                  <c:v>0.60000000000000009</c:v>
                </c:pt>
                <c:pt idx="34">
                  <c:v>0.67499999999999982</c:v>
                </c:pt>
                <c:pt idx="35">
                  <c:v>0.75</c:v>
                </c:pt>
                <c:pt idx="36">
                  <c:v>0.82500000000000018</c:v>
                </c:pt>
                <c:pt idx="37">
                  <c:v>0.89999999999999991</c:v>
                </c:pt>
                <c:pt idx="38">
                  <c:v>0.97500000000000009</c:v>
                </c:pt>
                <c:pt idx="39">
                  <c:v>1.0499999999999998</c:v>
                </c:pt>
                <c:pt idx="40">
                  <c:v>1.125</c:v>
                </c:pt>
                <c:pt idx="41">
                  <c:v>1.2000000000000002</c:v>
                </c:pt>
                <c:pt idx="42">
                  <c:v>1.2749999999999999</c:v>
                </c:pt>
                <c:pt idx="43">
                  <c:v>1.35</c:v>
                </c:pt>
                <c:pt idx="44">
                  <c:v>1.4249999999999998</c:v>
                </c:pt>
                <c:pt idx="45">
                  <c:v>1.5</c:v>
                </c:pt>
                <c:pt idx="46">
                  <c:v>1.5750000000000002</c:v>
                </c:pt>
                <c:pt idx="47">
                  <c:v>1.65</c:v>
                </c:pt>
                <c:pt idx="48">
                  <c:v>1.7250000000000001</c:v>
                </c:pt>
                <c:pt idx="49">
                  <c:v>1.7999999999999998</c:v>
                </c:pt>
                <c:pt idx="50">
                  <c:v>1.875</c:v>
                </c:pt>
              </c:numCache>
            </c:numRef>
          </c:cat>
          <c:val>
            <c:numRef>
              <c:f>DIAGRAMAS_X!$J$14:$J$64</c:f>
              <c:numCache>
                <c:formatCode>0.00</c:formatCode>
                <c:ptCount val="51"/>
                <c:pt idx="0">
                  <c:v>0</c:v>
                </c:pt>
                <c:pt idx="1">
                  <c:v>0.11158687199999985</c:v>
                </c:pt>
                <c:pt idx="2">
                  <c:v>0.44635843199999936</c:v>
                </c:pt>
                <c:pt idx="3">
                  <c:v>1.0043365680000007</c:v>
                </c:pt>
                <c:pt idx="4">
                  <c:v>1.7855431680000002</c:v>
                </c:pt>
                <c:pt idx="5">
                  <c:v>2.7900001199999993</c:v>
                </c:pt>
                <c:pt idx="6">
                  <c:v>4.0177293119999984</c:v>
                </c:pt>
                <c:pt idx="7">
                  <c:v>5.4687526319999975</c:v>
                </c:pt>
                <c:pt idx="8">
                  <c:v>7.1430919680000011</c:v>
                </c:pt>
                <c:pt idx="9">
                  <c:v>9.0407692080000004</c:v>
                </c:pt>
                <c:pt idx="10">
                  <c:v>11.161806239999999</c:v>
                </c:pt>
                <c:pt idx="11">
                  <c:v>13.506224951999997</c:v>
                </c:pt>
                <c:pt idx="12">
                  <c:v>16.074047231999998</c:v>
                </c:pt>
                <c:pt idx="13">
                  <c:v>18.865294967999997</c:v>
                </c:pt>
                <c:pt idx="14">
                  <c:v>21.879990048</c:v>
                </c:pt>
                <c:pt idx="15">
                  <c:v>25.118154359999998</c:v>
                </c:pt>
                <c:pt idx="16">
                  <c:v>28.579809791999995</c:v>
                </c:pt>
                <c:pt idx="17">
                  <c:v>32.26497823199999</c:v>
                </c:pt>
                <c:pt idx="18">
                  <c:v>36.173681567999999</c:v>
                </c:pt>
                <c:pt idx="19">
                  <c:v>40.305941687999997</c:v>
                </c:pt>
                <c:pt idx="20">
                  <c:v>44.661780479999997</c:v>
                </c:pt>
                <c:pt idx="21">
                  <c:v>49.241219831999992</c:v>
                </c:pt>
                <c:pt idx="22">
                  <c:v>54.044281631999986</c:v>
                </c:pt>
                <c:pt idx="23">
                  <c:v>58.371894017999992</c:v>
                </c:pt>
                <c:pt idx="24">
                  <c:v>61.175438252999989</c:v>
                </c:pt>
                <c:pt idx="25">
                  <c:v>62.105389349999989</c:v>
                </c:pt>
                <c:pt idx="26">
                  <c:v>61.161769196999991</c:v>
                </c:pt>
                <c:pt idx="27">
                  <c:v>58.344599681999995</c:v>
                </c:pt>
                <c:pt idx="28">
                  <c:v>54.003449567999986</c:v>
                </c:pt>
                <c:pt idx="29">
                  <c:v>49.186981368000005</c:v>
                </c:pt>
                <c:pt idx="30">
                  <c:v>44.594310719999996</c:v>
                </c:pt>
                <c:pt idx="31">
                  <c:v>40.225459511999986</c:v>
                </c:pt>
                <c:pt idx="32">
                  <c:v>36.080449632000004</c:v>
                </c:pt>
                <c:pt idx="33">
                  <c:v>32.159302967999992</c:v>
                </c:pt>
                <c:pt idx="34">
                  <c:v>28.462041408000005</c:v>
                </c:pt>
                <c:pt idx="35">
                  <c:v>24.988686839999996</c:v>
                </c:pt>
                <c:pt idx="36">
                  <c:v>21.73926115199999</c:v>
                </c:pt>
                <c:pt idx="37">
                  <c:v>18.713786232</c:v>
                </c:pt>
                <c:pt idx="38">
                  <c:v>15.912283967999993</c:v>
                </c:pt>
                <c:pt idx="39">
                  <c:v>13.334776248000002</c:v>
                </c:pt>
                <c:pt idx="40">
                  <c:v>10.981284959999996</c:v>
                </c:pt>
                <c:pt idx="41">
                  <c:v>8.8518319919999922</c:v>
                </c:pt>
                <c:pt idx="42">
                  <c:v>6.9464392319999995</c:v>
                </c:pt>
                <c:pt idx="43">
                  <c:v>5.2651285679999962</c:v>
                </c:pt>
                <c:pt idx="44">
                  <c:v>3.8079218880000019</c:v>
                </c:pt>
                <c:pt idx="45">
                  <c:v>2.5748410799999997</c:v>
                </c:pt>
                <c:pt idx="46">
                  <c:v>1.5659080319999983</c:v>
                </c:pt>
                <c:pt idx="47">
                  <c:v>0.78114463200000195</c:v>
                </c:pt>
                <c:pt idx="48">
                  <c:v>0.22057276800000125</c:v>
                </c:pt>
                <c:pt idx="49">
                  <c:v>-0.11578567199999701</c:v>
                </c:pt>
                <c:pt idx="50">
                  <c:v>-0.22790879999999694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03-4F10-AC26-848A9D16A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tonf*m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 ultima integrada 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DIAGRAMAS_Y!$E$13</c:f>
              <c:strCache>
                <c:ptCount val="1"/>
                <c:pt idx="0">
                  <c:v>w_u integrada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7.4999999999999956E-2</c:v>
                </c:pt>
                <c:pt idx="27">
                  <c:v>0.14999999999999991</c:v>
                </c:pt>
                <c:pt idx="28">
                  <c:v>0.22500000000000009</c:v>
                </c:pt>
                <c:pt idx="29">
                  <c:v>0.29999999999999982</c:v>
                </c:pt>
                <c:pt idx="30">
                  <c:v>0.375</c:v>
                </c:pt>
                <c:pt idx="31">
                  <c:v>0.45000000000000018</c:v>
                </c:pt>
                <c:pt idx="32">
                  <c:v>0.52499999999999991</c:v>
                </c:pt>
                <c:pt idx="33">
                  <c:v>0.60000000000000009</c:v>
                </c:pt>
                <c:pt idx="34">
                  <c:v>0.67499999999999982</c:v>
                </c:pt>
                <c:pt idx="35">
                  <c:v>0.75</c:v>
                </c:pt>
                <c:pt idx="36">
                  <c:v>0.82500000000000018</c:v>
                </c:pt>
                <c:pt idx="37">
                  <c:v>0.89999999999999991</c:v>
                </c:pt>
                <c:pt idx="38">
                  <c:v>0.97500000000000009</c:v>
                </c:pt>
                <c:pt idx="39">
                  <c:v>1.0499999999999998</c:v>
                </c:pt>
                <c:pt idx="40">
                  <c:v>1.125</c:v>
                </c:pt>
                <c:pt idx="41">
                  <c:v>1.2000000000000002</c:v>
                </c:pt>
                <c:pt idx="42">
                  <c:v>1.2749999999999999</c:v>
                </c:pt>
                <c:pt idx="43">
                  <c:v>1.35</c:v>
                </c:pt>
                <c:pt idx="44">
                  <c:v>1.4249999999999998</c:v>
                </c:pt>
                <c:pt idx="45">
                  <c:v>1.5</c:v>
                </c:pt>
                <c:pt idx="46">
                  <c:v>1.5750000000000002</c:v>
                </c:pt>
                <c:pt idx="47">
                  <c:v>1.65</c:v>
                </c:pt>
                <c:pt idx="48">
                  <c:v>1.7250000000000001</c:v>
                </c:pt>
                <c:pt idx="49">
                  <c:v>1.7999999999999998</c:v>
                </c:pt>
                <c:pt idx="50">
                  <c:v>1.875</c:v>
                </c:pt>
              </c:numCache>
            </c:numRef>
          </c:cat>
          <c:val>
            <c:numRef>
              <c:f>DIAGRAMAS_Y!$E$14:$E$64</c:f>
              <c:numCache>
                <c:formatCode>0.00</c:formatCode>
                <c:ptCount val="51"/>
                <c:pt idx="0">
                  <c:v>54.724199999999996</c:v>
                </c:pt>
                <c:pt idx="1">
                  <c:v>54.711058666666659</c:v>
                </c:pt>
                <c:pt idx="2">
                  <c:v>54.697917333333322</c:v>
                </c:pt>
                <c:pt idx="3">
                  <c:v>54.684775999999999</c:v>
                </c:pt>
                <c:pt idx="4">
                  <c:v>54.671634666666662</c:v>
                </c:pt>
                <c:pt idx="5">
                  <c:v>54.658493333333325</c:v>
                </c:pt>
                <c:pt idx="6">
                  <c:v>54.645351999999995</c:v>
                </c:pt>
                <c:pt idx="7">
                  <c:v>54.632210666666666</c:v>
                </c:pt>
                <c:pt idx="8">
                  <c:v>54.619069333333329</c:v>
                </c:pt>
                <c:pt idx="9">
                  <c:v>54.605927999999992</c:v>
                </c:pt>
                <c:pt idx="10">
                  <c:v>54.592786666666662</c:v>
                </c:pt>
                <c:pt idx="11">
                  <c:v>54.579645333333332</c:v>
                </c:pt>
                <c:pt idx="12">
                  <c:v>54.566503999999995</c:v>
                </c:pt>
                <c:pt idx="13">
                  <c:v>54.553362666666665</c:v>
                </c:pt>
                <c:pt idx="14">
                  <c:v>54.540221333333328</c:v>
                </c:pt>
                <c:pt idx="15">
                  <c:v>54.527079999999998</c:v>
                </c:pt>
                <c:pt idx="16">
                  <c:v>54.513938666666661</c:v>
                </c:pt>
                <c:pt idx="17">
                  <c:v>54.500797333333331</c:v>
                </c:pt>
                <c:pt idx="18">
                  <c:v>54.487655999999994</c:v>
                </c:pt>
                <c:pt idx="19">
                  <c:v>54.474514666666657</c:v>
                </c:pt>
                <c:pt idx="20">
                  <c:v>54.461373333333334</c:v>
                </c:pt>
                <c:pt idx="21">
                  <c:v>54.448231999999997</c:v>
                </c:pt>
                <c:pt idx="22">
                  <c:v>54.43509066666666</c:v>
                </c:pt>
                <c:pt idx="23">
                  <c:v>54.421949333333323</c:v>
                </c:pt>
                <c:pt idx="24">
                  <c:v>54.408808000000001</c:v>
                </c:pt>
                <c:pt idx="25">
                  <c:v>54.395666666666664</c:v>
                </c:pt>
                <c:pt idx="26">
                  <c:v>54.382525333333327</c:v>
                </c:pt>
                <c:pt idx="27">
                  <c:v>54.369383999999997</c:v>
                </c:pt>
                <c:pt idx="28">
                  <c:v>54.35624266666666</c:v>
                </c:pt>
                <c:pt idx="29">
                  <c:v>54.34310133333333</c:v>
                </c:pt>
                <c:pt idx="30">
                  <c:v>54.329959999999993</c:v>
                </c:pt>
                <c:pt idx="31">
                  <c:v>54.316818666666663</c:v>
                </c:pt>
                <c:pt idx="32">
                  <c:v>54.303677333333326</c:v>
                </c:pt>
                <c:pt idx="33">
                  <c:v>54.290535999999996</c:v>
                </c:pt>
                <c:pt idx="34">
                  <c:v>54.277394666666666</c:v>
                </c:pt>
                <c:pt idx="35">
                  <c:v>54.264253333333329</c:v>
                </c:pt>
                <c:pt idx="36">
                  <c:v>54.251111999999992</c:v>
                </c:pt>
                <c:pt idx="37">
                  <c:v>54.237970666666662</c:v>
                </c:pt>
                <c:pt idx="38">
                  <c:v>54.224829333333332</c:v>
                </c:pt>
                <c:pt idx="39">
                  <c:v>54.211687999999995</c:v>
                </c:pt>
                <c:pt idx="40">
                  <c:v>54.198546666666658</c:v>
                </c:pt>
                <c:pt idx="41">
                  <c:v>54.185405333333335</c:v>
                </c:pt>
                <c:pt idx="42">
                  <c:v>54.172263999999998</c:v>
                </c:pt>
                <c:pt idx="43">
                  <c:v>54.159122666666661</c:v>
                </c:pt>
                <c:pt idx="44">
                  <c:v>54.145981333333324</c:v>
                </c:pt>
                <c:pt idx="45">
                  <c:v>54.132839999999995</c:v>
                </c:pt>
                <c:pt idx="46">
                  <c:v>54.119698666666665</c:v>
                </c:pt>
                <c:pt idx="47">
                  <c:v>54.106557333333328</c:v>
                </c:pt>
                <c:pt idx="48">
                  <c:v>54.093415999999998</c:v>
                </c:pt>
                <c:pt idx="49">
                  <c:v>54.080274666666661</c:v>
                </c:pt>
                <c:pt idx="50">
                  <c:v>54.067133333333331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63-4413-B349-329BE4484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Cortante VY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DIAGRAMAS_Y!$I$13</c:f>
              <c:strCache>
                <c:ptCount val="1"/>
                <c:pt idx="0">
                  <c:v>V_Y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7.4999999999999956E-2</c:v>
                </c:pt>
                <c:pt idx="27">
                  <c:v>0.14999999999999991</c:v>
                </c:pt>
                <c:pt idx="28">
                  <c:v>0.22500000000000009</c:v>
                </c:pt>
                <c:pt idx="29">
                  <c:v>0.29999999999999982</c:v>
                </c:pt>
                <c:pt idx="30">
                  <c:v>0.375</c:v>
                </c:pt>
                <c:pt idx="31">
                  <c:v>0.45000000000000018</c:v>
                </c:pt>
                <c:pt idx="32">
                  <c:v>0.52499999999999991</c:v>
                </c:pt>
                <c:pt idx="33">
                  <c:v>0.60000000000000009</c:v>
                </c:pt>
                <c:pt idx="34">
                  <c:v>0.67499999999999982</c:v>
                </c:pt>
                <c:pt idx="35">
                  <c:v>0.75</c:v>
                </c:pt>
                <c:pt idx="36">
                  <c:v>0.82500000000000018</c:v>
                </c:pt>
                <c:pt idx="37">
                  <c:v>0.89999999999999991</c:v>
                </c:pt>
                <c:pt idx="38">
                  <c:v>0.97500000000000009</c:v>
                </c:pt>
                <c:pt idx="39">
                  <c:v>1.0499999999999998</c:v>
                </c:pt>
                <c:pt idx="40">
                  <c:v>1.125</c:v>
                </c:pt>
                <c:pt idx="41">
                  <c:v>1.2000000000000002</c:v>
                </c:pt>
                <c:pt idx="42">
                  <c:v>1.2749999999999999</c:v>
                </c:pt>
                <c:pt idx="43">
                  <c:v>1.35</c:v>
                </c:pt>
                <c:pt idx="44">
                  <c:v>1.4249999999999998</c:v>
                </c:pt>
                <c:pt idx="45">
                  <c:v>1.5</c:v>
                </c:pt>
                <c:pt idx="46">
                  <c:v>1.5750000000000002</c:v>
                </c:pt>
                <c:pt idx="47">
                  <c:v>1.65</c:v>
                </c:pt>
                <c:pt idx="48">
                  <c:v>1.7250000000000001</c:v>
                </c:pt>
                <c:pt idx="49">
                  <c:v>1.7999999999999998</c:v>
                </c:pt>
                <c:pt idx="50">
                  <c:v>1.875</c:v>
                </c:pt>
              </c:numCache>
            </c:numRef>
          </c:cat>
          <c:val>
            <c:numRef>
              <c:f>DIAGRAMAS_Y!$I$14:$I$64</c:f>
              <c:numCache>
                <c:formatCode>0.00</c:formatCode>
                <c:ptCount val="51"/>
                <c:pt idx="0">
                  <c:v>0</c:v>
                </c:pt>
                <c:pt idx="1">
                  <c:v>3.0069471999999977</c:v>
                </c:pt>
                <c:pt idx="2">
                  <c:v>6.0129087999999946</c:v>
                </c:pt>
                <c:pt idx="3">
                  <c:v>9.0178848000000009</c:v>
                </c:pt>
                <c:pt idx="4">
                  <c:v>12.021875199999998</c:v>
                </c:pt>
                <c:pt idx="5">
                  <c:v>15.024879999999996</c:v>
                </c:pt>
                <c:pt idx="6">
                  <c:v>18.026899199999995</c:v>
                </c:pt>
                <c:pt idx="7">
                  <c:v>21.027932799999995</c:v>
                </c:pt>
                <c:pt idx="8">
                  <c:v>24.027980800000002</c:v>
                </c:pt>
                <c:pt idx="9">
                  <c:v>27.027043200000001</c:v>
                </c:pt>
                <c:pt idx="10">
                  <c:v>30.025120000000001</c:v>
                </c:pt>
                <c:pt idx="11">
                  <c:v>33.022211200000001</c:v>
                </c:pt>
                <c:pt idx="12">
                  <c:v>36.018316800000001</c:v>
                </c:pt>
                <c:pt idx="13">
                  <c:v>39.013436800000001</c:v>
                </c:pt>
                <c:pt idx="14">
                  <c:v>42.007571200000001</c:v>
                </c:pt>
                <c:pt idx="15">
                  <c:v>45.000720000000001</c:v>
                </c:pt>
                <c:pt idx="16">
                  <c:v>47.992883200000001</c:v>
                </c:pt>
                <c:pt idx="17">
                  <c:v>50.984060800000002</c:v>
                </c:pt>
                <c:pt idx="18">
                  <c:v>53.974252800000009</c:v>
                </c:pt>
                <c:pt idx="19">
                  <c:v>56.96345920000001</c:v>
                </c:pt>
                <c:pt idx="20">
                  <c:v>59.95168000000001</c:v>
                </c:pt>
                <c:pt idx="21">
                  <c:v>62.938915200000011</c:v>
                </c:pt>
                <c:pt idx="22">
                  <c:v>65.925164800000005</c:v>
                </c:pt>
                <c:pt idx="23">
                  <c:v>50.267928799999972</c:v>
                </c:pt>
                <c:pt idx="24">
                  <c:v>25.288457199999993</c:v>
                </c:pt>
                <c:pt idx="25">
                  <c:v>0.30800000000001049</c:v>
                </c:pt>
                <c:pt idx="26">
                  <c:v>-24.673442799999972</c:v>
                </c:pt>
                <c:pt idx="27">
                  <c:v>-49.65587119999995</c:v>
                </c:pt>
                <c:pt idx="28">
                  <c:v>-65.318035199999969</c:v>
                </c:pt>
                <c:pt idx="29">
                  <c:v>-62.338684799999982</c:v>
                </c:pt>
                <c:pt idx="30">
                  <c:v>-59.360319999999973</c:v>
                </c:pt>
                <c:pt idx="31">
                  <c:v>-56.382940799999965</c:v>
                </c:pt>
                <c:pt idx="32">
                  <c:v>-53.406547199999977</c:v>
                </c:pt>
                <c:pt idx="33">
                  <c:v>-50.431139199999969</c:v>
                </c:pt>
                <c:pt idx="34">
                  <c:v>-47.456716799999981</c:v>
                </c:pt>
                <c:pt idx="35">
                  <c:v>-44.483279999999972</c:v>
                </c:pt>
                <c:pt idx="36">
                  <c:v>-41.510828799999963</c:v>
                </c:pt>
                <c:pt idx="37">
                  <c:v>-38.539363199999976</c:v>
                </c:pt>
                <c:pt idx="38">
                  <c:v>-35.568883199999966</c:v>
                </c:pt>
                <c:pt idx="39">
                  <c:v>-32.599388799999979</c:v>
                </c:pt>
                <c:pt idx="40">
                  <c:v>-29.630879999999973</c:v>
                </c:pt>
                <c:pt idx="41">
                  <c:v>-26.663356799999967</c:v>
                </c:pt>
                <c:pt idx="42">
                  <c:v>-23.696819199999979</c:v>
                </c:pt>
                <c:pt idx="43">
                  <c:v>-20.731267199999973</c:v>
                </c:pt>
                <c:pt idx="44">
                  <c:v>-17.766700799999985</c:v>
                </c:pt>
                <c:pt idx="45">
                  <c:v>-14.803119999999979</c:v>
                </c:pt>
                <c:pt idx="46">
                  <c:v>-11.840524799999972</c:v>
                </c:pt>
                <c:pt idx="47">
                  <c:v>-8.8789151999999838</c:v>
                </c:pt>
                <c:pt idx="48">
                  <c:v>-5.9182911999999774</c:v>
                </c:pt>
                <c:pt idx="49">
                  <c:v>-2.9586527999999883</c:v>
                </c:pt>
                <c:pt idx="50">
                  <c:v>1.8207657603852567E-14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F0-4F23-92DC-07D515FAF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Momento MY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DIAGRAMAS_Y!$J$13</c:f>
              <c:strCache>
                <c:ptCount val="1"/>
                <c:pt idx="0">
                  <c:v>M_Y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7.4999999999999956E-2</c:v>
                </c:pt>
                <c:pt idx="27">
                  <c:v>0.14999999999999991</c:v>
                </c:pt>
                <c:pt idx="28">
                  <c:v>0.22500000000000009</c:v>
                </c:pt>
                <c:pt idx="29">
                  <c:v>0.29999999999999982</c:v>
                </c:pt>
                <c:pt idx="30">
                  <c:v>0.375</c:v>
                </c:pt>
                <c:pt idx="31">
                  <c:v>0.45000000000000018</c:v>
                </c:pt>
                <c:pt idx="32">
                  <c:v>0.52499999999999991</c:v>
                </c:pt>
                <c:pt idx="33">
                  <c:v>0.60000000000000009</c:v>
                </c:pt>
                <c:pt idx="34">
                  <c:v>0.67499999999999982</c:v>
                </c:pt>
                <c:pt idx="35">
                  <c:v>0.75</c:v>
                </c:pt>
                <c:pt idx="36">
                  <c:v>0.82500000000000018</c:v>
                </c:pt>
                <c:pt idx="37">
                  <c:v>0.89999999999999991</c:v>
                </c:pt>
                <c:pt idx="38">
                  <c:v>0.97500000000000009</c:v>
                </c:pt>
                <c:pt idx="39">
                  <c:v>1.0499999999999998</c:v>
                </c:pt>
                <c:pt idx="40">
                  <c:v>1.125</c:v>
                </c:pt>
                <c:pt idx="41">
                  <c:v>1.2000000000000002</c:v>
                </c:pt>
                <c:pt idx="42">
                  <c:v>1.2749999999999999</c:v>
                </c:pt>
                <c:pt idx="43">
                  <c:v>1.35</c:v>
                </c:pt>
                <c:pt idx="44">
                  <c:v>1.4249999999999998</c:v>
                </c:pt>
                <c:pt idx="45">
                  <c:v>1.5</c:v>
                </c:pt>
                <c:pt idx="46">
                  <c:v>1.5750000000000002</c:v>
                </c:pt>
                <c:pt idx="47">
                  <c:v>1.65</c:v>
                </c:pt>
                <c:pt idx="48">
                  <c:v>1.7250000000000001</c:v>
                </c:pt>
                <c:pt idx="49">
                  <c:v>1.7999999999999998</c:v>
                </c:pt>
                <c:pt idx="50">
                  <c:v>1.875</c:v>
                </c:pt>
              </c:numCache>
            </c:numRef>
          </c:cat>
          <c:val>
            <c:numRef>
              <c:f>DIAGRAMAS_Y!$J$14:$J$64</c:f>
              <c:numCache>
                <c:formatCode>0.00</c:formatCode>
                <c:ptCount val="51"/>
                <c:pt idx="0">
                  <c:v>0</c:v>
                </c:pt>
                <c:pt idx="1">
                  <c:v>0.11276051999999985</c:v>
                </c:pt>
                <c:pt idx="2">
                  <c:v>0.45100511999999937</c:v>
                </c:pt>
                <c:pt idx="3">
                  <c:v>1.0146598800000004</c:v>
                </c:pt>
                <c:pt idx="4">
                  <c:v>1.80365088</c:v>
                </c:pt>
                <c:pt idx="5">
                  <c:v>2.8179041999999992</c:v>
                </c:pt>
                <c:pt idx="6">
                  <c:v>4.0573459199999977</c:v>
                </c:pt>
                <c:pt idx="7">
                  <c:v>5.5219021199999965</c:v>
                </c:pt>
                <c:pt idx="8">
                  <c:v>7.2114988800000006</c:v>
                </c:pt>
                <c:pt idx="9">
                  <c:v>9.1260622799999993</c:v>
                </c:pt>
                <c:pt idx="10">
                  <c:v>11.265518399999998</c:v>
                </c:pt>
                <c:pt idx="11">
                  <c:v>13.629793319999997</c:v>
                </c:pt>
                <c:pt idx="12">
                  <c:v>16.21881312</c:v>
                </c:pt>
                <c:pt idx="13">
                  <c:v>19.03250388</c:v>
                </c:pt>
                <c:pt idx="14">
                  <c:v>22.070791680000003</c:v>
                </c:pt>
                <c:pt idx="15">
                  <c:v>25.333602599999999</c:v>
                </c:pt>
                <c:pt idx="16">
                  <c:v>28.820862719999997</c:v>
                </c:pt>
                <c:pt idx="17">
                  <c:v>32.532498119999993</c:v>
                </c:pt>
                <c:pt idx="18">
                  <c:v>36.468434880000004</c:v>
                </c:pt>
                <c:pt idx="19">
                  <c:v>40.628599080000001</c:v>
                </c:pt>
                <c:pt idx="20">
                  <c:v>45.012916799999999</c:v>
                </c:pt>
                <c:pt idx="21">
                  <c:v>49.621314119999994</c:v>
                </c:pt>
                <c:pt idx="22">
                  <c:v>54.453717119999993</c:v>
                </c:pt>
                <c:pt idx="23">
                  <c:v>58.810958130000003</c:v>
                </c:pt>
                <c:pt idx="24">
                  <c:v>61.644322604999999</c:v>
                </c:pt>
                <c:pt idx="25">
                  <c:v>62.604189749999996</c:v>
                </c:pt>
                <c:pt idx="26">
                  <c:v>61.690485644999995</c:v>
                </c:pt>
                <c:pt idx="27">
                  <c:v>58.903136369999999</c:v>
                </c:pt>
                <c:pt idx="28">
                  <c:v>54.591614879999995</c:v>
                </c:pt>
                <c:pt idx="29">
                  <c:v>49.804487880000011</c:v>
                </c:pt>
                <c:pt idx="30">
                  <c:v>45.240775200000002</c:v>
                </c:pt>
                <c:pt idx="31">
                  <c:v>40.900402919999991</c:v>
                </c:pt>
                <c:pt idx="32">
                  <c:v>36.783297120000007</c:v>
                </c:pt>
                <c:pt idx="33">
                  <c:v>32.889383879999997</c:v>
                </c:pt>
                <c:pt idx="34">
                  <c:v>29.21858928000001</c:v>
                </c:pt>
                <c:pt idx="35">
                  <c:v>25.770839400000003</c:v>
                </c:pt>
                <c:pt idx="36">
                  <c:v>22.546060319999999</c:v>
                </c:pt>
                <c:pt idx="37">
                  <c:v>19.544178120000012</c:v>
                </c:pt>
                <c:pt idx="38">
                  <c:v>16.765118880000006</c:v>
                </c:pt>
                <c:pt idx="39">
                  <c:v>14.208808680000018</c:v>
                </c:pt>
                <c:pt idx="40">
                  <c:v>11.875173600000014</c:v>
                </c:pt>
                <c:pt idx="41">
                  <c:v>9.7641397200000117</c:v>
                </c:pt>
                <c:pt idx="42">
                  <c:v>7.8756331200000202</c:v>
                </c:pt>
                <c:pt idx="43">
                  <c:v>6.2095798800000175</c:v>
                </c:pt>
                <c:pt idx="44">
                  <c:v>4.7659060800000237</c:v>
                </c:pt>
                <c:pt idx="45">
                  <c:v>3.5445378000000223</c:v>
                </c:pt>
                <c:pt idx="46">
                  <c:v>2.5454011200000215</c:v>
                </c:pt>
                <c:pt idx="47">
                  <c:v>1.7684221200000259</c:v>
                </c:pt>
                <c:pt idx="48">
                  <c:v>1.2135268800000261</c:v>
                </c:pt>
                <c:pt idx="49">
                  <c:v>0.88064148000002851</c:v>
                </c:pt>
                <c:pt idx="50">
                  <c:v>0.76969200000002935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B85-422F-989C-05BCE5157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tonf*m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Dimensiones, columna y resultantes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9091805555555557E-2"/>
          <c:y val="3.5606565656565656E-2"/>
          <c:w val="0.75522010862503586"/>
          <c:h val="0.84235909090909089"/>
        </c:manualLayout>
      </c:layout>
      <c:scatterChart>
        <c:scatterStyle val="lineMarker"/>
        <c:varyColors val="1"/>
        <c:ser>
          <c:idx val="0"/>
          <c:order val="0"/>
          <c:tx>
            <c:v>Contorno 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7-4084-976D-416E42352A0D}"/>
            </c:ext>
          </c:extLst>
        </c:ser>
        <c:ser>
          <c:idx val="1"/>
          <c:order val="1"/>
          <c:tx>
            <c:v>Contorno 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57-4084-976D-416E42352A0D}"/>
            </c:ext>
          </c:extLst>
        </c:ser>
        <c:ser>
          <c:idx val="4"/>
          <c:order val="2"/>
          <c:tx>
            <c:v>Posicion columna</c:v>
          </c:tx>
          <c:spPr>
            <a:ln>
              <a:noFill/>
              <a:prstDash val="solid"/>
            </a:ln>
          </c:spPr>
          <c:marker>
            <c:symbol val="square"/>
            <c:size val="8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xVal>
            <c:numRef>
              <c:f>GRAFICOS!$C$9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GRAFICOS!$D$9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F57-4084-976D-416E42352A0D}"/>
            </c:ext>
          </c:extLst>
        </c:ser>
        <c:ser>
          <c:idx val="5"/>
          <c:order val="3"/>
          <c:tx>
            <c:v>Resultante servicio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xVal>
            <c:numRef>
              <c:f>GRAFICOS!$E$4</c:f>
              <c:numCache>
                <c:formatCode>General</c:formatCode>
                <c:ptCount val="1"/>
                <c:pt idx="0">
                  <c:v>9.7934670189746015E-4</c:v>
                </c:pt>
              </c:numCache>
            </c:numRef>
          </c:xVal>
          <c:yVal>
            <c:numRef>
              <c:f>GRAFICOS!$F$4</c:f>
              <c:numCache>
                <c:formatCode>General</c:formatCode>
                <c:ptCount val="1"/>
                <c:pt idx="0">
                  <c:v>-3.5108776519825668E-3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F57-4084-976D-416E42352A0D}"/>
            </c:ext>
          </c:extLst>
        </c:ser>
        <c:ser>
          <c:idx val="6"/>
          <c:order val="4"/>
          <c:tx>
            <c:v>Resultante ultima</c:v>
          </c:tx>
          <c:spPr>
            <a:ln>
              <a:noFill/>
              <a:prstDash val="solid"/>
            </a:ln>
          </c:spPr>
          <c:marker>
            <c:symbol val="diamond"/>
            <c:size val="9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</c:marker>
          <c:xVal>
            <c:numRef>
              <c:f>GRAFICOS!$G$4</c:f>
              <c:numCache>
                <c:formatCode>General</c:formatCode>
                <c:ptCount val="1"/>
                <c:pt idx="0">
                  <c:v>1.1177360941741685E-3</c:v>
                </c:pt>
              </c:numCache>
            </c:numRef>
          </c:xVal>
          <c:yVal>
            <c:numRef>
              <c:f>GRAFICOS!$H$4</c:f>
              <c:numCache>
                <c:formatCode>General</c:formatCode>
                <c:ptCount val="1"/>
                <c:pt idx="0">
                  <c:v>-3.7748104934829372E-3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F57-4084-976D-416E42352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Presiones de servicio vs qadm por esquina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GRAFICOS!$B$11</c:f>
              <c:strCache>
                <c:ptCount val="1"/>
                <c:pt idx="0">
                  <c:v>Servicio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GRAFICOS!$B$12:$B$15</c:f>
              <c:numCache>
                <c:formatCode>General</c:formatCode>
                <c:ptCount val="4"/>
                <c:pt idx="0">
                  <c:v>11.028290133333332</c:v>
                </c:pt>
                <c:pt idx="1">
                  <c:v>11.152694755555554</c:v>
                </c:pt>
                <c:pt idx="2">
                  <c:v>10.99358791111111</c:v>
                </c:pt>
                <c:pt idx="3">
                  <c:v>11.117992533333332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F-487A-B5DA-9438EC541760}"/>
            </c:ext>
          </c:extLst>
        </c:ser>
        <c:ser>
          <c:idx val="1"/>
          <c:order val="1"/>
          <c:tx>
            <c:strRef>
              <c:f>GRAFICOS!$C$11</c:f>
              <c:strCache>
                <c:ptCount val="1"/>
                <c:pt idx="0">
                  <c:v>qadm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GRAFICOS!$C$12:$C$15</c:f>
              <c:numCache>
                <c:formatCode>General</c:formatCode>
                <c:ptCount val="4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DF-487A-B5DA-9438EC541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Planta zapata y columna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1A-4E39-AEC8-F6245CFC2434}"/>
            </c:ext>
          </c:extLst>
        </c:ser>
        <c:ser>
          <c:idx val="1"/>
          <c:order val="1"/>
          <c:tx>
            <c:v>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1A-4E39-AEC8-F6245CFC2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Resultante de servicio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A4-4CC6-8135-7244F4FEF244}"/>
            </c:ext>
          </c:extLst>
        </c:ser>
        <c:ser>
          <c:idx val="1"/>
          <c:order val="1"/>
          <c:tx>
            <c:v>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A4-4CC6-8135-7244F4FEF244}"/>
            </c:ext>
          </c:extLst>
        </c:ser>
        <c:ser>
          <c:idx val="2"/>
          <c:order val="2"/>
          <c:tx>
            <c:v>Resultante servicio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xVal>
            <c:numRef>
              <c:f>GRAFICOS!$E$4</c:f>
              <c:numCache>
                <c:formatCode>General</c:formatCode>
                <c:ptCount val="1"/>
                <c:pt idx="0">
                  <c:v>9.7934670189746015E-4</c:v>
                </c:pt>
              </c:numCache>
            </c:numRef>
          </c:xVal>
          <c:yVal>
            <c:numRef>
              <c:f>GRAFICOS!$F$4</c:f>
              <c:numCache>
                <c:formatCode>General</c:formatCode>
                <c:ptCount val="1"/>
                <c:pt idx="0">
                  <c:v>-3.5108776519825668E-3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A4-4CC6-8135-7244F4FEF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Resultante ultima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0A-4D70-B9E3-CFBE31369473}"/>
            </c:ext>
          </c:extLst>
        </c:ser>
        <c:ser>
          <c:idx val="1"/>
          <c:order val="1"/>
          <c:tx>
            <c:v>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0A-4D70-B9E3-CFBE31369473}"/>
            </c:ext>
          </c:extLst>
        </c:ser>
        <c:ser>
          <c:idx val="2"/>
          <c:order val="2"/>
          <c:tx>
            <c:v>Resultante ultima</c:v>
          </c:tx>
          <c:spPr>
            <a:ln>
              <a:noFill/>
              <a:prstDash val="solid"/>
            </a:ln>
          </c:spPr>
          <c:marker>
            <c:symbol val="diamond"/>
            <c:size val="8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</c:marker>
          <c:xVal>
            <c:numRef>
              <c:f>GRAFICOS!$G$4</c:f>
              <c:numCache>
                <c:formatCode>General</c:formatCode>
                <c:ptCount val="1"/>
                <c:pt idx="0">
                  <c:v>1.1177360941741685E-3</c:v>
                </c:pt>
              </c:numCache>
            </c:numRef>
          </c:xVal>
          <c:yVal>
            <c:numRef>
              <c:f>GRAFICOS!$H$4</c:f>
              <c:numCache>
                <c:formatCode>General</c:formatCode>
                <c:ptCount val="1"/>
                <c:pt idx="0">
                  <c:v>-3.7748104934829372E-3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0A-4D70-B9E3-CFBE31369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servicio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GRAFICOS!$B$11</c:f>
              <c:strCache>
                <c:ptCount val="1"/>
                <c:pt idx="0">
                  <c:v>Servicio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GRAFICOS!$B$12:$B$15</c:f>
              <c:numCache>
                <c:formatCode>General</c:formatCode>
                <c:ptCount val="4"/>
                <c:pt idx="0">
                  <c:v>11.028290133333332</c:v>
                </c:pt>
                <c:pt idx="1">
                  <c:v>11.152694755555554</c:v>
                </c:pt>
                <c:pt idx="2">
                  <c:v>10.99358791111111</c:v>
                </c:pt>
                <c:pt idx="3">
                  <c:v>11.117992533333332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4-4892-BDB9-AE7A7CB6E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ultimas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GRAFICOS!$D$11</c:f>
              <c:strCache>
                <c:ptCount val="1"/>
                <c:pt idx="0">
                  <c:v>Ultima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GRAFICOS!$D$12:$D$15</c:f>
              <c:numCache>
                <c:formatCode>General</c:formatCode>
                <c:ptCount val="4"/>
                <c:pt idx="0">
                  <c:v>14.443843555555555</c:v>
                </c:pt>
                <c:pt idx="1">
                  <c:v>14.619061333333333</c:v>
                </c:pt>
                <c:pt idx="2">
                  <c:v>14.391960888888887</c:v>
                </c:pt>
                <c:pt idx="3">
                  <c:v>14.567178666666665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4-4277-B687-7B9417261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Acero requerido vs colocado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GRAFICOS!$B$18</c:f>
              <c:strCache>
                <c:ptCount val="1"/>
                <c:pt idx="0">
                  <c:v>As requerido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GRAFICOS!$A$19:$A$22</c:f>
              <c:strCache>
                <c:ptCount val="4"/>
                <c:pt idx="0">
                  <c:v>Inf X</c:v>
                </c:pt>
                <c:pt idx="1">
                  <c:v>Inf Y</c:v>
                </c:pt>
                <c:pt idx="2">
                  <c:v>Sup X</c:v>
                </c:pt>
                <c:pt idx="3">
                  <c:v>Sup Y</c:v>
                </c:pt>
              </c:strCache>
            </c:strRef>
          </c:cat>
          <c:val>
            <c:numRef>
              <c:f>GRAFICOS!$B$19:$B$22</c:f>
              <c:numCache>
                <c:formatCode>General</c:formatCode>
                <c:ptCount val="4"/>
                <c:pt idx="0">
                  <c:v>10.79271732521476</c:v>
                </c:pt>
                <c:pt idx="1">
                  <c:v>10.882221927387135</c:v>
                </c:pt>
                <c:pt idx="2">
                  <c:v>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0-4C24-AD23-E844B76AB953}"/>
            </c:ext>
          </c:extLst>
        </c:ser>
        <c:ser>
          <c:idx val="1"/>
          <c:order val="1"/>
          <c:tx>
            <c:strRef>
              <c:f>GRAFICOS!$C$18</c:f>
              <c:strCache>
                <c:ptCount val="1"/>
                <c:pt idx="0">
                  <c:v>As colocado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GRAFICOS!$A$19:$A$22</c:f>
              <c:strCache>
                <c:ptCount val="4"/>
                <c:pt idx="0">
                  <c:v>Inf X</c:v>
                </c:pt>
                <c:pt idx="1">
                  <c:v>Inf Y</c:v>
                </c:pt>
                <c:pt idx="2">
                  <c:v>Sup X</c:v>
                </c:pt>
                <c:pt idx="3">
                  <c:v>Sup Y</c:v>
                </c:pt>
              </c:strCache>
            </c:strRef>
          </c:cat>
          <c:val>
            <c:numRef>
              <c:f>GRAFICOS!$C$19:$C$22</c:f>
              <c:numCache>
                <c:formatCode>General</c:formatCode>
                <c:ptCount val="4"/>
                <c:pt idx="0">
                  <c:v>8.6</c:v>
                </c:pt>
                <c:pt idx="1">
                  <c:v>8.6</c:v>
                </c:pt>
                <c:pt idx="2">
                  <c:v>8.6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B0-4C24-AD23-E844B76AB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cm2/m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Diagrama cortante 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DIAGRAMAS_X!$I$13</c:f>
              <c:strCache>
                <c:ptCount val="1"/>
                <c:pt idx="0">
                  <c:v>V_X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7.4999999999999956E-2</c:v>
                </c:pt>
                <c:pt idx="27">
                  <c:v>0.14999999999999991</c:v>
                </c:pt>
                <c:pt idx="28">
                  <c:v>0.22500000000000009</c:v>
                </c:pt>
                <c:pt idx="29">
                  <c:v>0.29999999999999982</c:v>
                </c:pt>
                <c:pt idx="30">
                  <c:v>0.375</c:v>
                </c:pt>
                <c:pt idx="31">
                  <c:v>0.45000000000000018</c:v>
                </c:pt>
                <c:pt idx="32">
                  <c:v>0.52499999999999991</c:v>
                </c:pt>
                <c:pt idx="33">
                  <c:v>0.60000000000000009</c:v>
                </c:pt>
                <c:pt idx="34">
                  <c:v>0.67499999999999982</c:v>
                </c:pt>
                <c:pt idx="35">
                  <c:v>0.75</c:v>
                </c:pt>
                <c:pt idx="36">
                  <c:v>0.82500000000000018</c:v>
                </c:pt>
                <c:pt idx="37">
                  <c:v>0.89999999999999991</c:v>
                </c:pt>
                <c:pt idx="38">
                  <c:v>0.97500000000000009</c:v>
                </c:pt>
                <c:pt idx="39">
                  <c:v>1.0499999999999998</c:v>
                </c:pt>
                <c:pt idx="40">
                  <c:v>1.125</c:v>
                </c:pt>
                <c:pt idx="41">
                  <c:v>1.2000000000000002</c:v>
                </c:pt>
                <c:pt idx="42">
                  <c:v>1.2749999999999999</c:v>
                </c:pt>
                <c:pt idx="43">
                  <c:v>1.35</c:v>
                </c:pt>
                <c:pt idx="44">
                  <c:v>1.4249999999999998</c:v>
                </c:pt>
                <c:pt idx="45">
                  <c:v>1.5</c:v>
                </c:pt>
                <c:pt idx="46">
                  <c:v>1.5750000000000002</c:v>
                </c:pt>
                <c:pt idx="47">
                  <c:v>1.65</c:v>
                </c:pt>
                <c:pt idx="48">
                  <c:v>1.7250000000000001</c:v>
                </c:pt>
                <c:pt idx="49">
                  <c:v>1.7999999999999998</c:v>
                </c:pt>
                <c:pt idx="50">
                  <c:v>1.875</c:v>
                </c:pt>
              </c:numCache>
            </c:numRef>
          </c:cat>
          <c:val>
            <c:numRef>
              <c:f>DIAGRAMAS_X!$I$14:$I$64</c:f>
              <c:numCache>
                <c:formatCode>0.00</c:formatCode>
                <c:ptCount val="51"/>
                <c:pt idx="0">
                  <c:v>0</c:v>
                </c:pt>
                <c:pt idx="1">
                  <c:v>2.9756499199999977</c:v>
                </c:pt>
                <c:pt idx="2">
                  <c:v>5.9515916799999955</c:v>
                </c:pt>
                <c:pt idx="3">
                  <c:v>8.9278252800000022</c:v>
                </c:pt>
                <c:pt idx="4">
                  <c:v>11.90435072</c:v>
                </c:pt>
                <c:pt idx="5">
                  <c:v>14.881167999999999</c:v>
                </c:pt>
                <c:pt idx="6">
                  <c:v>17.858277119999997</c:v>
                </c:pt>
                <c:pt idx="7">
                  <c:v>20.835678079999994</c:v>
                </c:pt>
                <c:pt idx="8">
                  <c:v>23.813370880000001</c:v>
                </c:pt>
                <c:pt idx="9">
                  <c:v>26.79135552</c:v>
                </c:pt>
                <c:pt idx="10">
                  <c:v>29.769631999999998</c:v>
                </c:pt>
                <c:pt idx="11">
                  <c:v>32.748200319999995</c:v>
                </c:pt>
                <c:pt idx="12">
                  <c:v>35.727060479999999</c:v>
                </c:pt>
                <c:pt idx="13">
                  <c:v>38.706212479999998</c:v>
                </c:pt>
                <c:pt idx="14">
                  <c:v>41.68565632</c:v>
                </c:pt>
                <c:pt idx="15">
                  <c:v>44.665391999999997</c:v>
                </c:pt>
                <c:pt idx="16">
                  <c:v>47.645419519999997</c:v>
                </c:pt>
                <c:pt idx="17">
                  <c:v>50.625738879999993</c:v>
                </c:pt>
                <c:pt idx="18">
                  <c:v>53.606350079999999</c:v>
                </c:pt>
                <c:pt idx="19">
                  <c:v>56.58725312</c:v>
                </c:pt>
                <c:pt idx="20">
                  <c:v>59.568447999999997</c:v>
                </c:pt>
                <c:pt idx="21">
                  <c:v>62.549934719999996</c:v>
                </c:pt>
                <c:pt idx="22">
                  <c:v>65.531713279999991</c:v>
                </c:pt>
                <c:pt idx="23">
                  <c:v>49.871283679999969</c:v>
                </c:pt>
                <c:pt idx="24">
                  <c:v>24.88989591999999</c:v>
                </c:pt>
                <c:pt idx="25">
                  <c:v>-9.1199999999989956E-2</c:v>
                </c:pt>
                <c:pt idx="26">
                  <c:v>-25.072004079999971</c:v>
                </c:pt>
                <c:pt idx="27">
                  <c:v>-50.052516319999953</c:v>
                </c:pt>
                <c:pt idx="28">
                  <c:v>-65.711486719999982</c:v>
                </c:pt>
                <c:pt idx="29">
                  <c:v>-62.727665279999997</c:v>
                </c:pt>
                <c:pt idx="30">
                  <c:v>-59.743551999999987</c:v>
                </c:pt>
                <c:pt idx="31">
                  <c:v>-56.759146879999982</c:v>
                </c:pt>
                <c:pt idx="32">
                  <c:v>-53.774449919999995</c:v>
                </c:pt>
                <c:pt idx="33">
                  <c:v>-50.789461119999991</c:v>
                </c:pt>
                <c:pt idx="34">
                  <c:v>-47.804180479999999</c:v>
                </c:pt>
                <c:pt idx="35">
                  <c:v>-44.81860799999999</c:v>
                </c:pt>
                <c:pt idx="36">
                  <c:v>-41.832743679999986</c:v>
                </c:pt>
                <c:pt idx="37">
                  <c:v>-38.84658752</c:v>
                </c:pt>
                <c:pt idx="38">
                  <c:v>-35.86013951999999</c:v>
                </c:pt>
                <c:pt idx="39">
                  <c:v>-32.873399679999999</c:v>
                </c:pt>
                <c:pt idx="40">
                  <c:v>-29.88636799999999</c:v>
                </c:pt>
                <c:pt idx="41">
                  <c:v>-26.899044479999983</c:v>
                </c:pt>
                <c:pt idx="42">
                  <c:v>-23.911429119999994</c:v>
                </c:pt>
                <c:pt idx="43">
                  <c:v>-20.923521919999988</c:v>
                </c:pt>
                <c:pt idx="44">
                  <c:v>-17.935322879999998</c:v>
                </c:pt>
                <c:pt idx="45">
                  <c:v>-14.94683199999999</c:v>
                </c:pt>
                <c:pt idx="46">
                  <c:v>-11.958049279999983</c:v>
                </c:pt>
                <c:pt idx="47">
                  <c:v>-8.968974719999995</c:v>
                </c:pt>
                <c:pt idx="48">
                  <c:v>-5.9796083199999881</c:v>
                </c:pt>
                <c:pt idx="49">
                  <c:v>-2.989950079999999</c:v>
                </c:pt>
                <c:pt idx="50">
                  <c:v>7.9936057773011271E-15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ACC-4E8B-B721-7B1DC9CE6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Diagrama momento 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DIAGRAMAS_X!$J$13</c:f>
              <c:strCache>
                <c:ptCount val="1"/>
                <c:pt idx="0">
                  <c:v>M_X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7.4999999999999956E-2</c:v>
                </c:pt>
                <c:pt idx="27">
                  <c:v>0.14999999999999991</c:v>
                </c:pt>
                <c:pt idx="28">
                  <c:v>0.22500000000000009</c:v>
                </c:pt>
                <c:pt idx="29">
                  <c:v>0.29999999999999982</c:v>
                </c:pt>
                <c:pt idx="30">
                  <c:v>0.375</c:v>
                </c:pt>
                <c:pt idx="31">
                  <c:v>0.45000000000000018</c:v>
                </c:pt>
                <c:pt idx="32">
                  <c:v>0.52499999999999991</c:v>
                </c:pt>
                <c:pt idx="33">
                  <c:v>0.60000000000000009</c:v>
                </c:pt>
                <c:pt idx="34">
                  <c:v>0.67499999999999982</c:v>
                </c:pt>
                <c:pt idx="35">
                  <c:v>0.75</c:v>
                </c:pt>
                <c:pt idx="36">
                  <c:v>0.82500000000000018</c:v>
                </c:pt>
                <c:pt idx="37">
                  <c:v>0.89999999999999991</c:v>
                </c:pt>
                <c:pt idx="38">
                  <c:v>0.97500000000000009</c:v>
                </c:pt>
                <c:pt idx="39">
                  <c:v>1.0499999999999998</c:v>
                </c:pt>
                <c:pt idx="40">
                  <c:v>1.125</c:v>
                </c:pt>
                <c:pt idx="41">
                  <c:v>1.2000000000000002</c:v>
                </c:pt>
                <c:pt idx="42">
                  <c:v>1.2749999999999999</c:v>
                </c:pt>
                <c:pt idx="43">
                  <c:v>1.35</c:v>
                </c:pt>
                <c:pt idx="44">
                  <c:v>1.4249999999999998</c:v>
                </c:pt>
                <c:pt idx="45">
                  <c:v>1.5</c:v>
                </c:pt>
                <c:pt idx="46">
                  <c:v>1.5750000000000002</c:v>
                </c:pt>
                <c:pt idx="47">
                  <c:v>1.65</c:v>
                </c:pt>
                <c:pt idx="48">
                  <c:v>1.7250000000000001</c:v>
                </c:pt>
                <c:pt idx="49">
                  <c:v>1.7999999999999998</c:v>
                </c:pt>
                <c:pt idx="50">
                  <c:v>1.875</c:v>
                </c:pt>
              </c:numCache>
            </c:numRef>
          </c:cat>
          <c:val>
            <c:numRef>
              <c:f>DIAGRAMAS_X!$J$14:$J$64</c:f>
              <c:numCache>
                <c:formatCode>0.00</c:formatCode>
                <c:ptCount val="51"/>
                <c:pt idx="0">
                  <c:v>0</c:v>
                </c:pt>
                <c:pt idx="1">
                  <c:v>0.11158687199999985</c:v>
                </c:pt>
                <c:pt idx="2">
                  <c:v>0.44635843199999936</c:v>
                </c:pt>
                <c:pt idx="3">
                  <c:v>1.0043365680000007</c:v>
                </c:pt>
                <c:pt idx="4">
                  <c:v>1.7855431680000002</c:v>
                </c:pt>
                <c:pt idx="5">
                  <c:v>2.7900001199999993</c:v>
                </c:pt>
                <c:pt idx="6">
                  <c:v>4.0177293119999984</c:v>
                </c:pt>
                <c:pt idx="7">
                  <c:v>5.4687526319999975</c:v>
                </c:pt>
                <c:pt idx="8">
                  <c:v>7.1430919680000011</c:v>
                </c:pt>
                <c:pt idx="9">
                  <c:v>9.0407692080000004</c:v>
                </c:pt>
                <c:pt idx="10">
                  <c:v>11.161806239999999</c:v>
                </c:pt>
                <c:pt idx="11">
                  <c:v>13.506224951999997</c:v>
                </c:pt>
                <c:pt idx="12">
                  <c:v>16.074047231999998</c:v>
                </c:pt>
                <c:pt idx="13">
                  <c:v>18.865294967999997</c:v>
                </c:pt>
                <c:pt idx="14">
                  <c:v>21.879990048</c:v>
                </c:pt>
                <c:pt idx="15">
                  <c:v>25.118154359999998</c:v>
                </c:pt>
                <c:pt idx="16">
                  <c:v>28.579809791999995</c:v>
                </c:pt>
                <c:pt idx="17">
                  <c:v>32.26497823199999</c:v>
                </c:pt>
                <c:pt idx="18">
                  <c:v>36.173681567999999</c:v>
                </c:pt>
                <c:pt idx="19">
                  <c:v>40.305941687999997</c:v>
                </c:pt>
                <c:pt idx="20">
                  <c:v>44.661780479999997</c:v>
                </c:pt>
                <c:pt idx="21">
                  <c:v>49.241219831999992</c:v>
                </c:pt>
                <c:pt idx="22">
                  <c:v>54.044281631999986</c:v>
                </c:pt>
                <c:pt idx="23">
                  <c:v>58.371894017999992</c:v>
                </c:pt>
                <c:pt idx="24">
                  <c:v>61.175438252999989</c:v>
                </c:pt>
                <c:pt idx="25">
                  <c:v>62.105389349999989</c:v>
                </c:pt>
                <c:pt idx="26">
                  <c:v>61.161769196999991</c:v>
                </c:pt>
                <c:pt idx="27">
                  <c:v>58.344599681999995</c:v>
                </c:pt>
                <c:pt idx="28">
                  <c:v>54.003449567999986</c:v>
                </c:pt>
                <c:pt idx="29">
                  <c:v>49.186981368000005</c:v>
                </c:pt>
                <c:pt idx="30">
                  <c:v>44.594310719999996</c:v>
                </c:pt>
                <c:pt idx="31">
                  <c:v>40.225459511999986</c:v>
                </c:pt>
                <c:pt idx="32">
                  <c:v>36.080449632000004</c:v>
                </c:pt>
                <c:pt idx="33">
                  <c:v>32.159302967999992</c:v>
                </c:pt>
                <c:pt idx="34">
                  <c:v>28.462041408000005</c:v>
                </c:pt>
                <c:pt idx="35">
                  <c:v>24.988686839999996</c:v>
                </c:pt>
                <c:pt idx="36">
                  <c:v>21.73926115199999</c:v>
                </c:pt>
                <c:pt idx="37">
                  <c:v>18.713786232</c:v>
                </c:pt>
                <c:pt idx="38">
                  <c:v>15.912283967999993</c:v>
                </c:pt>
                <c:pt idx="39">
                  <c:v>13.334776248000002</c:v>
                </c:pt>
                <c:pt idx="40">
                  <c:v>10.981284959999996</c:v>
                </c:pt>
                <c:pt idx="41">
                  <c:v>8.8518319919999922</c:v>
                </c:pt>
                <c:pt idx="42">
                  <c:v>6.9464392319999995</c:v>
                </c:pt>
                <c:pt idx="43">
                  <c:v>5.2651285679999962</c:v>
                </c:pt>
                <c:pt idx="44">
                  <c:v>3.8079218880000019</c:v>
                </c:pt>
                <c:pt idx="45">
                  <c:v>2.5748410799999997</c:v>
                </c:pt>
                <c:pt idx="46">
                  <c:v>1.5659080319999983</c:v>
                </c:pt>
                <c:pt idx="47">
                  <c:v>0.78114463200000195</c:v>
                </c:pt>
                <c:pt idx="48">
                  <c:v>0.22057276800000125</c:v>
                </c:pt>
                <c:pt idx="49">
                  <c:v>-0.11578567199999701</c:v>
                </c:pt>
                <c:pt idx="50">
                  <c:v>-0.22790879999999694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93-4D8C-8890-8F1BB1481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Diagrama cortante 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DIAGRAMAS_Y!$I$13</c:f>
              <c:strCache>
                <c:ptCount val="1"/>
                <c:pt idx="0">
                  <c:v>V_Y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7.4999999999999956E-2</c:v>
                </c:pt>
                <c:pt idx="27">
                  <c:v>0.14999999999999991</c:v>
                </c:pt>
                <c:pt idx="28">
                  <c:v>0.22500000000000009</c:v>
                </c:pt>
                <c:pt idx="29">
                  <c:v>0.29999999999999982</c:v>
                </c:pt>
                <c:pt idx="30">
                  <c:v>0.375</c:v>
                </c:pt>
                <c:pt idx="31">
                  <c:v>0.45000000000000018</c:v>
                </c:pt>
                <c:pt idx="32">
                  <c:v>0.52499999999999991</c:v>
                </c:pt>
                <c:pt idx="33">
                  <c:v>0.60000000000000009</c:v>
                </c:pt>
                <c:pt idx="34">
                  <c:v>0.67499999999999982</c:v>
                </c:pt>
                <c:pt idx="35">
                  <c:v>0.75</c:v>
                </c:pt>
                <c:pt idx="36">
                  <c:v>0.82500000000000018</c:v>
                </c:pt>
                <c:pt idx="37">
                  <c:v>0.89999999999999991</c:v>
                </c:pt>
                <c:pt idx="38">
                  <c:v>0.97500000000000009</c:v>
                </c:pt>
                <c:pt idx="39">
                  <c:v>1.0499999999999998</c:v>
                </c:pt>
                <c:pt idx="40">
                  <c:v>1.125</c:v>
                </c:pt>
                <c:pt idx="41">
                  <c:v>1.2000000000000002</c:v>
                </c:pt>
                <c:pt idx="42">
                  <c:v>1.2749999999999999</c:v>
                </c:pt>
                <c:pt idx="43">
                  <c:v>1.35</c:v>
                </c:pt>
                <c:pt idx="44">
                  <c:v>1.4249999999999998</c:v>
                </c:pt>
                <c:pt idx="45">
                  <c:v>1.5</c:v>
                </c:pt>
                <c:pt idx="46">
                  <c:v>1.5750000000000002</c:v>
                </c:pt>
                <c:pt idx="47">
                  <c:v>1.65</c:v>
                </c:pt>
                <c:pt idx="48">
                  <c:v>1.7250000000000001</c:v>
                </c:pt>
                <c:pt idx="49">
                  <c:v>1.7999999999999998</c:v>
                </c:pt>
                <c:pt idx="50">
                  <c:v>1.875</c:v>
                </c:pt>
              </c:numCache>
            </c:numRef>
          </c:cat>
          <c:val>
            <c:numRef>
              <c:f>DIAGRAMAS_Y!$I$14:$I$64</c:f>
              <c:numCache>
                <c:formatCode>0.00</c:formatCode>
                <c:ptCount val="51"/>
                <c:pt idx="0">
                  <c:v>0</c:v>
                </c:pt>
                <c:pt idx="1">
                  <c:v>3.0069471999999977</c:v>
                </c:pt>
                <c:pt idx="2">
                  <c:v>6.0129087999999946</c:v>
                </c:pt>
                <c:pt idx="3">
                  <c:v>9.0178848000000009</c:v>
                </c:pt>
                <c:pt idx="4">
                  <c:v>12.021875199999998</c:v>
                </c:pt>
                <c:pt idx="5">
                  <c:v>15.024879999999996</c:v>
                </c:pt>
                <c:pt idx="6">
                  <c:v>18.026899199999995</c:v>
                </c:pt>
                <c:pt idx="7">
                  <c:v>21.027932799999995</c:v>
                </c:pt>
                <c:pt idx="8">
                  <c:v>24.027980800000002</c:v>
                </c:pt>
                <c:pt idx="9">
                  <c:v>27.027043200000001</c:v>
                </c:pt>
                <c:pt idx="10">
                  <c:v>30.025120000000001</c:v>
                </c:pt>
                <c:pt idx="11">
                  <c:v>33.022211200000001</c:v>
                </c:pt>
                <c:pt idx="12">
                  <c:v>36.018316800000001</c:v>
                </c:pt>
                <c:pt idx="13">
                  <c:v>39.013436800000001</c:v>
                </c:pt>
                <c:pt idx="14">
                  <c:v>42.007571200000001</c:v>
                </c:pt>
                <c:pt idx="15">
                  <c:v>45.000720000000001</c:v>
                </c:pt>
                <c:pt idx="16">
                  <c:v>47.992883200000001</c:v>
                </c:pt>
                <c:pt idx="17">
                  <c:v>50.984060800000002</c:v>
                </c:pt>
                <c:pt idx="18">
                  <c:v>53.974252800000009</c:v>
                </c:pt>
                <c:pt idx="19">
                  <c:v>56.96345920000001</c:v>
                </c:pt>
                <c:pt idx="20">
                  <c:v>59.95168000000001</c:v>
                </c:pt>
                <c:pt idx="21">
                  <c:v>62.938915200000011</c:v>
                </c:pt>
                <c:pt idx="22">
                  <c:v>65.925164800000005</c:v>
                </c:pt>
                <c:pt idx="23">
                  <c:v>50.267928799999972</c:v>
                </c:pt>
                <c:pt idx="24">
                  <c:v>25.288457199999993</c:v>
                </c:pt>
                <c:pt idx="25">
                  <c:v>0.30800000000001049</c:v>
                </c:pt>
                <c:pt idx="26">
                  <c:v>-24.673442799999972</c:v>
                </c:pt>
                <c:pt idx="27">
                  <c:v>-49.65587119999995</c:v>
                </c:pt>
                <c:pt idx="28">
                  <c:v>-65.318035199999969</c:v>
                </c:pt>
                <c:pt idx="29">
                  <c:v>-62.338684799999982</c:v>
                </c:pt>
                <c:pt idx="30">
                  <c:v>-59.360319999999973</c:v>
                </c:pt>
                <c:pt idx="31">
                  <c:v>-56.382940799999965</c:v>
                </c:pt>
                <c:pt idx="32">
                  <c:v>-53.406547199999977</c:v>
                </c:pt>
                <c:pt idx="33">
                  <c:v>-50.431139199999969</c:v>
                </c:pt>
                <c:pt idx="34">
                  <c:v>-47.456716799999981</c:v>
                </c:pt>
                <c:pt idx="35">
                  <c:v>-44.483279999999972</c:v>
                </c:pt>
                <c:pt idx="36">
                  <c:v>-41.510828799999963</c:v>
                </c:pt>
                <c:pt idx="37">
                  <c:v>-38.539363199999976</c:v>
                </c:pt>
                <c:pt idx="38">
                  <c:v>-35.568883199999966</c:v>
                </c:pt>
                <c:pt idx="39">
                  <c:v>-32.599388799999979</c:v>
                </c:pt>
                <c:pt idx="40">
                  <c:v>-29.630879999999973</c:v>
                </c:pt>
                <c:pt idx="41">
                  <c:v>-26.663356799999967</c:v>
                </c:pt>
                <c:pt idx="42">
                  <c:v>-23.696819199999979</c:v>
                </c:pt>
                <c:pt idx="43">
                  <c:v>-20.731267199999973</c:v>
                </c:pt>
                <c:pt idx="44">
                  <c:v>-17.766700799999985</c:v>
                </c:pt>
                <c:pt idx="45">
                  <c:v>-14.803119999999979</c:v>
                </c:pt>
                <c:pt idx="46">
                  <c:v>-11.840524799999972</c:v>
                </c:pt>
                <c:pt idx="47">
                  <c:v>-8.8789151999999838</c:v>
                </c:pt>
                <c:pt idx="48">
                  <c:v>-5.9182911999999774</c:v>
                </c:pt>
                <c:pt idx="49">
                  <c:v>-2.9586527999999883</c:v>
                </c:pt>
                <c:pt idx="50">
                  <c:v>1.8207657603852567E-14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12-4CDA-946C-DF8A8CFEA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Diagrama momento 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DIAGRAMAS_Y!$J$13</c:f>
              <c:strCache>
                <c:ptCount val="1"/>
                <c:pt idx="0">
                  <c:v>M_Y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7.4999999999999956E-2</c:v>
                </c:pt>
                <c:pt idx="27">
                  <c:v>0.14999999999999991</c:v>
                </c:pt>
                <c:pt idx="28">
                  <c:v>0.22500000000000009</c:v>
                </c:pt>
                <c:pt idx="29">
                  <c:v>0.29999999999999982</c:v>
                </c:pt>
                <c:pt idx="30">
                  <c:v>0.375</c:v>
                </c:pt>
                <c:pt idx="31">
                  <c:v>0.45000000000000018</c:v>
                </c:pt>
                <c:pt idx="32">
                  <c:v>0.52499999999999991</c:v>
                </c:pt>
                <c:pt idx="33">
                  <c:v>0.60000000000000009</c:v>
                </c:pt>
                <c:pt idx="34">
                  <c:v>0.67499999999999982</c:v>
                </c:pt>
                <c:pt idx="35">
                  <c:v>0.75</c:v>
                </c:pt>
                <c:pt idx="36">
                  <c:v>0.82500000000000018</c:v>
                </c:pt>
                <c:pt idx="37">
                  <c:v>0.89999999999999991</c:v>
                </c:pt>
                <c:pt idx="38">
                  <c:v>0.97500000000000009</c:v>
                </c:pt>
                <c:pt idx="39">
                  <c:v>1.0499999999999998</c:v>
                </c:pt>
                <c:pt idx="40">
                  <c:v>1.125</c:v>
                </c:pt>
                <c:pt idx="41">
                  <c:v>1.2000000000000002</c:v>
                </c:pt>
                <c:pt idx="42">
                  <c:v>1.2749999999999999</c:v>
                </c:pt>
                <c:pt idx="43">
                  <c:v>1.35</c:v>
                </c:pt>
                <c:pt idx="44">
                  <c:v>1.4249999999999998</c:v>
                </c:pt>
                <c:pt idx="45">
                  <c:v>1.5</c:v>
                </c:pt>
                <c:pt idx="46">
                  <c:v>1.5750000000000002</c:v>
                </c:pt>
                <c:pt idx="47">
                  <c:v>1.65</c:v>
                </c:pt>
                <c:pt idx="48">
                  <c:v>1.7250000000000001</c:v>
                </c:pt>
                <c:pt idx="49">
                  <c:v>1.7999999999999998</c:v>
                </c:pt>
                <c:pt idx="50">
                  <c:v>1.875</c:v>
                </c:pt>
              </c:numCache>
            </c:numRef>
          </c:cat>
          <c:val>
            <c:numRef>
              <c:f>DIAGRAMAS_Y!$J$14:$J$64</c:f>
              <c:numCache>
                <c:formatCode>0.00</c:formatCode>
                <c:ptCount val="51"/>
                <c:pt idx="0">
                  <c:v>0</c:v>
                </c:pt>
                <c:pt idx="1">
                  <c:v>0.11276051999999985</c:v>
                </c:pt>
                <c:pt idx="2">
                  <c:v>0.45100511999999937</c:v>
                </c:pt>
                <c:pt idx="3">
                  <c:v>1.0146598800000004</c:v>
                </c:pt>
                <c:pt idx="4">
                  <c:v>1.80365088</c:v>
                </c:pt>
                <c:pt idx="5">
                  <c:v>2.8179041999999992</c:v>
                </c:pt>
                <c:pt idx="6">
                  <c:v>4.0573459199999977</c:v>
                </c:pt>
                <c:pt idx="7">
                  <c:v>5.5219021199999965</c:v>
                </c:pt>
                <c:pt idx="8">
                  <c:v>7.2114988800000006</c:v>
                </c:pt>
                <c:pt idx="9">
                  <c:v>9.1260622799999993</c:v>
                </c:pt>
                <c:pt idx="10">
                  <c:v>11.265518399999998</c:v>
                </c:pt>
                <c:pt idx="11">
                  <c:v>13.629793319999997</c:v>
                </c:pt>
                <c:pt idx="12">
                  <c:v>16.21881312</c:v>
                </c:pt>
                <c:pt idx="13">
                  <c:v>19.03250388</c:v>
                </c:pt>
                <c:pt idx="14">
                  <c:v>22.070791680000003</c:v>
                </c:pt>
                <c:pt idx="15">
                  <c:v>25.333602599999999</c:v>
                </c:pt>
                <c:pt idx="16">
                  <c:v>28.820862719999997</c:v>
                </c:pt>
                <c:pt idx="17">
                  <c:v>32.532498119999993</c:v>
                </c:pt>
                <c:pt idx="18">
                  <c:v>36.468434880000004</c:v>
                </c:pt>
                <c:pt idx="19">
                  <c:v>40.628599080000001</c:v>
                </c:pt>
                <c:pt idx="20">
                  <c:v>45.012916799999999</c:v>
                </c:pt>
                <c:pt idx="21">
                  <c:v>49.621314119999994</c:v>
                </c:pt>
                <c:pt idx="22">
                  <c:v>54.453717119999993</c:v>
                </c:pt>
                <c:pt idx="23">
                  <c:v>58.810958130000003</c:v>
                </c:pt>
                <c:pt idx="24">
                  <c:v>61.644322604999999</c:v>
                </c:pt>
                <c:pt idx="25">
                  <c:v>62.604189749999996</c:v>
                </c:pt>
                <c:pt idx="26">
                  <c:v>61.690485644999995</c:v>
                </c:pt>
                <c:pt idx="27">
                  <c:v>58.903136369999999</c:v>
                </c:pt>
                <c:pt idx="28">
                  <c:v>54.591614879999995</c:v>
                </c:pt>
                <c:pt idx="29">
                  <c:v>49.804487880000011</c:v>
                </c:pt>
                <c:pt idx="30">
                  <c:v>45.240775200000002</c:v>
                </c:pt>
                <c:pt idx="31">
                  <c:v>40.900402919999991</c:v>
                </c:pt>
                <c:pt idx="32">
                  <c:v>36.783297120000007</c:v>
                </c:pt>
                <c:pt idx="33">
                  <c:v>32.889383879999997</c:v>
                </c:pt>
                <c:pt idx="34">
                  <c:v>29.21858928000001</c:v>
                </c:pt>
                <c:pt idx="35">
                  <c:v>25.770839400000003</c:v>
                </c:pt>
                <c:pt idx="36">
                  <c:v>22.546060319999999</c:v>
                </c:pt>
                <c:pt idx="37">
                  <c:v>19.544178120000012</c:v>
                </c:pt>
                <c:pt idx="38">
                  <c:v>16.765118880000006</c:v>
                </c:pt>
                <c:pt idx="39">
                  <c:v>14.208808680000018</c:v>
                </c:pt>
                <c:pt idx="40">
                  <c:v>11.875173600000014</c:v>
                </c:pt>
                <c:pt idx="41">
                  <c:v>9.7641397200000117</c:v>
                </c:pt>
                <c:pt idx="42">
                  <c:v>7.8756331200000202</c:v>
                </c:pt>
                <c:pt idx="43">
                  <c:v>6.2095798800000175</c:v>
                </c:pt>
                <c:pt idx="44">
                  <c:v>4.7659060800000237</c:v>
                </c:pt>
                <c:pt idx="45">
                  <c:v>3.5445378000000223</c:v>
                </c:pt>
                <c:pt idx="46">
                  <c:v>2.5454011200000215</c:v>
                </c:pt>
                <c:pt idx="47">
                  <c:v>1.7684221200000259</c:v>
                </c:pt>
                <c:pt idx="48">
                  <c:v>1.2135268800000261</c:v>
                </c:pt>
                <c:pt idx="49">
                  <c:v>0.88064148000002851</c:v>
                </c:pt>
                <c:pt idx="50">
                  <c:v>0.76969200000002935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37-4BE8-BE3D-44FAD54BF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 integrada 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DIAGRAMAS_X!$E$13</c:f>
              <c:strCache>
                <c:ptCount val="1"/>
                <c:pt idx="0">
                  <c:v>w_u integrada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7.4999999999999956E-2</c:v>
                </c:pt>
                <c:pt idx="27">
                  <c:v>0.14999999999999991</c:v>
                </c:pt>
                <c:pt idx="28">
                  <c:v>0.22500000000000009</c:v>
                </c:pt>
                <c:pt idx="29">
                  <c:v>0.29999999999999982</c:v>
                </c:pt>
                <c:pt idx="30">
                  <c:v>0.375</c:v>
                </c:pt>
                <c:pt idx="31">
                  <c:v>0.45000000000000018</c:v>
                </c:pt>
                <c:pt idx="32">
                  <c:v>0.52499999999999991</c:v>
                </c:pt>
                <c:pt idx="33">
                  <c:v>0.60000000000000009</c:v>
                </c:pt>
                <c:pt idx="34">
                  <c:v>0.67499999999999982</c:v>
                </c:pt>
                <c:pt idx="35">
                  <c:v>0.75</c:v>
                </c:pt>
                <c:pt idx="36">
                  <c:v>0.82500000000000018</c:v>
                </c:pt>
                <c:pt idx="37">
                  <c:v>0.89999999999999991</c:v>
                </c:pt>
                <c:pt idx="38">
                  <c:v>0.97500000000000009</c:v>
                </c:pt>
                <c:pt idx="39">
                  <c:v>1.0499999999999998</c:v>
                </c:pt>
                <c:pt idx="40">
                  <c:v>1.125</c:v>
                </c:pt>
                <c:pt idx="41">
                  <c:v>1.2000000000000002</c:v>
                </c:pt>
                <c:pt idx="42">
                  <c:v>1.2749999999999999</c:v>
                </c:pt>
                <c:pt idx="43">
                  <c:v>1.35</c:v>
                </c:pt>
                <c:pt idx="44">
                  <c:v>1.4249999999999998</c:v>
                </c:pt>
                <c:pt idx="45">
                  <c:v>1.5</c:v>
                </c:pt>
                <c:pt idx="46">
                  <c:v>1.5750000000000002</c:v>
                </c:pt>
                <c:pt idx="47">
                  <c:v>1.65</c:v>
                </c:pt>
                <c:pt idx="48">
                  <c:v>1.7250000000000001</c:v>
                </c:pt>
                <c:pt idx="49">
                  <c:v>1.7999999999999998</c:v>
                </c:pt>
                <c:pt idx="50">
                  <c:v>1.875</c:v>
                </c:pt>
              </c:numCache>
            </c:numRef>
          </c:cat>
          <c:val>
            <c:numRef>
              <c:f>DIAGRAMAS_X!$E$14:$E$64</c:f>
              <c:numCache>
                <c:formatCode>0.00</c:formatCode>
                <c:ptCount val="51"/>
                <c:pt idx="0">
                  <c:v>54.298386666666659</c:v>
                </c:pt>
                <c:pt idx="1">
                  <c:v>54.302277866666664</c:v>
                </c:pt>
                <c:pt idx="2">
                  <c:v>54.306169066666662</c:v>
                </c:pt>
                <c:pt idx="3">
                  <c:v>54.310060266666667</c:v>
                </c:pt>
                <c:pt idx="4">
                  <c:v>54.313951466666659</c:v>
                </c:pt>
                <c:pt idx="5">
                  <c:v>54.317842666666664</c:v>
                </c:pt>
                <c:pt idx="6">
                  <c:v>54.321733866666662</c:v>
                </c:pt>
                <c:pt idx="7">
                  <c:v>54.325625066666667</c:v>
                </c:pt>
                <c:pt idx="8">
                  <c:v>54.329516266666658</c:v>
                </c:pt>
                <c:pt idx="9">
                  <c:v>54.333407466666657</c:v>
                </c:pt>
                <c:pt idx="10">
                  <c:v>54.337298666666662</c:v>
                </c:pt>
                <c:pt idx="11">
                  <c:v>54.34118986666666</c:v>
                </c:pt>
                <c:pt idx="12">
                  <c:v>54.345081066666665</c:v>
                </c:pt>
                <c:pt idx="13">
                  <c:v>54.348972266666657</c:v>
                </c:pt>
                <c:pt idx="14">
                  <c:v>54.352863466666662</c:v>
                </c:pt>
                <c:pt idx="15">
                  <c:v>54.35675466666666</c:v>
                </c:pt>
                <c:pt idx="16">
                  <c:v>54.360645866666665</c:v>
                </c:pt>
                <c:pt idx="17">
                  <c:v>54.364537066666664</c:v>
                </c:pt>
                <c:pt idx="18">
                  <c:v>54.368428266666662</c:v>
                </c:pt>
                <c:pt idx="19">
                  <c:v>54.37231946666666</c:v>
                </c:pt>
                <c:pt idx="20">
                  <c:v>54.376210666666665</c:v>
                </c:pt>
                <c:pt idx="21">
                  <c:v>54.380101866666664</c:v>
                </c:pt>
                <c:pt idx="22">
                  <c:v>54.383993066666662</c:v>
                </c:pt>
                <c:pt idx="23">
                  <c:v>54.38788426666666</c:v>
                </c:pt>
                <c:pt idx="24">
                  <c:v>54.391775466666665</c:v>
                </c:pt>
                <c:pt idx="25">
                  <c:v>54.395666666666664</c:v>
                </c:pt>
                <c:pt idx="26">
                  <c:v>54.399557866666662</c:v>
                </c:pt>
                <c:pt idx="27">
                  <c:v>54.40344906666666</c:v>
                </c:pt>
                <c:pt idx="28">
                  <c:v>54.407340266666658</c:v>
                </c:pt>
                <c:pt idx="29">
                  <c:v>54.411231466666663</c:v>
                </c:pt>
                <c:pt idx="30">
                  <c:v>54.415122666666662</c:v>
                </c:pt>
                <c:pt idx="31">
                  <c:v>54.41901386666666</c:v>
                </c:pt>
                <c:pt idx="32">
                  <c:v>54.422905066666658</c:v>
                </c:pt>
                <c:pt idx="33">
                  <c:v>54.426796266666663</c:v>
                </c:pt>
                <c:pt idx="34">
                  <c:v>54.430687466666662</c:v>
                </c:pt>
                <c:pt idx="35">
                  <c:v>54.434578666666667</c:v>
                </c:pt>
                <c:pt idx="36">
                  <c:v>54.438469866666658</c:v>
                </c:pt>
                <c:pt idx="37">
                  <c:v>54.442361066666663</c:v>
                </c:pt>
                <c:pt idx="38">
                  <c:v>54.446252266666662</c:v>
                </c:pt>
                <c:pt idx="39">
                  <c:v>54.450143466666667</c:v>
                </c:pt>
                <c:pt idx="40">
                  <c:v>54.454034666666665</c:v>
                </c:pt>
                <c:pt idx="41">
                  <c:v>54.457925866666663</c:v>
                </c:pt>
                <c:pt idx="42">
                  <c:v>54.461817066666661</c:v>
                </c:pt>
                <c:pt idx="43">
                  <c:v>54.46570826666666</c:v>
                </c:pt>
                <c:pt idx="44">
                  <c:v>54.469599466666665</c:v>
                </c:pt>
                <c:pt idx="45">
                  <c:v>54.473490666666663</c:v>
                </c:pt>
                <c:pt idx="46">
                  <c:v>54.477381866666661</c:v>
                </c:pt>
                <c:pt idx="47">
                  <c:v>54.48127306666666</c:v>
                </c:pt>
                <c:pt idx="48">
                  <c:v>54.485164266666665</c:v>
                </c:pt>
                <c:pt idx="49">
                  <c:v>54.489055466666663</c:v>
                </c:pt>
                <c:pt idx="50">
                  <c:v>54.492946666666661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82-486F-8FB8-5C0BEDBA5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 integrada 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DIAGRAMAS_Y!$E$13</c:f>
              <c:strCache>
                <c:ptCount val="1"/>
                <c:pt idx="0">
                  <c:v>w_u integrada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7.4999999999999956E-2</c:v>
                </c:pt>
                <c:pt idx="27">
                  <c:v>0.14999999999999991</c:v>
                </c:pt>
                <c:pt idx="28">
                  <c:v>0.22500000000000009</c:v>
                </c:pt>
                <c:pt idx="29">
                  <c:v>0.29999999999999982</c:v>
                </c:pt>
                <c:pt idx="30">
                  <c:v>0.375</c:v>
                </c:pt>
                <c:pt idx="31">
                  <c:v>0.45000000000000018</c:v>
                </c:pt>
                <c:pt idx="32">
                  <c:v>0.52499999999999991</c:v>
                </c:pt>
                <c:pt idx="33">
                  <c:v>0.60000000000000009</c:v>
                </c:pt>
                <c:pt idx="34">
                  <c:v>0.67499999999999982</c:v>
                </c:pt>
                <c:pt idx="35">
                  <c:v>0.75</c:v>
                </c:pt>
                <c:pt idx="36">
                  <c:v>0.82500000000000018</c:v>
                </c:pt>
                <c:pt idx="37">
                  <c:v>0.89999999999999991</c:v>
                </c:pt>
                <c:pt idx="38">
                  <c:v>0.97500000000000009</c:v>
                </c:pt>
                <c:pt idx="39">
                  <c:v>1.0499999999999998</c:v>
                </c:pt>
                <c:pt idx="40">
                  <c:v>1.125</c:v>
                </c:pt>
                <c:pt idx="41">
                  <c:v>1.2000000000000002</c:v>
                </c:pt>
                <c:pt idx="42">
                  <c:v>1.2749999999999999</c:v>
                </c:pt>
                <c:pt idx="43">
                  <c:v>1.35</c:v>
                </c:pt>
                <c:pt idx="44">
                  <c:v>1.4249999999999998</c:v>
                </c:pt>
                <c:pt idx="45">
                  <c:v>1.5</c:v>
                </c:pt>
                <c:pt idx="46">
                  <c:v>1.5750000000000002</c:v>
                </c:pt>
                <c:pt idx="47">
                  <c:v>1.65</c:v>
                </c:pt>
                <c:pt idx="48">
                  <c:v>1.7250000000000001</c:v>
                </c:pt>
                <c:pt idx="49">
                  <c:v>1.7999999999999998</c:v>
                </c:pt>
                <c:pt idx="50">
                  <c:v>1.875</c:v>
                </c:pt>
              </c:numCache>
            </c:numRef>
          </c:cat>
          <c:val>
            <c:numRef>
              <c:f>DIAGRAMAS_Y!$E$14:$E$64</c:f>
              <c:numCache>
                <c:formatCode>0.00</c:formatCode>
                <c:ptCount val="51"/>
                <c:pt idx="0">
                  <c:v>54.724199999999996</c:v>
                </c:pt>
                <c:pt idx="1">
                  <c:v>54.711058666666659</c:v>
                </c:pt>
                <c:pt idx="2">
                  <c:v>54.697917333333322</c:v>
                </c:pt>
                <c:pt idx="3">
                  <c:v>54.684775999999999</c:v>
                </c:pt>
                <c:pt idx="4">
                  <c:v>54.671634666666662</c:v>
                </c:pt>
                <c:pt idx="5">
                  <c:v>54.658493333333325</c:v>
                </c:pt>
                <c:pt idx="6">
                  <c:v>54.645351999999995</c:v>
                </c:pt>
                <c:pt idx="7">
                  <c:v>54.632210666666666</c:v>
                </c:pt>
                <c:pt idx="8">
                  <c:v>54.619069333333329</c:v>
                </c:pt>
                <c:pt idx="9">
                  <c:v>54.605927999999992</c:v>
                </c:pt>
                <c:pt idx="10">
                  <c:v>54.592786666666662</c:v>
                </c:pt>
                <c:pt idx="11">
                  <c:v>54.579645333333332</c:v>
                </c:pt>
                <c:pt idx="12">
                  <c:v>54.566503999999995</c:v>
                </c:pt>
                <c:pt idx="13">
                  <c:v>54.553362666666665</c:v>
                </c:pt>
                <c:pt idx="14">
                  <c:v>54.540221333333328</c:v>
                </c:pt>
                <c:pt idx="15">
                  <c:v>54.527079999999998</c:v>
                </c:pt>
                <c:pt idx="16">
                  <c:v>54.513938666666661</c:v>
                </c:pt>
                <c:pt idx="17">
                  <c:v>54.500797333333331</c:v>
                </c:pt>
                <c:pt idx="18">
                  <c:v>54.487655999999994</c:v>
                </c:pt>
                <c:pt idx="19">
                  <c:v>54.474514666666657</c:v>
                </c:pt>
                <c:pt idx="20">
                  <c:v>54.461373333333334</c:v>
                </c:pt>
                <c:pt idx="21">
                  <c:v>54.448231999999997</c:v>
                </c:pt>
                <c:pt idx="22">
                  <c:v>54.43509066666666</c:v>
                </c:pt>
                <c:pt idx="23">
                  <c:v>54.421949333333323</c:v>
                </c:pt>
                <c:pt idx="24">
                  <c:v>54.408808000000001</c:v>
                </c:pt>
                <c:pt idx="25">
                  <c:v>54.395666666666664</c:v>
                </c:pt>
                <c:pt idx="26">
                  <c:v>54.382525333333327</c:v>
                </c:pt>
                <c:pt idx="27">
                  <c:v>54.369383999999997</c:v>
                </c:pt>
                <c:pt idx="28">
                  <c:v>54.35624266666666</c:v>
                </c:pt>
                <c:pt idx="29">
                  <c:v>54.34310133333333</c:v>
                </c:pt>
                <c:pt idx="30">
                  <c:v>54.329959999999993</c:v>
                </c:pt>
                <c:pt idx="31">
                  <c:v>54.316818666666663</c:v>
                </c:pt>
                <c:pt idx="32">
                  <c:v>54.303677333333326</c:v>
                </c:pt>
                <c:pt idx="33">
                  <c:v>54.290535999999996</c:v>
                </c:pt>
                <c:pt idx="34">
                  <c:v>54.277394666666666</c:v>
                </c:pt>
                <c:pt idx="35">
                  <c:v>54.264253333333329</c:v>
                </c:pt>
                <c:pt idx="36">
                  <c:v>54.251111999999992</c:v>
                </c:pt>
                <c:pt idx="37">
                  <c:v>54.237970666666662</c:v>
                </c:pt>
                <c:pt idx="38">
                  <c:v>54.224829333333332</c:v>
                </c:pt>
                <c:pt idx="39">
                  <c:v>54.211687999999995</c:v>
                </c:pt>
                <c:pt idx="40">
                  <c:v>54.198546666666658</c:v>
                </c:pt>
                <c:pt idx="41">
                  <c:v>54.185405333333335</c:v>
                </c:pt>
                <c:pt idx="42">
                  <c:v>54.172263999999998</c:v>
                </c:pt>
                <c:pt idx="43">
                  <c:v>54.159122666666661</c:v>
                </c:pt>
                <c:pt idx="44">
                  <c:v>54.145981333333324</c:v>
                </c:pt>
                <c:pt idx="45">
                  <c:v>54.132839999999995</c:v>
                </c:pt>
                <c:pt idx="46">
                  <c:v>54.119698666666665</c:v>
                </c:pt>
                <c:pt idx="47">
                  <c:v>54.106557333333328</c:v>
                </c:pt>
                <c:pt idx="48">
                  <c:v>54.093415999999998</c:v>
                </c:pt>
                <c:pt idx="49">
                  <c:v>54.080274666666661</c:v>
                </c:pt>
                <c:pt idx="50">
                  <c:v>54.067133333333331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82-4F10-A13D-1B35A9EDA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369147</xdr:colOff>
      <xdr:row>27</xdr:row>
      <xdr:rowOff>150706</xdr:rowOff>
    </xdr:from>
    <xdr:ext cx="5667587" cy="266022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54D5DF-CF59-41F7-8E65-45D7FE406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106</xdr:row>
      <xdr:rowOff>60960</xdr:rowOff>
    </xdr:from>
    <xdr:ext cx="4320000" cy="2520000"/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5049D8A3-EA77-4EF6-8CC1-DFBD7B1C2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270933</xdr:colOff>
      <xdr:row>42</xdr:row>
      <xdr:rowOff>84666</xdr:rowOff>
    </xdr:from>
    <xdr:ext cx="4320000" cy="2562333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2A5D716-A03D-485D-9321-CE8D381C7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883920</xdr:colOff>
      <xdr:row>42</xdr:row>
      <xdr:rowOff>126999</xdr:rowOff>
    </xdr:from>
    <xdr:ext cx="432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7D23DF-5B8B-4A80-8BD0-7D5B4F2C9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19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36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19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36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33</xdr:row>
      <xdr:rowOff>121920</xdr:rowOff>
    </xdr:from>
    <xdr:ext cx="76962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0</xdr:colOff>
      <xdr:row>34</xdr:row>
      <xdr:rowOff>0</xdr:rowOff>
    </xdr:from>
    <xdr:ext cx="468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468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57</xdr:row>
      <xdr:rowOff>0</xdr:rowOff>
    </xdr:from>
    <xdr:ext cx="468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16</xdr:col>
      <xdr:colOff>0</xdr:colOff>
      <xdr:row>57</xdr:row>
      <xdr:rowOff>0</xdr:rowOff>
    </xdr:from>
    <xdr:ext cx="468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432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8</xdr:col>
      <xdr:colOff>0</xdr:colOff>
      <xdr:row>75</xdr:row>
      <xdr:rowOff>0</xdr:rowOff>
    </xdr:from>
    <xdr:ext cx="432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16</xdr:col>
      <xdr:colOff>0</xdr:colOff>
      <xdr:row>75</xdr:row>
      <xdr:rowOff>0</xdr:rowOff>
    </xdr:from>
    <xdr:ext cx="432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93</xdr:row>
      <xdr:rowOff>0</xdr:rowOff>
    </xdr:from>
    <xdr:ext cx="4320000" cy="252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</xdr:col>
      <xdr:colOff>0</xdr:colOff>
      <xdr:row>93</xdr:row>
      <xdr:rowOff>0</xdr:rowOff>
    </xdr:from>
    <xdr:ext cx="4320000" cy="252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16</xdr:col>
      <xdr:colOff>0</xdr:colOff>
      <xdr:row>93</xdr:row>
      <xdr:rowOff>0</xdr:rowOff>
    </xdr:from>
    <xdr:ext cx="4320000" cy="252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0</xdr:colOff>
      <xdr:row>111</xdr:row>
      <xdr:rowOff>0</xdr:rowOff>
    </xdr:from>
    <xdr:ext cx="4320000" cy="252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8</xdr:col>
      <xdr:colOff>0</xdr:colOff>
      <xdr:row>111</xdr:row>
      <xdr:rowOff>0</xdr:rowOff>
    </xdr:from>
    <xdr:ext cx="4320000" cy="252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16</xdr:col>
      <xdr:colOff>0</xdr:colOff>
      <xdr:row>111</xdr:row>
      <xdr:rowOff>0</xdr:rowOff>
    </xdr:from>
    <xdr:ext cx="4320000" cy="252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BarrasPeru" displayName="tbl_BarrasPeru" ref="A4:G13">
  <autoFilter ref="A4:G13" xr:uid="{00000000-0009-0000-0100-000001000000}"/>
  <tableColumns count="7">
    <tableColumn id="1" xr3:uid="{00000000-0010-0000-0000-000001000000}" name="Codigo"/>
    <tableColumn id="2" xr3:uid="{00000000-0010-0000-0000-000002000000}" name="Denominacion Peru"/>
    <tableColumn id="3" xr3:uid="{00000000-0010-0000-0000-000003000000}" name="Equivalencia referencial"/>
    <tableColumn id="4" xr3:uid="{00000000-0010-0000-0000-000004000000}" name="Diametro mm"/>
    <tableColumn id="5" xr3:uid="{00000000-0010-0000-0000-000005000000}" name="Diametro cm"/>
    <tableColumn id="6" xr3:uid="{00000000-0010-0000-0000-000006000000}" name="Area comercial cm2"/>
    <tableColumn id="7" xr3:uid="{00000000-0010-0000-0000-000007000000}" name="Peso kg/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Resultantes" displayName="tbl_Resultantes" ref="A4:N6">
  <autoFilter ref="A4:N6" xr:uid="{00000000-0009-0000-0100-000002000000}"/>
  <tableColumns count="14">
    <tableColumn id="1" xr3:uid="{00000000-0010-0000-0100-000001000000}" name="Estado"/>
    <tableColumn id="2" xr3:uid="{00000000-0010-0000-0100-000002000000}" name="P carga"/>
    <tableColumn id="3" xr3:uid="{00000000-0010-0000-0100-000003000000}" name="W zapata"/>
    <tableColumn id="4" xr3:uid="{00000000-0010-0000-0100-000004000000}" name="W suelo"/>
    <tableColumn id="5" xr3:uid="{00000000-0010-0000-0100-000005000000}" name="P total"/>
    <tableColumn id="6" xr3:uid="{00000000-0010-0000-0100-000006000000}" name="Mx total"/>
    <tableColumn id="7" xr3:uid="{00000000-0010-0000-0100-000007000000}" name="My total"/>
    <tableColumn id="8" xr3:uid="{00000000-0010-0000-0100-000008000000}" name="ex = My/P"/>
    <tableColumn id="9" xr3:uid="{00000000-0010-0000-0100-000009000000}" name="ey = Mx/P"/>
    <tableColumn id="10" xr3:uid="{00000000-0010-0000-0100-00000A000000}" name="|ex|&lt;=Bx/6"/>
    <tableColumn id="11" xr3:uid="{00000000-0010-0000-0100-00000B000000}" name="|ey|&lt;=By/6"/>
    <tableColumn id="12" xr3:uid="{00000000-0010-0000-0100-00000C000000}" name="xR"/>
    <tableColumn id="13" xr3:uid="{00000000-0010-0000-0100-00000D000000}" name="yR"/>
    <tableColumn id="14" xr3:uid="{00000000-0010-0000-0100-00000E000000}" name="Estado nucle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PresionesServicio" displayName="tbl_PresionesServicio" ref="A4:H8">
  <autoFilter ref="A4:H8" xr:uid="{00000000-0009-0000-0100-000003000000}"/>
  <tableColumns count="8">
    <tableColumn id="1" xr3:uid="{00000000-0010-0000-0200-000001000000}" name="Esquina"/>
    <tableColumn id="2" xr3:uid="{00000000-0010-0000-0200-000002000000}" name="signo X"/>
    <tableColumn id="3" xr3:uid="{00000000-0010-0000-0200-000003000000}" name="signo Y"/>
    <tableColumn id="4" xr3:uid="{00000000-0010-0000-0200-000004000000}" name="q (tonf/m2)"/>
    <tableColumn id="5" xr3:uid="{00000000-0010-0000-0200-000005000000}" name="Control"/>
    <tableColumn id="6" xr3:uid="{00000000-0010-0000-0200-000006000000}" name="Unidad"/>
    <tableColumn id="7" xr3:uid="{00000000-0010-0000-0200-000007000000}" name="Valor"/>
    <tableColumn id="8" xr3:uid="{00000000-0010-0000-0200-000008000000}" name="No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PresionesUltimas" displayName="tbl_PresionesUltimas" ref="A4:H8">
  <autoFilter ref="A4:H8" xr:uid="{00000000-0009-0000-0100-000004000000}"/>
  <tableColumns count="8">
    <tableColumn id="1" xr3:uid="{00000000-0010-0000-0300-000001000000}" name="Esquina"/>
    <tableColumn id="2" xr3:uid="{00000000-0010-0000-0300-000002000000}" name="signo X"/>
    <tableColumn id="3" xr3:uid="{00000000-0010-0000-0300-000003000000}" name="signo Y"/>
    <tableColumn id="4" xr3:uid="{00000000-0010-0000-0300-000004000000}" name="q (tonf/m2)"/>
    <tableColumn id="5" xr3:uid="{00000000-0010-0000-0300-000005000000}" name="Control"/>
    <tableColumn id="6" xr3:uid="{00000000-0010-0000-0300-000006000000}" name="Unidad"/>
    <tableColumn id="7" xr3:uid="{00000000-0010-0000-0300-000007000000}" name="Valor"/>
    <tableColumn id="8" xr3:uid="{00000000-0010-0000-0300-000008000000}" name="No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AceroDetallado" displayName="tbl_AceroDetallado" ref="A4:J8">
  <autoFilter ref="A4:J8" xr:uid="{00000000-0009-0000-0100-000005000000}"/>
  <tableColumns count="10">
    <tableColumn id="1" xr3:uid="{00000000-0010-0000-0400-000001000000}" name="Parrilla"/>
    <tableColumn id="2" xr3:uid="{00000000-0010-0000-0400-000002000000}" name="Diametro"/>
    <tableColumn id="3" xr3:uid="{00000000-0010-0000-0400-000003000000}" name="Area barra"/>
    <tableColumn id="4" xr3:uid="{00000000-0010-0000-0400-000004000000}" name="As requerido"/>
    <tableColumn id="5" xr3:uid="{00000000-0010-0000-0400-000005000000}" name="s calculada"/>
    <tableColumn id="6" xr3:uid="{00000000-0010-0000-0400-000006000000}" name="s adoptada"/>
    <tableColumn id="7" xr3:uid="{00000000-0010-0000-0400-000007000000}" name="s maxima"/>
    <tableColumn id="8" xr3:uid="{00000000-0010-0000-0400-000008000000}" name="As colocado"/>
    <tableColumn id="9" xr3:uid="{00000000-0010-0000-0400-000009000000}" name="As_col/As_req"/>
    <tableColumn id="10" xr3:uid="{00000000-0010-0000-0400-00000A000000}" name="Resul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showGridLines="0" tabSelected="1" topLeftCell="A33" zoomScaleNormal="100" workbookViewId="0">
      <selection activeCell="C25" sqref="C25"/>
    </sheetView>
  </sheetViews>
  <sheetFormatPr baseColWidth="10" defaultColWidth="8.88671875" defaultRowHeight="14.4" x14ac:dyDescent="0.3"/>
  <cols>
    <col min="1" max="1" width="32" customWidth="1"/>
    <col min="2" max="2" width="16" customWidth="1"/>
    <col min="3" max="3" width="18" customWidth="1"/>
    <col min="4" max="4" width="16" customWidth="1"/>
    <col min="5" max="5" width="44" customWidth="1"/>
    <col min="6" max="8" width="18" customWidth="1"/>
    <col min="9" max="15" width="14" customWidth="1"/>
  </cols>
  <sheetData>
    <row r="1" spans="1:8" ht="25.05" customHeight="1" x14ac:dyDescent="0.3">
      <c r="A1" s="16" t="s">
        <v>0</v>
      </c>
      <c r="B1" s="15"/>
      <c r="C1" s="15"/>
      <c r="D1" s="15"/>
      <c r="E1" s="15"/>
      <c r="F1" s="15"/>
      <c r="G1" s="15"/>
      <c r="H1" s="15"/>
    </row>
    <row r="3" spans="1:8" ht="19.95" customHeight="1" x14ac:dyDescent="0.3">
      <c r="A3" s="14" t="s">
        <v>1</v>
      </c>
      <c r="B3" s="15"/>
      <c r="C3" s="15"/>
      <c r="D3" s="15"/>
      <c r="E3" s="15"/>
      <c r="F3" s="15"/>
      <c r="G3" s="15"/>
      <c r="H3" s="15"/>
    </row>
    <row r="4" spans="1:8" x14ac:dyDescent="0.3">
      <c r="A4" s="1" t="s">
        <v>2</v>
      </c>
      <c r="B4" s="1"/>
      <c r="C4" s="2" t="s">
        <v>3</v>
      </c>
      <c r="D4" s="1"/>
      <c r="E4" s="1" t="s">
        <v>4</v>
      </c>
      <c r="G4" s="3" t="s">
        <v>5</v>
      </c>
      <c r="H4" s="1"/>
    </row>
    <row r="5" spans="1:8" ht="26.4" x14ac:dyDescent="0.3">
      <c r="A5" s="1" t="s">
        <v>6</v>
      </c>
      <c r="B5" s="1"/>
      <c r="C5" s="2" t="s">
        <v>7</v>
      </c>
      <c r="D5" s="1"/>
      <c r="E5" s="1" t="s">
        <v>4</v>
      </c>
      <c r="G5" s="1" t="s">
        <v>8</v>
      </c>
      <c r="H5" s="1"/>
    </row>
    <row r="6" spans="1:8" ht="39.6" x14ac:dyDescent="0.3">
      <c r="A6" s="1" t="s">
        <v>9</v>
      </c>
      <c r="B6" s="1"/>
      <c r="C6" s="2" t="s">
        <v>10</v>
      </c>
      <c r="D6" s="1"/>
      <c r="E6" s="1" t="s">
        <v>4</v>
      </c>
      <c r="G6" s="1" t="s">
        <v>11</v>
      </c>
      <c r="H6" s="1"/>
    </row>
    <row r="7" spans="1:8" ht="39.6" x14ac:dyDescent="0.3">
      <c r="A7" s="1" t="s">
        <v>12</v>
      </c>
      <c r="B7" s="1"/>
      <c r="C7" s="2" t="s">
        <v>13</v>
      </c>
      <c r="D7" s="1"/>
      <c r="E7" s="1" t="s">
        <v>4</v>
      </c>
      <c r="G7" s="1" t="s">
        <v>14</v>
      </c>
      <c r="H7" s="1"/>
    </row>
    <row r="8" spans="1:8" ht="26.4" x14ac:dyDescent="0.3">
      <c r="A8" s="1" t="s">
        <v>15</v>
      </c>
      <c r="B8" s="1"/>
      <c r="C8" s="2" t="s">
        <v>16</v>
      </c>
      <c r="D8" s="1"/>
      <c r="E8" s="1" t="s">
        <v>17</v>
      </c>
      <c r="G8" s="1" t="s">
        <v>18</v>
      </c>
      <c r="H8" s="1"/>
    </row>
    <row r="9" spans="1:8" x14ac:dyDescent="0.3">
      <c r="A9" s="1" t="s">
        <v>19</v>
      </c>
      <c r="B9" s="1"/>
      <c r="C9" s="2" t="s">
        <v>20</v>
      </c>
      <c r="D9" s="1"/>
      <c r="E9" s="1" t="s">
        <v>21</v>
      </c>
    </row>
    <row r="10" spans="1:8" x14ac:dyDescent="0.3">
      <c r="A10" s="1" t="s">
        <v>22</v>
      </c>
      <c r="B10" s="1"/>
      <c r="C10" s="2" t="s">
        <v>23</v>
      </c>
      <c r="D10" s="1"/>
      <c r="E10" s="1" t="s">
        <v>24</v>
      </c>
    </row>
    <row r="12" spans="1:8" ht="19.95" customHeight="1" x14ac:dyDescent="0.3">
      <c r="A12" s="14" t="s">
        <v>25</v>
      </c>
      <c r="B12" s="15"/>
      <c r="C12" s="15"/>
      <c r="D12" s="15"/>
      <c r="E12" s="15"/>
      <c r="F12" s="15"/>
      <c r="G12" s="15"/>
      <c r="H12" s="15"/>
    </row>
    <row r="13" spans="1:8" x14ac:dyDescent="0.3">
      <c r="A13" s="4" t="s">
        <v>26</v>
      </c>
      <c r="B13" s="4" t="s">
        <v>27</v>
      </c>
      <c r="C13" s="4" t="s">
        <v>28</v>
      </c>
      <c r="D13" s="4" t="s">
        <v>29</v>
      </c>
      <c r="E13" s="4" t="s">
        <v>30</v>
      </c>
    </row>
    <row r="14" spans="1:8" x14ac:dyDescent="0.3">
      <c r="A14" s="1" t="s">
        <v>31</v>
      </c>
      <c r="B14" s="1" t="s">
        <v>32</v>
      </c>
      <c r="C14" s="5">
        <v>210</v>
      </c>
      <c r="D14" s="1" t="s">
        <v>33</v>
      </c>
      <c r="E14" s="1" t="s">
        <v>34</v>
      </c>
    </row>
    <row r="15" spans="1:8" x14ac:dyDescent="0.3">
      <c r="A15" s="1" t="s">
        <v>35</v>
      </c>
      <c r="B15" s="1" t="s">
        <v>36</v>
      </c>
      <c r="C15" s="5">
        <v>4200</v>
      </c>
      <c r="D15" s="1" t="s">
        <v>33</v>
      </c>
      <c r="E15" s="1" t="s">
        <v>37</v>
      </c>
    </row>
    <row r="16" spans="1:8" x14ac:dyDescent="0.3">
      <c r="A16" s="1" t="s">
        <v>38</v>
      </c>
      <c r="B16" s="1" t="s">
        <v>39</v>
      </c>
      <c r="C16" s="5">
        <v>2.4</v>
      </c>
      <c r="D16" s="1" t="s">
        <v>40</v>
      </c>
      <c r="E16" s="1" t="s">
        <v>41</v>
      </c>
    </row>
    <row r="17" spans="1:8" x14ac:dyDescent="0.3">
      <c r="A17" s="1" t="s">
        <v>42</v>
      </c>
      <c r="B17" s="1" t="s">
        <v>43</v>
      </c>
      <c r="C17" s="5">
        <v>1.8</v>
      </c>
      <c r="D17" s="1" t="s">
        <v>40</v>
      </c>
      <c r="E17" s="1" t="s">
        <v>4</v>
      </c>
    </row>
    <row r="18" spans="1:8" x14ac:dyDescent="0.3">
      <c r="A18" s="1" t="s">
        <v>44</v>
      </c>
      <c r="B18" s="1" t="s">
        <v>45</v>
      </c>
      <c r="C18" s="5">
        <v>8.5</v>
      </c>
      <c r="D18" s="1" t="s">
        <v>46</v>
      </c>
      <c r="E18" s="1" t="s">
        <v>47</v>
      </c>
    </row>
    <row r="19" spans="1:8" x14ac:dyDescent="0.3">
      <c r="A19" s="1" t="s">
        <v>48</v>
      </c>
      <c r="B19" s="1" t="s">
        <v>49</v>
      </c>
      <c r="C19" s="5">
        <v>0.45</v>
      </c>
      <c r="D19" s="1" t="s">
        <v>50</v>
      </c>
      <c r="E19" s="1" t="s">
        <v>51</v>
      </c>
    </row>
    <row r="20" spans="1:8" x14ac:dyDescent="0.3">
      <c r="A20" s="1" t="s">
        <v>52</v>
      </c>
      <c r="B20" s="1" t="s">
        <v>53</v>
      </c>
      <c r="C20" s="5">
        <v>7.5</v>
      </c>
      <c r="D20" s="1" t="s">
        <v>54</v>
      </c>
      <c r="E20" s="1" t="s">
        <v>55</v>
      </c>
    </row>
    <row r="21" spans="1:8" x14ac:dyDescent="0.3">
      <c r="A21" s="1" t="s">
        <v>56</v>
      </c>
      <c r="B21" s="1" t="s">
        <v>57</v>
      </c>
      <c r="C21" s="5">
        <v>7.5</v>
      </c>
      <c r="D21" s="1" t="s">
        <v>54</v>
      </c>
      <c r="E21" s="1" t="s">
        <v>58</v>
      </c>
    </row>
    <row r="22" spans="1:8" x14ac:dyDescent="0.3">
      <c r="A22" s="1" t="s">
        <v>59</v>
      </c>
      <c r="B22" s="1" t="s">
        <v>60</v>
      </c>
      <c r="C22" s="5">
        <v>0.9</v>
      </c>
      <c r="D22" s="1" t="s">
        <v>50</v>
      </c>
      <c r="E22" s="1" t="s">
        <v>34</v>
      </c>
    </row>
    <row r="23" spans="1:8" x14ac:dyDescent="0.3">
      <c r="A23" s="1" t="s">
        <v>61</v>
      </c>
      <c r="B23" s="1" t="s">
        <v>62</v>
      </c>
      <c r="C23" s="5">
        <v>0.85</v>
      </c>
      <c r="D23" s="1" t="s">
        <v>50</v>
      </c>
      <c r="E23" s="1" t="s">
        <v>34</v>
      </c>
    </row>
    <row r="24" spans="1:8" x14ac:dyDescent="0.3">
      <c r="A24" s="1" t="s">
        <v>63</v>
      </c>
      <c r="B24" s="1" t="s">
        <v>64</v>
      </c>
      <c r="C24" s="5">
        <v>0.85</v>
      </c>
      <c r="D24" s="1" t="s">
        <v>50</v>
      </c>
      <c r="E24" s="1" t="s">
        <v>34</v>
      </c>
    </row>
    <row r="25" spans="1:8" x14ac:dyDescent="0.3">
      <c r="A25" s="1" t="s">
        <v>65</v>
      </c>
      <c r="B25" s="1" t="s">
        <v>66</v>
      </c>
      <c r="C25" s="6">
        <v>1.8E-3</v>
      </c>
      <c r="D25" s="1" t="s">
        <v>50</v>
      </c>
      <c r="E25" s="1" t="s">
        <v>4</v>
      </c>
    </row>
    <row r="26" spans="1:8" x14ac:dyDescent="0.3">
      <c r="A26" s="1" t="s">
        <v>67</v>
      </c>
      <c r="B26" s="1" t="s">
        <v>68</v>
      </c>
      <c r="C26" s="5">
        <v>40</v>
      </c>
      <c r="D26" s="1" t="s">
        <v>54</v>
      </c>
      <c r="E26" s="1" t="s">
        <v>69</v>
      </c>
    </row>
    <row r="28" spans="1:8" ht="19.95" customHeight="1" x14ac:dyDescent="0.3">
      <c r="A28" s="14" t="s">
        <v>70</v>
      </c>
      <c r="B28" s="15"/>
      <c r="C28" s="15"/>
      <c r="D28" s="15"/>
      <c r="E28" s="15"/>
      <c r="F28" s="15"/>
      <c r="G28" s="15"/>
      <c r="H28" s="15"/>
    </row>
    <row r="29" spans="1:8" x14ac:dyDescent="0.3">
      <c r="A29" s="4" t="s">
        <v>26</v>
      </c>
      <c r="B29" s="4" t="s">
        <v>27</v>
      </c>
      <c r="C29" s="4" t="s">
        <v>28</v>
      </c>
      <c r="D29" s="4" t="s">
        <v>29</v>
      </c>
      <c r="E29" s="4" t="s">
        <v>30</v>
      </c>
    </row>
    <row r="30" spans="1:8" x14ac:dyDescent="0.3">
      <c r="A30" s="1" t="s">
        <v>71</v>
      </c>
      <c r="B30" s="1" t="s">
        <v>72</v>
      </c>
      <c r="C30" s="5">
        <v>3.75</v>
      </c>
      <c r="D30" s="1" t="s">
        <v>73</v>
      </c>
      <c r="E30" s="1" t="s">
        <v>4</v>
      </c>
    </row>
    <row r="31" spans="1:8" x14ac:dyDescent="0.3">
      <c r="A31" s="1" t="s">
        <v>74</v>
      </c>
      <c r="B31" s="1" t="s">
        <v>75</v>
      </c>
      <c r="C31" s="5">
        <v>3.75</v>
      </c>
      <c r="D31" s="1" t="s">
        <v>73</v>
      </c>
      <c r="E31" s="1" t="s">
        <v>4</v>
      </c>
    </row>
    <row r="32" spans="1:8" x14ac:dyDescent="0.3">
      <c r="A32" s="1" t="s">
        <v>76</v>
      </c>
      <c r="B32" s="1" t="s">
        <v>77</v>
      </c>
      <c r="C32" s="5">
        <v>0.5</v>
      </c>
      <c r="D32" s="1" t="s">
        <v>73</v>
      </c>
      <c r="E32" s="1" t="s">
        <v>4</v>
      </c>
    </row>
    <row r="33" spans="1:8" x14ac:dyDescent="0.3">
      <c r="A33" s="1" t="s">
        <v>78</v>
      </c>
      <c r="B33" s="1" t="s">
        <v>79</v>
      </c>
      <c r="C33" s="5">
        <v>2</v>
      </c>
      <c r="D33" s="1" t="s">
        <v>73</v>
      </c>
      <c r="E33" s="1" t="s">
        <v>4</v>
      </c>
    </row>
    <row r="34" spans="1:8" x14ac:dyDescent="0.3">
      <c r="A34" s="1" t="s">
        <v>80</v>
      </c>
      <c r="B34" s="1" t="s">
        <v>81</v>
      </c>
      <c r="C34" s="7" t="s">
        <v>82</v>
      </c>
      <c r="D34" s="1" t="s">
        <v>83</v>
      </c>
      <c r="E34" s="1" t="s">
        <v>84</v>
      </c>
    </row>
    <row r="35" spans="1:8" x14ac:dyDescent="0.3">
      <c r="A35" s="1" t="s">
        <v>85</v>
      </c>
      <c r="B35" s="1" t="s">
        <v>86</v>
      </c>
      <c r="C35" s="7" t="s">
        <v>82</v>
      </c>
      <c r="D35" s="1" t="s">
        <v>83</v>
      </c>
      <c r="E35" s="1" t="s">
        <v>87</v>
      </c>
    </row>
    <row r="36" spans="1:8" x14ac:dyDescent="0.3">
      <c r="A36" s="1" t="s">
        <v>88</v>
      </c>
      <c r="B36" s="1" t="s">
        <v>89</v>
      </c>
      <c r="C36" s="5">
        <v>1.5</v>
      </c>
      <c r="D36" s="1" t="s">
        <v>73</v>
      </c>
      <c r="E36" s="1" t="s">
        <v>4</v>
      </c>
    </row>
    <row r="37" spans="1:8" x14ac:dyDescent="0.3">
      <c r="A37" s="1" t="s">
        <v>90</v>
      </c>
      <c r="B37" s="1" t="s">
        <v>91</v>
      </c>
      <c r="C37" s="7">
        <v>50</v>
      </c>
      <c r="D37" s="1" t="s">
        <v>50</v>
      </c>
      <c r="E37" s="1" t="s">
        <v>92</v>
      </c>
    </row>
    <row r="38" spans="1:8" x14ac:dyDescent="0.3">
      <c r="A38" s="1" t="s">
        <v>93</v>
      </c>
      <c r="B38" s="1" t="s">
        <v>94</v>
      </c>
      <c r="C38" s="7">
        <v>50</v>
      </c>
      <c r="D38" s="1" t="s">
        <v>50</v>
      </c>
      <c r="E38" s="1" t="s">
        <v>92</v>
      </c>
    </row>
    <row r="40" spans="1:8" ht="19.95" customHeight="1" x14ac:dyDescent="0.3">
      <c r="A40" s="14" t="s">
        <v>95</v>
      </c>
      <c r="B40" s="15"/>
      <c r="C40" s="15"/>
      <c r="D40" s="15"/>
      <c r="E40" s="15"/>
      <c r="F40" s="15"/>
      <c r="G40" s="15"/>
      <c r="H40" s="15"/>
    </row>
    <row r="41" spans="1:8" x14ac:dyDescent="0.3">
      <c r="A41" s="4" t="s">
        <v>26</v>
      </c>
      <c r="B41" s="4" t="s">
        <v>27</v>
      </c>
      <c r="C41" s="4" t="s">
        <v>28</v>
      </c>
      <c r="D41" s="4" t="s">
        <v>29</v>
      </c>
      <c r="E41" s="4" t="s">
        <v>30</v>
      </c>
    </row>
    <row r="42" spans="1:8" x14ac:dyDescent="0.3">
      <c r="A42" s="1" t="s">
        <v>96</v>
      </c>
      <c r="B42" s="1" t="s">
        <v>97</v>
      </c>
      <c r="C42" s="5">
        <v>0.4</v>
      </c>
      <c r="D42" s="1" t="s">
        <v>73</v>
      </c>
      <c r="E42" s="1" t="s">
        <v>4</v>
      </c>
    </row>
    <row r="43" spans="1:8" x14ac:dyDescent="0.3">
      <c r="A43" s="1" t="s">
        <v>98</v>
      </c>
      <c r="B43" s="1" t="s">
        <v>99</v>
      </c>
      <c r="C43" s="5">
        <v>0.4</v>
      </c>
      <c r="D43" s="1" t="s">
        <v>73</v>
      </c>
      <c r="E43" s="1" t="s">
        <v>4</v>
      </c>
    </row>
    <row r="44" spans="1:8" x14ac:dyDescent="0.3">
      <c r="A44" s="1" t="s">
        <v>100</v>
      </c>
      <c r="B44" s="1" t="s">
        <v>101</v>
      </c>
      <c r="C44" s="5">
        <v>0</v>
      </c>
      <c r="D44" s="1" t="s">
        <v>73</v>
      </c>
      <c r="E44" s="1" t="s">
        <v>102</v>
      </c>
    </row>
    <row r="45" spans="1:8" x14ac:dyDescent="0.3">
      <c r="A45" s="1" t="s">
        <v>103</v>
      </c>
      <c r="B45" s="1" t="s">
        <v>104</v>
      </c>
      <c r="C45" s="5">
        <v>0</v>
      </c>
      <c r="D45" s="1" t="s">
        <v>73</v>
      </c>
      <c r="E45" s="1" t="s">
        <v>102</v>
      </c>
    </row>
    <row r="46" spans="1:8" x14ac:dyDescent="0.3">
      <c r="A46" s="1" t="s">
        <v>105</v>
      </c>
      <c r="B46" s="1" t="s">
        <v>106</v>
      </c>
      <c r="C46" s="5">
        <v>0</v>
      </c>
      <c r="D46" s="1" t="s">
        <v>73</v>
      </c>
      <c r="E46" s="1" t="s">
        <v>107</v>
      </c>
    </row>
    <row r="47" spans="1:8" x14ac:dyDescent="0.3">
      <c r="A47" s="1" t="s">
        <v>108</v>
      </c>
      <c r="B47" s="1" t="s">
        <v>109</v>
      </c>
      <c r="C47" s="7" t="s">
        <v>82</v>
      </c>
      <c r="D47" s="1" t="s">
        <v>83</v>
      </c>
      <c r="E47" s="1" t="s">
        <v>4</v>
      </c>
    </row>
    <row r="48" spans="1:8" x14ac:dyDescent="0.3">
      <c r="A48" s="1" t="s">
        <v>110</v>
      </c>
      <c r="B48" s="1" t="s">
        <v>111</v>
      </c>
      <c r="C48" s="7">
        <v>1</v>
      </c>
      <c r="D48" s="1" t="s">
        <v>112</v>
      </c>
      <c r="E48" s="1" t="s">
        <v>113</v>
      </c>
    </row>
    <row r="49" spans="1:8" x14ac:dyDescent="0.3">
      <c r="A49" s="1" t="s">
        <v>114</v>
      </c>
      <c r="B49" s="1" t="s">
        <v>115</v>
      </c>
      <c r="C49" s="7">
        <v>1</v>
      </c>
      <c r="D49" s="1" t="s">
        <v>112</v>
      </c>
      <c r="E49" s="1" t="s">
        <v>113</v>
      </c>
    </row>
    <row r="50" spans="1:8" ht="26.4" x14ac:dyDescent="0.3">
      <c r="A50" s="1" t="s">
        <v>116</v>
      </c>
      <c r="B50" s="1" t="s">
        <v>117</v>
      </c>
      <c r="C50" s="7" t="s">
        <v>82</v>
      </c>
      <c r="D50" s="1" t="s">
        <v>83</v>
      </c>
      <c r="E50" s="1" t="s">
        <v>118</v>
      </c>
    </row>
    <row r="52" spans="1:8" ht="19.95" customHeight="1" x14ac:dyDescent="0.3">
      <c r="A52" s="14" t="s">
        <v>119</v>
      </c>
      <c r="B52" s="15"/>
      <c r="C52" s="15"/>
      <c r="D52" s="15"/>
      <c r="E52" s="15"/>
      <c r="F52" s="15"/>
      <c r="G52" s="15"/>
      <c r="H52" s="15"/>
    </row>
    <row r="53" spans="1:8" x14ac:dyDescent="0.3">
      <c r="A53" s="4" t="s">
        <v>26</v>
      </c>
      <c r="B53" s="4" t="s">
        <v>27</v>
      </c>
      <c r="C53" s="4" t="s">
        <v>28</v>
      </c>
      <c r="D53" s="4" t="s">
        <v>29</v>
      </c>
      <c r="E53" s="4" t="s">
        <v>30</v>
      </c>
    </row>
    <row r="54" spans="1:8" x14ac:dyDescent="0.3">
      <c r="A54" s="1" t="s">
        <v>120</v>
      </c>
      <c r="B54" s="1" t="s">
        <v>121</v>
      </c>
      <c r="C54" s="2" t="s">
        <v>157</v>
      </c>
      <c r="D54" s="1" t="s">
        <v>50</v>
      </c>
      <c r="E54" s="1" t="s">
        <v>123</v>
      </c>
    </row>
    <row r="55" spans="1:8" x14ac:dyDescent="0.3">
      <c r="A55" s="1" t="s">
        <v>124</v>
      </c>
      <c r="B55" s="1" t="s">
        <v>125</v>
      </c>
      <c r="C55" s="2" t="s">
        <v>157</v>
      </c>
      <c r="D55" s="1" t="s">
        <v>50</v>
      </c>
      <c r="E55" s="1" t="s">
        <v>123</v>
      </c>
    </row>
    <row r="56" spans="1:8" x14ac:dyDescent="0.3">
      <c r="A56" s="1" t="s">
        <v>126</v>
      </c>
      <c r="B56" s="1" t="s">
        <v>127</v>
      </c>
      <c r="C56" s="2" t="s">
        <v>157</v>
      </c>
      <c r="D56" s="1" t="s">
        <v>50</v>
      </c>
      <c r="E56" s="1" t="s">
        <v>129</v>
      </c>
    </row>
    <row r="57" spans="1:8" x14ac:dyDescent="0.3">
      <c r="A57" s="1" t="s">
        <v>130</v>
      </c>
      <c r="B57" s="1" t="s">
        <v>131</v>
      </c>
      <c r="C57" s="2" t="s">
        <v>157</v>
      </c>
      <c r="D57" s="1" t="s">
        <v>50</v>
      </c>
      <c r="E57" s="1" t="s">
        <v>129</v>
      </c>
    </row>
    <row r="58" spans="1:8" x14ac:dyDescent="0.3">
      <c r="A58" s="1" t="s">
        <v>132</v>
      </c>
      <c r="B58" s="1" t="s">
        <v>133</v>
      </c>
      <c r="C58" s="8">
        <v>15</v>
      </c>
      <c r="D58" s="1" t="s">
        <v>54</v>
      </c>
      <c r="E58" s="1" t="s">
        <v>134</v>
      </c>
    </row>
    <row r="59" spans="1:8" x14ac:dyDescent="0.3">
      <c r="A59" s="1" t="s">
        <v>135</v>
      </c>
      <c r="B59" s="1" t="s">
        <v>136</v>
      </c>
      <c r="C59" s="8">
        <v>15</v>
      </c>
      <c r="D59" s="1" t="s">
        <v>54</v>
      </c>
      <c r="E59" s="1" t="s">
        <v>134</v>
      </c>
    </row>
    <row r="60" spans="1:8" x14ac:dyDescent="0.3">
      <c r="A60" s="1" t="s">
        <v>137</v>
      </c>
      <c r="B60" s="1" t="s">
        <v>138</v>
      </c>
      <c r="C60" s="8">
        <v>15</v>
      </c>
      <c r="D60" s="1" t="s">
        <v>54</v>
      </c>
      <c r="E60" s="1" t="s">
        <v>134</v>
      </c>
    </row>
    <row r="61" spans="1:8" x14ac:dyDescent="0.3">
      <c r="A61" s="1" t="s">
        <v>139</v>
      </c>
      <c r="B61" s="1" t="s">
        <v>140</v>
      </c>
      <c r="C61" s="8">
        <v>15</v>
      </c>
      <c r="D61" s="1" t="s">
        <v>54</v>
      </c>
      <c r="E61" s="1" t="s">
        <v>134</v>
      </c>
    </row>
  </sheetData>
  <mergeCells count="6">
    <mergeCell ref="A12:H12"/>
    <mergeCell ref="A3:H3"/>
    <mergeCell ref="A52:H52"/>
    <mergeCell ref="A28:H28"/>
    <mergeCell ref="A1:H1"/>
    <mergeCell ref="A40:H40"/>
  </mergeCells>
  <dataValidations count="4">
    <dataValidation type="list" sqref="C34 C35 C47 C50" xr:uid="{00000000-0002-0000-0000-000000000000}">
      <formula1>"Si,No"</formula1>
    </dataValidation>
    <dataValidation type="list" sqref="C48 C49" xr:uid="{00000000-0002-0000-0000-000001000000}">
      <formula1>"1,-1"</formula1>
    </dataValidation>
    <dataValidation type="list" sqref="C54 C55 C56 C57" xr:uid="{00000000-0002-0000-0000-000002000000}">
      <formula1>bar_codes</formula1>
    </dataValidation>
    <dataValidation type="list" sqref="C58 C59 C60 C61" xr:uid="{00000000-0002-0000-0000-000003000000}">
      <formula1>"10,12.5,15,17.5,20,25,30"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workbookViewId="0">
      <selection sqref="A1:G1"/>
    </sheetView>
  </sheetViews>
  <sheetFormatPr baseColWidth="10" defaultColWidth="8.88671875" defaultRowHeight="14.4" x14ac:dyDescent="0.3"/>
  <cols>
    <col min="1" max="1" width="15" customWidth="1"/>
    <col min="2" max="2" width="20" customWidth="1"/>
    <col min="3" max="3" width="24" customWidth="1"/>
    <col min="4" max="5" width="14" customWidth="1"/>
    <col min="6" max="6" width="20" customWidth="1"/>
    <col min="7" max="15" width="14" customWidth="1"/>
  </cols>
  <sheetData>
    <row r="1" spans="1:7" ht="25.05" customHeight="1" x14ac:dyDescent="0.3">
      <c r="A1" s="16" t="s">
        <v>141</v>
      </c>
      <c r="B1" s="15"/>
      <c r="C1" s="15"/>
      <c r="D1" s="15"/>
      <c r="E1" s="15"/>
      <c r="F1" s="15"/>
      <c r="G1" s="15"/>
    </row>
    <row r="4" spans="1:7" ht="27.6" x14ac:dyDescent="0.3">
      <c r="A4" s="4" t="s">
        <v>142</v>
      </c>
      <c r="B4" s="4" t="s">
        <v>143</v>
      </c>
      <c r="C4" s="4" t="s">
        <v>144</v>
      </c>
      <c r="D4" s="4" t="s">
        <v>145</v>
      </c>
      <c r="E4" s="4" t="s">
        <v>146</v>
      </c>
      <c r="F4" s="4" t="s">
        <v>147</v>
      </c>
      <c r="G4" s="4" t="s">
        <v>148</v>
      </c>
    </row>
    <row r="5" spans="1:7" x14ac:dyDescent="0.3">
      <c r="A5" s="1" t="s">
        <v>149</v>
      </c>
      <c r="B5" s="1" t="s">
        <v>150</v>
      </c>
      <c r="C5" s="1" t="s">
        <v>50</v>
      </c>
      <c r="D5" s="9">
        <v>6</v>
      </c>
      <c r="E5" s="9">
        <v>0.6</v>
      </c>
      <c r="F5" s="9">
        <v>0.28000000000000003</v>
      </c>
      <c r="G5" s="9">
        <v>0.222</v>
      </c>
    </row>
    <row r="6" spans="1:7" x14ac:dyDescent="0.3">
      <c r="A6" s="1" t="s">
        <v>151</v>
      </c>
      <c r="B6" s="1" t="s">
        <v>152</v>
      </c>
      <c r="C6" s="1" t="s">
        <v>50</v>
      </c>
      <c r="D6" s="9">
        <v>8</v>
      </c>
      <c r="E6" s="9">
        <v>0.8</v>
      </c>
      <c r="F6" s="9">
        <v>0.5</v>
      </c>
      <c r="G6" s="9">
        <v>0.39500000000000002</v>
      </c>
    </row>
    <row r="7" spans="1:7" x14ac:dyDescent="0.3">
      <c r="A7" s="1" t="s">
        <v>128</v>
      </c>
      <c r="B7" s="1" t="s">
        <v>153</v>
      </c>
      <c r="C7" s="1" t="s">
        <v>154</v>
      </c>
      <c r="D7" s="9">
        <v>9.5250000000000004</v>
      </c>
      <c r="E7" s="9">
        <v>0.95250000000000001</v>
      </c>
      <c r="F7" s="9">
        <v>0.71</v>
      </c>
      <c r="G7" s="9">
        <v>0.56000000000000005</v>
      </c>
    </row>
    <row r="8" spans="1:7" x14ac:dyDescent="0.3">
      <c r="A8" s="1" t="s">
        <v>155</v>
      </c>
      <c r="B8" s="1" t="s">
        <v>156</v>
      </c>
      <c r="C8" s="1" t="s">
        <v>50</v>
      </c>
      <c r="D8" s="9">
        <v>12</v>
      </c>
      <c r="E8" s="9">
        <v>1.2</v>
      </c>
      <c r="F8" s="9">
        <v>1.1299999999999999</v>
      </c>
      <c r="G8" s="9">
        <v>0.88800000000000001</v>
      </c>
    </row>
    <row r="9" spans="1:7" x14ac:dyDescent="0.3">
      <c r="A9" s="1" t="s">
        <v>157</v>
      </c>
      <c r="B9" s="1" t="s">
        <v>158</v>
      </c>
      <c r="C9" s="1" t="s">
        <v>159</v>
      </c>
      <c r="D9" s="9">
        <v>12.7</v>
      </c>
      <c r="E9" s="9">
        <v>1.27</v>
      </c>
      <c r="F9" s="9">
        <v>1.29</v>
      </c>
      <c r="G9" s="9">
        <v>0.99399999999999999</v>
      </c>
    </row>
    <row r="10" spans="1:7" x14ac:dyDescent="0.3">
      <c r="A10" s="1" t="s">
        <v>122</v>
      </c>
      <c r="B10" s="1" t="s">
        <v>160</v>
      </c>
      <c r="C10" s="1" t="s">
        <v>161</v>
      </c>
      <c r="D10" s="9">
        <v>15.875</v>
      </c>
      <c r="E10" s="9">
        <v>1.5874999999999999</v>
      </c>
      <c r="F10" s="9">
        <v>1.99</v>
      </c>
      <c r="G10" s="9">
        <v>1.552</v>
      </c>
    </row>
    <row r="11" spans="1:7" x14ac:dyDescent="0.3">
      <c r="A11" s="1" t="s">
        <v>162</v>
      </c>
      <c r="B11" s="1" t="s">
        <v>163</v>
      </c>
      <c r="C11" s="1" t="s">
        <v>164</v>
      </c>
      <c r="D11" s="9">
        <v>19.05</v>
      </c>
      <c r="E11" s="9">
        <v>1.905</v>
      </c>
      <c r="F11" s="9">
        <v>2.84</v>
      </c>
      <c r="G11" s="9">
        <v>2.2349999999999999</v>
      </c>
    </row>
    <row r="12" spans="1:7" x14ac:dyDescent="0.3">
      <c r="A12" s="1" t="s">
        <v>165</v>
      </c>
      <c r="B12" s="1" t="s">
        <v>166</v>
      </c>
      <c r="C12" s="1" t="s">
        <v>167</v>
      </c>
      <c r="D12" s="9">
        <v>25.4</v>
      </c>
      <c r="E12" s="9">
        <v>2.54</v>
      </c>
      <c r="F12" s="9">
        <v>5.0999999999999996</v>
      </c>
      <c r="G12" s="9">
        <v>3.9729999999999999</v>
      </c>
    </row>
    <row r="13" spans="1:7" x14ac:dyDescent="0.3">
      <c r="A13" s="1" t="s">
        <v>168</v>
      </c>
      <c r="B13" s="1" t="s">
        <v>169</v>
      </c>
      <c r="C13" s="1" t="s">
        <v>170</v>
      </c>
      <c r="D13" s="9">
        <v>34.924999999999997</v>
      </c>
      <c r="E13" s="9">
        <v>3.4925000000000002</v>
      </c>
      <c r="F13" s="9">
        <v>10.06</v>
      </c>
      <c r="G13" s="9">
        <v>7.907</v>
      </c>
    </row>
    <row r="15" spans="1:7" ht="66" x14ac:dyDescent="0.3">
      <c r="A15" s="10" t="s">
        <v>171</v>
      </c>
      <c r="B15" s="10" t="s">
        <v>172</v>
      </c>
      <c r="C15" s="10"/>
      <c r="D15" s="10"/>
      <c r="E15" s="10"/>
      <c r="F15" s="10"/>
      <c r="G15" s="10"/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showGridLines="0" topLeftCell="A13" workbookViewId="0">
      <selection activeCell="C27" sqref="C27"/>
    </sheetView>
  </sheetViews>
  <sheetFormatPr baseColWidth="10" defaultColWidth="8.88671875" defaultRowHeight="14.4" x14ac:dyDescent="0.3"/>
  <cols>
    <col min="1" max="1" width="28" customWidth="1"/>
    <col min="2" max="2" width="14" customWidth="1"/>
    <col min="3" max="3" width="16" customWidth="1"/>
    <col min="4" max="4" width="14" customWidth="1"/>
    <col min="5" max="6" width="18" customWidth="1"/>
    <col min="7" max="7" width="28" customWidth="1"/>
    <col min="8" max="8" width="18" customWidth="1"/>
    <col min="9" max="15" width="14" customWidth="1"/>
  </cols>
  <sheetData>
    <row r="1" spans="1:8" ht="25.05" customHeight="1" x14ac:dyDescent="0.3">
      <c r="A1" s="16" t="s">
        <v>173</v>
      </c>
      <c r="B1" s="15"/>
      <c r="C1" s="15"/>
      <c r="D1" s="15"/>
      <c r="E1" s="15"/>
      <c r="F1" s="15"/>
      <c r="G1" s="15"/>
      <c r="H1" s="15"/>
    </row>
    <row r="3" spans="1:8" ht="19.95" customHeight="1" x14ac:dyDescent="0.3">
      <c r="A3" s="14" t="s">
        <v>174</v>
      </c>
      <c r="B3" s="15"/>
      <c r="C3" s="15"/>
      <c r="D3" s="15"/>
      <c r="E3" s="15"/>
      <c r="F3" s="15"/>
      <c r="G3" s="15"/>
      <c r="H3" s="15"/>
    </row>
    <row r="4" spans="1:8" ht="66" x14ac:dyDescent="0.3">
      <c r="A4" s="1" t="s">
        <v>175</v>
      </c>
      <c r="B4" s="1"/>
      <c r="C4" s="2" t="s">
        <v>176</v>
      </c>
      <c r="D4" s="1"/>
      <c r="E4" s="1" t="s">
        <v>177</v>
      </c>
      <c r="F4" s="1"/>
      <c r="G4" s="1"/>
    </row>
    <row r="6" spans="1:8" ht="27.6" x14ac:dyDescent="0.3">
      <c r="A6" s="4" t="s">
        <v>26</v>
      </c>
      <c r="B6" s="4" t="s">
        <v>27</v>
      </c>
      <c r="C6" s="4" t="s">
        <v>178</v>
      </c>
      <c r="D6" s="4" t="s">
        <v>29</v>
      </c>
      <c r="E6" s="4" t="s">
        <v>179</v>
      </c>
      <c r="F6" s="4" t="s">
        <v>29</v>
      </c>
      <c r="G6" s="4" t="s">
        <v>180</v>
      </c>
    </row>
    <row r="7" spans="1:8" x14ac:dyDescent="0.3">
      <c r="A7" s="1" t="s">
        <v>181</v>
      </c>
      <c r="B7" s="1" t="s">
        <v>182</v>
      </c>
      <c r="C7" s="5">
        <v>0.14119999999999999</v>
      </c>
      <c r="D7" s="1" t="s">
        <v>183</v>
      </c>
      <c r="E7" s="11">
        <f>C7</f>
        <v>0.14119999999999999</v>
      </c>
      <c r="F7" s="1" t="s">
        <v>183</v>
      </c>
      <c r="G7" s="1"/>
    </row>
    <row r="8" spans="1:8" x14ac:dyDescent="0.3">
      <c r="A8" s="1" t="s">
        <v>184</v>
      </c>
      <c r="B8" s="1" t="s">
        <v>185</v>
      </c>
      <c r="C8" s="5">
        <v>0.12740000000000001</v>
      </c>
      <c r="D8" s="1" t="s">
        <v>183</v>
      </c>
      <c r="E8" s="11">
        <f>C8</f>
        <v>0.12740000000000001</v>
      </c>
      <c r="F8" s="1" t="s">
        <v>183</v>
      </c>
      <c r="G8" s="1"/>
    </row>
    <row r="9" spans="1:8" x14ac:dyDescent="0.3">
      <c r="A9" s="1" t="s">
        <v>186</v>
      </c>
      <c r="B9" s="1" t="s">
        <v>187</v>
      </c>
      <c r="C9" s="5">
        <v>100.8723</v>
      </c>
      <c r="D9" s="1" t="s">
        <v>183</v>
      </c>
      <c r="E9" s="11">
        <f>IF(inp_convert_p="Si",ABS(C9),C9)</f>
        <v>100.8723</v>
      </c>
      <c r="F9" s="1" t="s">
        <v>183</v>
      </c>
      <c r="G9" s="1" t="str">
        <f>IF(C9&lt;0,"Advertencia: carga vertical negativa; revisar convencion SAP2000","")</f>
        <v/>
      </c>
    </row>
    <row r="10" spans="1:8" ht="26.4" x14ac:dyDescent="0.3">
      <c r="A10" s="1" t="s">
        <v>188</v>
      </c>
      <c r="B10" s="1" t="s">
        <v>189</v>
      </c>
      <c r="C10" s="5">
        <v>-0.54669999999999996</v>
      </c>
      <c r="D10" s="1" t="s">
        <v>190</v>
      </c>
      <c r="E10" s="11">
        <f>C10+IF(inp_traslado="Si",inp_sign_mx_fy*E8*inp_zh,0)</f>
        <v>-0.54669999999999996</v>
      </c>
      <c r="F10" s="1" t="s">
        <v>190</v>
      </c>
      <c r="G10" s="1" t="s">
        <v>191</v>
      </c>
    </row>
    <row r="11" spans="1:8" ht="26.4" x14ac:dyDescent="0.3">
      <c r="A11" s="1" t="s">
        <v>192</v>
      </c>
      <c r="B11" s="1" t="s">
        <v>193</v>
      </c>
      <c r="C11" s="5">
        <v>0.1525</v>
      </c>
      <c r="D11" s="1" t="s">
        <v>190</v>
      </c>
      <c r="E11" s="11">
        <f>C11+IF(inp_traslado="Si",inp_sign_my_fx*E7*inp_zh,0)</f>
        <v>0.1525</v>
      </c>
      <c r="F11" s="1" t="s">
        <v>190</v>
      </c>
      <c r="G11" s="1" t="s">
        <v>194</v>
      </c>
    </row>
    <row r="12" spans="1:8" x14ac:dyDescent="0.3">
      <c r="A12" s="1" t="s">
        <v>195</v>
      </c>
      <c r="B12" s="1" t="s">
        <v>196</v>
      </c>
      <c r="C12" s="5">
        <v>0</v>
      </c>
      <c r="D12" s="1" t="s">
        <v>190</v>
      </c>
      <c r="E12" s="11">
        <f>C12</f>
        <v>0</v>
      </c>
      <c r="F12" s="1" t="s">
        <v>190</v>
      </c>
      <c r="G12" s="1"/>
    </row>
    <row r="18" spans="1:8" ht="19.95" customHeight="1" x14ac:dyDescent="0.3">
      <c r="A18" s="14" t="s">
        <v>197</v>
      </c>
      <c r="B18" s="15"/>
      <c r="C18" s="15"/>
      <c r="D18" s="15"/>
      <c r="E18" s="15"/>
      <c r="F18" s="15"/>
      <c r="G18" s="15"/>
      <c r="H18" s="15"/>
    </row>
    <row r="19" spans="1:8" ht="66" x14ac:dyDescent="0.3">
      <c r="A19" s="1" t="s">
        <v>175</v>
      </c>
      <c r="B19" s="1"/>
      <c r="C19" s="2" t="s">
        <v>198</v>
      </c>
      <c r="D19" s="1"/>
      <c r="E19" s="1" t="s">
        <v>177</v>
      </c>
      <c r="F19" s="1"/>
      <c r="G19" s="1"/>
    </row>
    <row r="21" spans="1:8" ht="27.6" x14ac:dyDescent="0.3">
      <c r="A21" s="4" t="s">
        <v>26</v>
      </c>
      <c r="B21" s="4" t="s">
        <v>27</v>
      </c>
      <c r="C21" s="4" t="s">
        <v>178</v>
      </c>
      <c r="D21" s="4" t="s">
        <v>29</v>
      </c>
      <c r="E21" s="4" t="s">
        <v>179</v>
      </c>
      <c r="F21" s="4" t="s">
        <v>29</v>
      </c>
      <c r="G21" s="4" t="s">
        <v>180</v>
      </c>
    </row>
    <row r="22" spans="1:8" x14ac:dyDescent="0.3">
      <c r="A22" s="1" t="s">
        <v>181</v>
      </c>
      <c r="B22" s="1" t="s">
        <v>182</v>
      </c>
      <c r="C22" s="5">
        <v>0.21099999999999999</v>
      </c>
      <c r="D22" s="1" t="s">
        <v>183</v>
      </c>
      <c r="E22" s="11">
        <f>C22</f>
        <v>0.21099999999999999</v>
      </c>
      <c r="F22" s="1" t="s">
        <v>183</v>
      </c>
      <c r="G22" s="1"/>
    </row>
    <row r="23" spans="1:8" x14ac:dyDescent="0.3">
      <c r="A23" s="1" t="s">
        <v>184</v>
      </c>
      <c r="B23" s="1" t="s">
        <v>185</v>
      </c>
      <c r="C23" s="5">
        <v>0.19500000000000001</v>
      </c>
      <c r="D23" s="1" t="s">
        <v>183</v>
      </c>
      <c r="E23" s="11">
        <f>C23</f>
        <v>0.19500000000000001</v>
      </c>
      <c r="F23" s="1" t="s">
        <v>183</v>
      </c>
      <c r="G23" s="1"/>
    </row>
    <row r="24" spans="1:8" x14ac:dyDescent="0.3">
      <c r="A24" s="1" t="s">
        <v>186</v>
      </c>
      <c r="B24" s="1" t="s">
        <v>187</v>
      </c>
      <c r="C24" s="5">
        <v>149.13999999999999</v>
      </c>
      <c r="D24" s="1" t="s">
        <v>183</v>
      </c>
      <c r="E24" s="11">
        <f>IF(inp_convert_p="Si",ABS(C24),C24)</f>
        <v>149.13999999999999</v>
      </c>
      <c r="F24" s="1" t="s">
        <v>183</v>
      </c>
      <c r="G24" s="1" t="str">
        <f>IF(C24&lt;0,"Advertencia: carga vertical negativa; revisar convencion SAP2000","")</f>
        <v/>
      </c>
    </row>
    <row r="25" spans="1:8" ht="26.4" x14ac:dyDescent="0.3">
      <c r="A25" s="1" t="s">
        <v>188</v>
      </c>
      <c r="B25" s="1" t="s">
        <v>189</v>
      </c>
      <c r="C25" s="5">
        <v>-0.77</v>
      </c>
      <c r="D25" s="1" t="s">
        <v>190</v>
      </c>
      <c r="E25" s="11">
        <f>C25+IF(inp_traslado="Si",inp_sign_mx_fy*E23*inp_zh,0)</f>
        <v>-0.77</v>
      </c>
      <c r="F25" s="1" t="s">
        <v>190</v>
      </c>
      <c r="G25" s="1" t="s">
        <v>191</v>
      </c>
    </row>
    <row r="26" spans="1:8" ht="26.4" x14ac:dyDescent="0.3">
      <c r="A26" s="1" t="s">
        <v>192</v>
      </c>
      <c r="B26" s="1" t="s">
        <v>193</v>
      </c>
      <c r="C26" s="5">
        <v>0.22800000000000001</v>
      </c>
      <c r="D26" s="1" t="s">
        <v>190</v>
      </c>
      <c r="E26" s="11">
        <f>C26+IF(inp_traslado="Si",inp_sign_my_fx*E22*inp_zh,0)</f>
        <v>0.22800000000000001</v>
      </c>
      <c r="F26" s="1" t="s">
        <v>190</v>
      </c>
      <c r="G26" s="1" t="s">
        <v>194</v>
      </c>
    </row>
    <row r="27" spans="1:8" x14ac:dyDescent="0.3">
      <c r="A27" s="1" t="s">
        <v>195</v>
      </c>
      <c r="B27" s="1" t="s">
        <v>196</v>
      </c>
      <c r="C27" s="5">
        <v>0</v>
      </c>
      <c r="D27" s="1" t="s">
        <v>190</v>
      </c>
      <c r="E27" s="11">
        <f>C27</f>
        <v>0</v>
      </c>
      <c r="F27" s="1" t="s">
        <v>190</v>
      </c>
      <c r="G27" s="1"/>
    </row>
  </sheetData>
  <mergeCells count="3">
    <mergeCell ref="A18:H18"/>
    <mergeCell ref="A3:H3"/>
    <mergeCell ref="A1:H1"/>
  </mergeCells>
  <conditionalFormatting sqref="G12">
    <cfRule type="expression" dxfId="47" priority="1">
      <formula>ISNUMBER(SEARCH("NO CUMPLE",G12))</formula>
    </cfRule>
    <cfRule type="expression" dxfId="46" priority="2">
      <formula>ISNUMBER(SEARCH("CUMPLE",G12))</formula>
    </cfRule>
    <cfRule type="expression" dxfId="45" priority="3">
      <formula>ISNUMBER(SEARCH("ADVERTENCIA",G12))</formula>
    </cfRule>
  </conditionalFormatting>
  <conditionalFormatting sqref="G27">
    <cfRule type="expression" dxfId="44" priority="4">
      <formula>ISNUMBER(SEARCH("NO CUMPLE",G27))</formula>
    </cfRule>
    <cfRule type="expression" dxfId="43" priority="5">
      <formula>ISNUMBER(SEARCH("CUMPLE",G27))</formula>
    </cfRule>
    <cfRule type="expression" dxfId="42" priority="6">
      <formula>ISNUMBER(SEARCH("ADVERTENCIA",G27))</formula>
    </cfRule>
  </conditionalFormatting>
  <dataValidations count="1">
    <dataValidation type="list" sqref="C4 C19" xr:uid="{00000000-0002-0000-0200-000000000000}">
      <formula1>"SAP2000 - servicio,SAP2000 - ultimas,ingreso manual"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618"/>
  <sheetViews>
    <sheetView showGridLines="0" topLeftCell="A7" workbookViewId="0">
      <selection sqref="A1:K1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4" customWidth="1"/>
    <col min="4" max="4" width="34" customWidth="1"/>
    <col min="5" max="9" width="12" customWidth="1"/>
    <col min="10" max="11" width="16" customWidth="1"/>
    <col min="12" max="15" width="14" customWidth="1"/>
  </cols>
  <sheetData>
    <row r="1" spans="1:11" ht="25.05" customHeight="1" x14ac:dyDescent="0.3">
      <c r="A1" s="16" t="s">
        <v>199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3" spans="1:11" ht="19.95" customHeight="1" x14ac:dyDescent="0.3">
      <c r="A3" s="14" t="s">
        <v>200</v>
      </c>
      <c r="B3" s="15"/>
      <c r="C3" s="15"/>
      <c r="D3" s="15"/>
      <c r="E3" s="15"/>
    </row>
    <row r="4" spans="1:11" x14ac:dyDescent="0.3">
      <c r="A4" s="1" t="s">
        <v>201</v>
      </c>
      <c r="B4" s="11">
        <f>inp_bx*inp_by</f>
        <v>14.0625</v>
      </c>
      <c r="C4" s="1" t="s">
        <v>202</v>
      </c>
      <c r="D4" s="1" t="s">
        <v>203</v>
      </c>
    </row>
    <row r="5" spans="1:11" x14ac:dyDescent="0.3">
      <c r="A5" s="1" t="s">
        <v>204</v>
      </c>
      <c r="B5" s="11">
        <f>inp_bx*inp_by*inp_h</f>
        <v>7.03125</v>
      </c>
      <c r="C5" s="1" t="s">
        <v>205</v>
      </c>
      <c r="D5" s="1" t="s">
        <v>206</v>
      </c>
    </row>
    <row r="6" spans="1:11" x14ac:dyDescent="0.3">
      <c r="A6" s="1" t="s">
        <v>207</v>
      </c>
      <c r="B6" s="11">
        <f>IF(inp_peso_zapata="Si",B5*inp_gamma_c,0)</f>
        <v>16.875</v>
      </c>
      <c r="C6" s="1" t="s">
        <v>183</v>
      </c>
      <c r="D6" s="1" t="s">
        <v>208</v>
      </c>
    </row>
    <row r="7" spans="1:11" x14ac:dyDescent="0.3">
      <c r="A7" s="1" t="s">
        <v>209</v>
      </c>
      <c r="B7" s="11">
        <f>IF(inp_peso_suelo="Si",inp_bx*inp_by*inp_hs*inp_gamma_s,0)</f>
        <v>37.96875</v>
      </c>
      <c r="C7" s="1" t="s">
        <v>183</v>
      </c>
      <c r="D7" s="1" t="s">
        <v>208</v>
      </c>
    </row>
    <row r="8" spans="1:11" x14ac:dyDescent="0.3">
      <c r="A8" s="1" t="s">
        <v>210</v>
      </c>
      <c r="B8" s="11">
        <f>B6+B7</f>
        <v>54.84375</v>
      </c>
      <c r="C8" s="1" t="s">
        <v>183</v>
      </c>
      <c r="D8" s="1" t="s">
        <v>211</v>
      </c>
    </row>
    <row r="9" spans="1:11" x14ac:dyDescent="0.3">
      <c r="A9" s="1" t="s">
        <v>212</v>
      </c>
      <c r="B9" s="11">
        <f>inp_bx*inp_by^3/12</f>
        <v>16.4794921875</v>
      </c>
      <c r="C9" s="1" t="s">
        <v>213</v>
      </c>
      <c r="D9" s="1" t="s">
        <v>214</v>
      </c>
    </row>
    <row r="10" spans="1:11" x14ac:dyDescent="0.3">
      <c r="A10" s="1" t="s">
        <v>215</v>
      </c>
      <c r="B10" s="11">
        <f>inp_by*inp_bx^3/12</f>
        <v>16.4794921875</v>
      </c>
      <c r="C10" s="1" t="s">
        <v>213</v>
      </c>
      <c r="D10" s="1" t="s">
        <v>216</v>
      </c>
    </row>
    <row r="11" spans="1:11" x14ac:dyDescent="0.3">
      <c r="A11" s="1" t="s">
        <v>217</v>
      </c>
      <c r="B11" s="11">
        <f>MIN(3*inp_h*100,inp_sep_max_usuario)</f>
        <v>40</v>
      </c>
      <c r="C11" s="1" t="s">
        <v>54</v>
      </c>
      <c r="D11" s="1" t="s">
        <v>218</v>
      </c>
    </row>
    <row r="12" spans="1:11" x14ac:dyDescent="0.3">
      <c r="A12" s="1" t="s">
        <v>219</v>
      </c>
      <c r="B12" s="11" t="str">
        <f>IF(AND(ABS(inp_xc)+inp_cx/2&lt;=inp_bx/2,ABS(inp_yc)+inp_cy/2&lt;=inp_by/2),"CUMPLE","NO CUMPLE")</f>
        <v>CUMPLE</v>
      </c>
      <c r="C12" s="1" t="s">
        <v>50</v>
      </c>
      <c r="D12" s="1" t="s">
        <v>220</v>
      </c>
    </row>
    <row r="13" spans="1:11" x14ac:dyDescent="0.3">
      <c r="A13" s="1" t="s">
        <v>221</v>
      </c>
      <c r="B13" s="11">
        <f>MIN(inp_bx/2-(ABS(inp_xc)+inp_cx/2),inp_by/2-(ABS(inp_yc)+inp_cy/2))</f>
        <v>1.675</v>
      </c>
      <c r="C13" s="1" t="s">
        <v>73</v>
      </c>
      <c r="D13" s="1" t="s">
        <v>222</v>
      </c>
    </row>
    <row r="16" spans="1:11" ht="19.95" customHeight="1" x14ac:dyDescent="0.3">
      <c r="A16" s="14" t="s">
        <v>223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1" ht="26.4" x14ac:dyDescent="0.3">
      <c r="A17" s="3" t="s">
        <v>224</v>
      </c>
      <c r="B17" s="3" t="s">
        <v>225</v>
      </c>
      <c r="C17" s="3" t="s">
        <v>226</v>
      </c>
      <c r="D17" s="3" t="s">
        <v>227</v>
      </c>
      <c r="E17" s="3" t="s">
        <v>228</v>
      </c>
      <c r="F17" s="3" t="s">
        <v>229</v>
      </c>
      <c r="G17" s="3" t="s">
        <v>230</v>
      </c>
      <c r="H17" s="3" t="s">
        <v>231</v>
      </c>
      <c r="I17" s="3" t="s">
        <v>232</v>
      </c>
      <c r="J17" s="3" t="s">
        <v>233</v>
      </c>
      <c r="K17" s="3" t="s">
        <v>171</v>
      </c>
    </row>
    <row r="18" spans="1:11" x14ac:dyDescent="0.3">
      <c r="A18" s="1">
        <v>0</v>
      </c>
      <c r="B18" s="1">
        <v>0</v>
      </c>
      <c r="C18" s="12">
        <f t="shared" ref="C18:C81" si="0">IF(OR(A18&gt;inp_n_div_x,B18&gt;inp_n_div_y),"",-inp_bx/2+A18*inp_bx/inp_n_div_x)</f>
        <v>-1.875</v>
      </c>
      <c r="D18" s="12">
        <f t="shared" ref="D18:D81" si="1">IF(C18="","",-inp_by/2+B18*inp_by/inp_n_div_y)</f>
        <v>-1.875</v>
      </c>
      <c r="E18" s="12">
        <f t="shared" ref="E18:E81" si="2">IF(C18="","",res_srv_p_tot/geo_area+res_srv_mx_tot/geo_ix*D18+res_srv_my_tot/geo_iy*C18)</f>
        <v>11.117992533333332</v>
      </c>
      <c r="F18" s="12">
        <f t="shared" ref="F18:F81" si="3">IF(E18="","",MAX(0,E18))</f>
        <v>11.117992533333332</v>
      </c>
      <c r="G18" s="12">
        <f t="shared" ref="G18:G81" si="4">IF(C18="","",res_u_p_tot/geo_area+res_u_mx_tot/geo_ix*D18+res_u_my_tot/geo_iy*C18)</f>
        <v>14.567178666666665</v>
      </c>
      <c r="H18" s="12">
        <f t="shared" ref="H18:H81" si="5">IF(G18="","",MAX(0,G18))</f>
        <v>14.567178666666665</v>
      </c>
      <c r="I18" s="1" t="str">
        <f t="shared" ref="I18:I81" si="6">IF(C18="","",IF(AND(C18&gt;=inp_xc-inp_cx/2,C18&lt;=inp_xc+inp_cx/2,D18&gt;=inp_yc-inp_cy/2,D18&lt;=inp_yc+inp_cy/2),"Si","No"))</f>
        <v>No</v>
      </c>
      <c r="J18" s="1" t="str">
        <f t="shared" ref="J18:J81" si="7">IF(C18="","","Si")</f>
        <v>Si</v>
      </c>
      <c r="K18" s="1" t="str">
        <f t="shared" ref="K18:K81" si="8">IF(OR(E18&lt;0,G18&lt;0),"Presion negativa","")</f>
        <v/>
      </c>
    </row>
    <row r="19" spans="1:11" x14ac:dyDescent="0.3">
      <c r="A19" s="1">
        <v>0</v>
      </c>
      <c r="B19" s="1">
        <v>1</v>
      </c>
      <c r="C19" s="12">
        <f t="shared" si="0"/>
        <v>-1.875</v>
      </c>
      <c r="D19" s="12">
        <f t="shared" si="1"/>
        <v>-1.8</v>
      </c>
      <c r="E19" s="12">
        <f t="shared" si="2"/>
        <v>11.115504440888888</v>
      </c>
      <c r="F19" s="12">
        <f t="shared" si="3"/>
        <v>11.115504440888888</v>
      </c>
      <c r="G19" s="12">
        <f t="shared" si="4"/>
        <v>14.563674311111109</v>
      </c>
      <c r="H19" s="12">
        <f t="shared" si="5"/>
        <v>14.563674311111109</v>
      </c>
      <c r="I19" s="1" t="str">
        <f t="shared" si="6"/>
        <v>No</v>
      </c>
      <c r="J19" s="1" t="str">
        <f t="shared" si="7"/>
        <v>Si</v>
      </c>
      <c r="K19" s="1" t="str">
        <f t="shared" si="8"/>
        <v/>
      </c>
    </row>
    <row r="20" spans="1:11" x14ac:dyDescent="0.3">
      <c r="A20" s="1">
        <v>0</v>
      </c>
      <c r="B20" s="1">
        <v>2</v>
      </c>
      <c r="C20" s="12">
        <f t="shared" si="0"/>
        <v>-1.875</v>
      </c>
      <c r="D20" s="12">
        <f t="shared" si="1"/>
        <v>-1.7250000000000001</v>
      </c>
      <c r="E20" s="12">
        <f t="shared" si="2"/>
        <v>11.113016348444443</v>
      </c>
      <c r="F20" s="12">
        <f t="shared" si="3"/>
        <v>11.113016348444443</v>
      </c>
      <c r="G20" s="12">
        <f t="shared" si="4"/>
        <v>14.560169955555553</v>
      </c>
      <c r="H20" s="12">
        <f t="shared" si="5"/>
        <v>14.560169955555553</v>
      </c>
      <c r="I20" s="1" t="str">
        <f t="shared" si="6"/>
        <v>No</v>
      </c>
      <c r="J20" s="1" t="str">
        <f t="shared" si="7"/>
        <v>Si</v>
      </c>
      <c r="K20" s="1" t="str">
        <f t="shared" si="8"/>
        <v/>
      </c>
    </row>
    <row r="21" spans="1:11" x14ac:dyDescent="0.3">
      <c r="A21" s="1">
        <v>0</v>
      </c>
      <c r="B21" s="1">
        <v>3</v>
      </c>
      <c r="C21" s="12">
        <f t="shared" si="0"/>
        <v>-1.875</v>
      </c>
      <c r="D21" s="12">
        <f t="shared" si="1"/>
        <v>-1.65</v>
      </c>
      <c r="E21" s="12">
        <f t="shared" si="2"/>
        <v>11.110528255999998</v>
      </c>
      <c r="F21" s="12">
        <f t="shared" si="3"/>
        <v>11.110528255999998</v>
      </c>
      <c r="G21" s="12">
        <f t="shared" si="4"/>
        <v>14.556665599999999</v>
      </c>
      <c r="H21" s="12">
        <f t="shared" si="5"/>
        <v>14.556665599999999</v>
      </c>
      <c r="I21" s="1" t="str">
        <f t="shared" si="6"/>
        <v>No</v>
      </c>
      <c r="J21" s="1" t="str">
        <f t="shared" si="7"/>
        <v>Si</v>
      </c>
      <c r="K21" s="1" t="str">
        <f t="shared" si="8"/>
        <v/>
      </c>
    </row>
    <row r="22" spans="1:11" x14ac:dyDescent="0.3">
      <c r="A22" s="1">
        <v>0</v>
      </c>
      <c r="B22" s="1">
        <v>4</v>
      </c>
      <c r="C22" s="12">
        <f t="shared" si="0"/>
        <v>-1.875</v>
      </c>
      <c r="D22" s="12">
        <f t="shared" si="1"/>
        <v>-1.575</v>
      </c>
      <c r="E22" s="12">
        <f t="shared" si="2"/>
        <v>11.108040163555554</v>
      </c>
      <c r="F22" s="12">
        <f t="shared" si="3"/>
        <v>11.108040163555554</v>
      </c>
      <c r="G22" s="12">
        <f t="shared" si="4"/>
        <v>14.553161244444443</v>
      </c>
      <c r="H22" s="12">
        <f t="shared" si="5"/>
        <v>14.553161244444443</v>
      </c>
      <c r="I22" s="1" t="str">
        <f t="shared" si="6"/>
        <v>No</v>
      </c>
      <c r="J22" s="1" t="str">
        <f t="shared" si="7"/>
        <v>Si</v>
      </c>
      <c r="K22" s="1" t="str">
        <f t="shared" si="8"/>
        <v/>
      </c>
    </row>
    <row r="23" spans="1:11" x14ac:dyDescent="0.3">
      <c r="A23" s="1">
        <v>0</v>
      </c>
      <c r="B23" s="1">
        <v>5</v>
      </c>
      <c r="C23" s="12">
        <f t="shared" si="0"/>
        <v>-1.875</v>
      </c>
      <c r="D23" s="12">
        <f t="shared" si="1"/>
        <v>-1.5</v>
      </c>
      <c r="E23" s="12">
        <f t="shared" si="2"/>
        <v>11.105552071111109</v>
      </c>
      <c r="F23" s="12">
        <f t="shared" si="3"/>
        <v>11.105552071111109</v>
      </c>
      <c r="G23" s="12">
        <f t="shared" si="4"/>
        <v>14.549656888888887</v>
      </c>
      <c r="H23" s="12">
        <f t="shared" si="5"/>
        <v>14.549656888888887</v>
      </c>
      <c r="I23" s="1" t="str">
        <f t="shared" si="6"/>
        <v>No</v>
      </c>
      <c r="J23" s="1" t="str">
        <f t="shared" si="7"/>
        <v>Si</v>
      </c>
      <c r="K23" s="1" t="str">
        <f t="shared" si="8"/>
        <v/>
      </c>
    </row>
    <row r="24" spans="1:11" x14ac:dyDescent="0.3">
      <c r="A24" s="1">
        <v>0</v>
      </c>
      <c r="B24" s="1">
        <v>6</v>
      </c>
      <c r="C24" s="12">
        <f t="shared" si="0"/>
        <v>-1.875</v>
      </c>
      <c r="D24" s="12">
        <f t="shared" si="1"/>
        <v>-1.425</v>
      </c>
      <c r="E24" s="12">
        <f t="shared" si="2"/>
        <v>11.103063978666665</v>
      </c>
      <c r="F24" s="12">
        <f t="shared" si="3"/>
        <v>11.103063978666665</v>
      </c>
      <c r="G24" s="12">
        <f t="shared" si="4"/>
        <v>14.546152533333332</v>
      </c>
      <c r="H24" s="12">
        <f t="shared" si="5"/>
        <v>14.546152533333332</v>
      </c>
      <c r="I24" s="1" t="str">
        <f t="shared" si="6"/>
        <v>No</v>
      </c>
      <c r="J24" s="1" t="str">
        <f t="shared" si="7"/>
        <v>Si</v>
      </c>
      <c r="K24" s="1" t="str">
        <f t="shared" si="8"/>
        <v/>
      </c>
    </row>
    <row r="25" spans="1:11" x14ac:dyDescent="0.3">
      <c r="A25" s="1">
        <v>0</v>
      </c>
      <c r="B25" s="1">
        <v>7</v>
      </c>
      <c r="C25" s="12">
        <f t="shared" si="0"/>
        <v>-1.875</v>
      </c>
      <c r="D25" s="12">
        <f t="shared" si="1"/>
        <v>-1.35</v>
      </c>
      <c r="E25" s="12">
        <f t="shared" si="2"/>
        <v>11.100575886222222</v>
      </c>
      <c r="F25" s="12">
        <f t="shared" si="3"/>
        <v>11.100575886222222</v>
      </c>
      <c r="G25" s="12">
        <f t="shared" si="4"/>
        <v>14.542648177777776</v>
      </c>
      <c r="H25" s="12">
        <f t="shared" si="5"/>
        <v>14.542648177777776</v>
      </c>
      <c r="I25" s="1" t="str">
        <f t="shared" si="6"/>
        <v>No</v>
      </c>
      <c r="J25" s="1" t="str">
        <f t="shared" si="7"/>
        <v>Si</v>
      </c>
      <c r="K25" s="1" t="str">
        <f t="shared" si="8"/>
        <v/>
      </c>
    </row>
    <row r="26" spans="1:11" x14ac:dyDescent="0.3">
      <c r="A26" s="1">
        <v>0</v>
      </c>
      <c r="B26" s="1">
        <v>8</v>
      </c>
      <c r="C26" s="12">
        <f t="shared" si="0"/>
        <v>-1.875</v>
      </c>
      <c r="D26" s="12">
        <f t="shared" si="1"/>
        <v>-1.2749999999999999</v>
      </c>
      <c r="E26" s="12">
        <f t="shared" si="2"/>
        <v>11.098087793777777</v>
      </c>
      <c r="F26" s="12">
        <f t="shared" si="3"/>
        <v>11.098087793777777</v>
      </c>
      <c r="G26" s="12">
        <f t="shared" si="4"/>
        <v>14.53914382222222</v>
      </c>
      <c r="H26" s="12">
        <f t="shared" si="5"/>
        <v>14.53914382222222</v>
      </c>
      <c r="I26" s="1" t="str">
        <f t="shared" si="6"/>
        <v>No</v>
      </c>
      <c r="J26" s="1" t="str">
        <f t="shared" si="7"/>
        <v>Si</v>
      </c>
      <c r="K26" s="1" t="str">
        <f t="shared" si="8"/>
        <v/>
      </c>
    </row>
    <row r="27" spans="1:11" x14ac:dyDescent="0.3">
      <c r="A27" s="1">
        <v>0</v>
      </c>
      <c r="B27" s="1">
        <v>9</v>
      </c>
      <c r="C27" s="12">
        <f t="shared" si="0"/>
        <v>-1.875</v>
      </c>
      <c r="D27" s="12">
        <f t="shared" si="1"/>
        <v>-1.2</v>
      </c>
      <c r="E27" s="12">
        <f t="shared" si="2"/>
        <v>11.095599701333333</v>
      </c>
      <c r="F27" s="12">
        <f t="shared" si="3"/>
        <v>11.095599701333333</v>
      </c>
      <c r="G27" s="12">
        <f t="shared" si="4"/>
        <v>14.535639466666664</v>
      </c>
      <c r="H27" s="12">
        <f t="shared" si="5"/>
        <v>14.535639466666664</v>
      </c>
      <c r="I27" s="1" t="str">
        <f t="shared" si="6"/>
        <v>No</v>
      </c>
      <c r="J27" s="1" t="str">
        <f t="shared" si="7"/>
        <v>Si</v>
      </c>
      <c r="K27" s="1" t="str">
        <f t="shared" si="8"/>
        <v/>
      </c>
    </row>
    <row r="28" spans="1:11" x14ac:dyDescent="0.3">
      <c r="A28" s="1">
        <v>0</v>
      </c>
      <c r="B28" s="1">
        <v>10</v>
      </c>
      <c r="C28" s="12">
        <f t="shared" si="0"/>
        <v>-1.875</v>
      </c>
      <c r="D28" s="12">
        <f t="shared" si="1"/>
        <v>-1.125</v>
      </c>
      <c r="E28" s="12">
        <f t="shared" si="2"/>
        <v>11.093111608888888</v>
      </c>
      <c r="F28" s="12">
        <f t="shared" si="3"/>
        <v>11.093111608888888</v>
      </c>
      <c r="G28" s="12">
        <f t="shared" si="4"/>
        <v>14.53213511111111</v>
      </c>
      <c r="H28" s="12">
        <f t="shared" si="5"/>
        <v>14.53213511111111</v>
      </c>
      <c r="I28" s="1" t="str">
        <f t="shared" si="6"/>
        <v>No</v>
      </c>
      <c r="J28" s="1" t="str">
        <f t="shared" si="7"/>
        <v>Si</v>
      </c>
      <c r="K28" s="1" t="str">
        <f t="shared" si="8"/>
        <v/>
      </c>
    </row>
    <row r="29" spans="1:11" x14ac:dyDescent="0.3">
      <c r="A29" s="1">
        <v>0</v>
      </c>
      <c r="B29" s="1">
        <v>11</v>
      </c>
      <c r="C29" s="12">
        <f t="shared" si="0"/>
        <v>-1.875</v>
      </c>
      <c r="D29" s="12">
        <f t="shared" si="1"/>
        <v>-1.05</v>
      </c>
      <c r="E29" s="12">
        <f t="shared" si="2"/>
        <v>11.090623516444444</v>
      </c>
      <c r="F29" s="12">
        <f t="shared" si="3"/>
        <v>11.090623516444444</v>
      </c>
      <c r="G29" s="12">
        <f t="shared" si="4"/>
        <v>14.528630755555554</v>
      </c>
      <c r="H29" s="12">
        <f t="shared" si="5"/>
        <v>14.528630755555554</v>
      </c>
      <c r="I29" s="1" t="str">
        <f t="shared" si="6"/>
        <v>No</v>
      </c>
      <c r="J29" s="1" t="str">
        <f t="shared" si="7"/>
        <v>Si</v>
      </c>
      <c r="K29" s="1" t="str">
        <f t="shared" si="8"/>
        <v/>
      </c>
    </row>
    <row r="30" spans="1:11" x14ac:dyDescent="0.3">
      <c r="A30" s="1">
        <v>0</v>
      </c>
      <c r="B30" s="1">
        <v>12</v>
      </c>
      <c r="C30" s="12">
        <f t="shared" si="0"/>
        <v>-1.875</v>
      </c>
      <c r="D30" s="12">
        <f t="shared" si="1"/>
        <v>-0.97499999999999998</v>
      </c>
      <c r="E30" s="12">
        <f t="shared" si="2"/>
        <v>11.088135423999999</v>
      </c>
      <c r="F30" s="12">
        <f t="shared" si="3"/>
        <v>11.088135423999999</v>
      </c>
      <c r="G30" s="12">
        <f t="shared" si="4"/>
        <v>14.525126399999998</v>
      </c>
      <c r="H30" s="12">
        <f t="shared" si="5"/>
        <v>14.525126399999998</v>
      </c>
      <c r="I30" s="1" t="str">
        <f t="shared" si="6"/>
        <v>No</v>
      </c>
      <c r="J30" s="1" t="str">
        <f t="shared" si="7"/>
        <v>Si</v>
      </c>
      <c r="K30" s="1" t="str">
        <f t="shared" si="8"/>
        <v/>
      </c>
    </row>
    <row r="31" spans="1:11" x14ac:dyDescent="0.3">
      <c r="A31" s="1">
        <v>0</v>
      </c>
      <c r="B31" s="1">
        <v>13</v>
      </c>
      <c r="C31" s="12">
        <f t="shared" si="0"/>
        <v>-1.875</v>
      </c>
      <c r="D31" s="12">
        <f t="shared" si="1"/>
        <v>-0.9</v>
      </c>
      <c r="E31" s="12">
        <f t="shared" si="2"/>
        <v>11.085647331555554</v>
      </c>
      <c r="F31" s="12">
        <f t="shared" si="3"/>
        <v>11.085647331555554</v>
      </c>
      <c r="G31" s="12">
        <f t="shared" si="4"/>
        <v>14.521622044444443</v>
      </c>
      <c r="H31" s="12">
        <f t="shared" si="5"/>
        <v>14.521622044444443</v>
      </c>
      <c r="I31" s="1" t="str">
        <f t="shared" si="6"/>
        <v>No</v>
      </c>
      <c r="J31" s="1" t="str">
        <f t="shared" si="7"/>
        <v>Si</v>
      </c>
      <c r="K31" s="1" t="str">
        <f t="shared" si="8"/>
        <v/>
      </c>
    </row>
    <row r="32" spans="1:11" x14ac:dyDescent="0.3">
      <c r="A32" s="1">
        <v>0</v>
      </c>
      <c r="B32" s="1">
        <v>14</v>
      </c>
      <c r="C32" s="12">
        <f t="shared" si="0"/>
        <v>-1.875</v>
      </c>
      <c r="D32" s="12">
        <f t="shared" si="1"/>
        <v>-0.82499999999999996</v>
      </c>
      <c r="E32" s="12">
        <f t="shared" si="2"/>
        <v>11.08315923911111</v>
      </c>
      <c r="F32" s="12">
        <f t="shared" si="3"/>
        <v>11.08315923911111</v>
      </c>
      <c r="G32" s="12">
        <f t="shared" si="4"/>
        <v>14.518117688888887</v>
      </c>
      <c r="H32" s="12">
        <f t="shared" si="5"/>
        <v>14.518117688888887</v>
      </c>
      <c r="I32" s="1" t="str">
        <f t="shared" si="6"/>
        <v>No</v>
      </c>
      <c r="J32" s="1" t="str">
        <f t="shared" si="7"/>
        <v>Si</v>
      </c>
      <c r="K32" s="1" t="str">
        <f t="shared" si="8"/>
        <v/>
      </c>
    </row>
    <row r="33" spans="1:11" x14ac:dyDescent="0.3">
      <c r="A33" s="1">
        <v>0</v>
      </c>
      <c r="B33" s="1">
        <v>15</v>
      </c>
      <c r="C33" s="12">
        <f t="shared" si="0"/>
        <v>-1.875</v>
      </c>
      <c r="D33" s="12">
        <f t="shared" si="1"/>
        <v>-0.75</v>
      </c>
      <c r="E33" s="12">
        <f t="shared" si="2"/>
        <v>11.080671146666665</v>
      </c>
      <c r="F33" s="12">
        <f t="shared" si="3"/>
        <v>11.080671146666665</v>
      </c>
      <c r="G33" s="12">
        <f t="shared" si="4"/>
        <v>14.514613333333331</v>
      </c>
      <c r="H33" s="12">
        <f t="shared" si="5"/>
        <v>14.514613333333331</v>
      </c>
      <c r="I33" s="1" t="str">
        <f t="shared" si="6"/>
        <v>No</v>
      </c>
      <c r="J33" s="1" t="str">
        <f t="shared" si="7"/>
        <v>Si</v>
      </c>
      <c r="K33" s="1" t="str">
        <f t="shared" si="8"/>
        <v/>
      </c>
    </row>
    <row r="34" spans="1:11" x14ac:dyDescent="0.3">
      <c r="A34" s="1">
        <v>0</v>
      </c>
      <c r="B34" s="1">
        <v>16</v>
      </c>
      <c r="C34" s="12">
        <f t="shared" si="0"/>
        <v>-1.875</v>
      </c>
      <c r="D34" s="12">
        <f t="shared" si="1"/>
        <v>-0.67500000000000004</v>
      </c>
      <c r="E34" s="12">
        <f t="shared" si="2"/>
        <v>11.078183054222221</v>
      </c>
      <c r="F34" s="12">
        <f t="shared" si="3"/>
        <v>11.078183054222221</v>
      </c>
      <c r="G34" s="12">
        <f t="shared" si="4"/>
        <v>14.511108977777775</v>
      </c>
      <c r="H34" s="12">
        <f t="shared" si="5"/>
        <v>14.511108977777775</v>
      </c>
      <c r="I34" s="1" t="str">
        <f t="shared" si="6"/>
        <v>No</v>
      </c>
      <c r="J34" s="1" t="str">
        <f t="shared" si="7"/>
        <v>Si</v>
      </c>
      <c r="K34" s="1" t="str">
        <f t="shared" si="8"/>
        <v/>
      </c>
    </row>
    <row r="35" spans="1:11" x14ac:dyDescent="0.3">
      <c r="A35" s="1">
        <v>0</v>
      </c>
      <c r="B35" s="1">
        <v>17</v>
      </c>
      <c r="C35" s="12">
        <f t="shared" si="0"/>
        <v>-1.875</v>
      </c>
      <c r="D35" s="12">
        <f t="shared" si="1"/>
        <v>-0.60000000000000009</v>
      </c>
      <c r="E35" s="12">
        <f t="shared" si="2"/>
        <v>11.075694961777776</v>
      </c>
      <c r="F35" s="12">
        <f t="shared" si="3"/>
        <v>11.075694961777776</v>
      </c>
      <c r="G35" s="12">
        <f t="shared" si="4"/>
        <v>14.507604622222221</v>
      </c>
      <c r="H35" s="12">
        <f t="shared" si="5"/>
        <v>14.507604622222221</v>
      </c>
      <c r="I35" s="1" t="str">
        <f t="shared" si="6"/>
        <v>No</v>
      </c>
      <c r="J35" s="1" t="str">
        <f t="shared" si="7"/>
        <v>Si</v>
      </c>
      <c r="K35" s="1" t="str">
        <f t="shared" si="8"/>
        <v/>
      </c>
    </row>
    <row r="36" spans="1:11" x14ac:dyDescent="0.3">
      <c r="A36" s="1">
        <v>0</v>
      </c>
      <c r="B36" s="1">
        <v>18</v>
      </c>
      <c r="C36" s="12">
        <f t="shared" si="0"/>
        <v>-1.875</v>
      </c>
      <c r="D36" s="12">
        <f t="shared" si="1"/>
        <v>-0.52499999999999991</v>
      </c>
      <c r="E36" s="12">
        <f t="shared" si="2"/>
        <v>11.073206869333331</v>
      </c>
      <c r="F36" s="12">
        <f t="shared" si="3"/>
        <v>11.073206869333331</v>
      </c>
      <c r="G36" s="12">
        <f t="shared" si="4"/>
        <v>14.504100266666665</v>
      </c>
      <c r="H36" s="12">
        <f t="shared" si="5"/>
        <v>14.504100266666665</v>
      </c>
      <c r="I36" s="1" t="str">
        <f t="shared" si="6"/>
        <v>No</v>
      </c>
      <c r="J36" s="1" t="str">
        <f t="shared" si="7"/>
        <v>Si</v>
      </c>
      <c r="K36" s="1" t="str">
        <f t="shared" si="8"/>
        <v/>
      </c>
    </row>
    <row r="37" spans="1:11" x14ac:dyDescent="0.3">
      <c r="A37" s="1">
        <v>0</v>
      </c>
      <c r="B37" s="1">
        <v>19</v>
      </c>
      <c r="C37" s="12">
        <f t="shared" si="0"/>
        <v>-1.875</v>
      </c>
      <c r="D37" s="12">
        <f t="shared" si="1"/>
        <v>-0.44999999999999996</v>
      </c>
      <c r="E37" s="12">
        <f t="shared" si="2"/>
        <v>11.070718776888889</v>
      </c>
      <c r="F37" s="12">
        <f t="shared" si="3"/>
        <v>11.070718776888889</v>
      </c>
      <c r="G37" s="12">
        <f t="shared" si="4"/>
        <v>14.500595911111109</v>
      </c>
      <c r="H37" s="12">
        <f t="shared" si="5"/>
        <v>14.500595911111109</v>
      </c>
      <c r="I37" s="1" t="str">
        <f t="shared" si="6"/>
        <v>No</v>
      </c>
      <c r="J37" s="1" t="str">
        <f t="shared" si="7"/>
        <v>Si</v>
      </c>
      <c r="K37" s="1" t="str">
        <f t="shared" si="8"/>
        <v/>
      </c>
    </row>
    <row r="38" spans="1:11" x14ac:dyDescent="0.3">
      <c r="A38" s="1">
        <v>0</v>
      </c>
      <c r="B38" s="1">
        <v>20</v>
      </c>
      <c r="C38" s="12">
        <f t="shared" si="0"/>
        <v>-1.875</v>
      </c>
      <c r="D38" s="12">
        <f t="shared" si="1"/>
        <v>-0.375</v>
      </c>
      <c r="E38" s="12">
        <f t="shared" si="2"/>
        <v>11.068230684444444</v>
      </c>
      <c r="F38" s="12">
        <f t="shared" si="3"/>
        <v>11.068230684444444</v>
      </c>
      <c r="G38" s="12">
        <f t="shared" si="4"/>
        <v>14.497091555555555</v>
      </c>
      <c r="H38" s="12">
        <f t="shared" si="5"/>
        <v>14.497091555555555</v>
      </c>
      <c r="I38" s="1" t="str">
        <f t="shared" si="6"/>
        <v>No</v>
      </c>
      <c r="J38" s="1" t="str">
        <f t="shared" si="7"/>
        <v>Si</v>
      </c>
      <c r="K38" s="1" t="str">
        <f t="shared" si="8"/>
        <v/>
      </c>
    </row>
    <row r="39" spans="1:11" x14ac:dyDescent="0.3">
      <c r="A39" s="1">
        <v>0</v>
      </c>
      <c r="B39" s="1">
        <v>21</v>
      </c>
      <c r="C39" s="12">
        <f t="shared" si="0"/>
        <v>-1.875</v>
      </c>
      <c r="D39" s="12">
        <f t="shared" si="1"/>
        <v>-0.30000000000000004</v>
      </c>
      <c r="E39" s="12">
        <f t="shared" si="2"/>
        <v>11.065742591999999</v>
      </c>
      <c r="F39" s="12">
        <f t="shared" si="3"/>
        <v>11.065742591999999</v>
      </c>
      <c r="G39" s="12">
        <f t="shared" si="4"/>
        <v>14.493587199999999</v>
      </c>
      <c r="H39" s="12">
        <f t="shared" si="5"/>
        <v>14.493587199999999</v>
      </c>
      <c r="I39" s="1" t="str">
        <f t="shared" si="6"/>
        <v>No</v>
      </c>
      <c r="J39" s="1" t="str">
        <f t="shared" si="7"/>
        <v>Si</v>
      </c>
      <c r="K39" s="1" t="str">
        <f t="shared" si="8"/>
        <v/>
      </c>
    </row>
    <row r="40" spans="1:11" x14ac:dyDescent="0.3">
      <c r="A40" s="1">
        <v>0</v>
      </c>
      <c r="B40" s="1">
        <v>22</v>
      </c>
      <c r="C40" s="12">
        <f t="shared" si="0"/>
        <v>-1.875</v>
      </c>
      <c r="D40" s="12">
        <f t="shared" si="1"/>
        <v>-0.22500000000000009</v>
      </c>
      <c r="E40" s="12">
        <f t="shared" si="2"/>
        <v>11.063254499555555</v>
      </c>
      <c r="F40" s="12">
        <f t="shared" si="3"/>
        <v>11.063254499555555</v>
      </c>
      <c r="G40" s="12">
        <f t="shared" si="4"/>
        <v>14.490082844444443</v>
      </c>
      <c r="H40" s="12">
        <f t="shared" si="5"/>
        <v>14.490082844444443</v>
      </c>
      <c r="I40" s="1" t="str">
        <f t="shared" si="6"/>
        <v>No</v>
      </c>
      <c r="J40" s="1" t="str">
        <f t="shared" si="7"/>
        <v>Si</v>
      </c>
      <c r="K40" s="1" t="str">
        <f t="shared" si="8"/>
        <v/>
      </c>
    </row>
    <row r="41" spans="1:11" x14ac:dyDescent="0.3">
      <c r="A41" s="1">
        <v>0</v>
      </c>
      <c r="B41" s="1">
        <v>23</v>
      </c>
      <c r="C41" s="12">
        <f t="shared" si="0"/>
        <v>-1.875</v>
      </c>
      <c r="D41" s="12">
        <f t="shared" si="1"/>
        <v>-0.14999999999999991</v>
      </c>
      <c r="E41" s="12">
        <f t="shared" si="2"/>
        <v>11.06076640711111</v>
      </c>
      <c r="F41" s="12">
        <f t="shared" si="3"/>
        <v>11.06076640711111</v>
      </c>
      <c r="G41" s="12">
        <f t="shared" si="4"/>
        <v>14.486578488888886</v>
      </c>
      <c r="H41" s="12">
        <f t="shared" si="5"/>
        <v>14.486578488888886</v>
      </c>
      <c r="I41" s="1" t="str">
        <f t="shared" si="6"/>
        <v>No</v>
      </c>
      <c r="J41" s="1" t="str">
        <f t="shared" si="7"/>
        <v>Si</v>
      </c>
      <c r="K41" s="1" t="str">
        <f t="shared" si="8"/>
        <v/>
      </c>
    </row>
    <row r="42" spans="1:11" x14ac:dyDescent="0.3">
      <c r="A42" s="1">
        <v>0</v>
      </c>
      <c r="B42" s="1">
        <v>24</v>
      </c>
      <c r="C42" s="12">
        <f t="shared" si="0"/>
        <v>-1.875</v>
      </c>
      <c r="D42" s="12">
        <f t="shared" si="1"/>
        <v>-7.4999999999999956E-2</v>
      </c>
      <c r="E42" s="12">
        <f t="shared" si="2"/>
        <v>11.058278314666666</v>
      </c>
      <c r="F42" s="12">
        <f t="shared" si="3"/>
        <v>11.058278314666666</v>
      </c>
      <c r="G42" s="12">
        <f t="shared" si="4"/>
        <v>14.483074133333332</v>
      </c>
      <c r="H42" s="12">
        <f t="shared" si="5"/>
        <v>14.483074133333332</v>
      </c>
      <c r="I42" s="1" t="str">
        <f t="shared" si="6"/>
        <v>No</v>
      </c>
      <c r="J42" s="1" t="str">
        <f t="shared" si="7"/>
        <v>Si</v>
      </c>
      <c r="K42" s="1" t="str">
        <f t="shared" si="8"/>
        <v/>
      </c>
    </row>
    <row r="43" spans="1:11" x14ac:dyDescent="0.3">
      <c r="A43" s="1">
        <v>0</v>
      </c>
      <c r="B43" s="1">
        <v>25</v>
      </c>
      <c r="C43" s="12">
        <f t="shared" si="0"/>
        <v>-1.875</v>
      </c>
      <c r="D43" s="12">
        <f t="shared" si="1"/>
        <v>0</v>
      </c>
      <c r="E43" s="12">
        <f t="shared" si="2"/>
        <v>11.055790222222221</v>
      </c>
      <c r="F43" s="12">
        <f t="shared" si="3"/>
        <v>11.055790222222221</v>
      </c>
      <c r="G43" s="12">
        <f t="shared" si="4"/>
        <v>14.479569777777776</v>
      </c>
      <c r="H43" s="12">
        <f t="shared" si="5"/>
        <v>14.479569777777776</v>
      </c>
      <c r="I43" s="1" t="str">
        <f t="shared" si="6"/>
        <v>No</v>
      </c>
      <c r="J43" s="1" t="str">
        <f t="shared" si="7"/>
        <v>Si</v>
      </c>
      <c r="K43" s="1" t="str">
        <f t="shared" si="8"/>
        <v/>
      </c>
    </row>
    <row r="44" spans="1:11" x14ac:dyDescent="0.3">
      <c r="A44" s="1">
        <v>0</v>
      </c>
      <c r="B44" s="1">
        <v>26</v>
      </c>
      <c r="C44" s="12">
        <f t="shared" si="0"/>
        <v>-1.875</v>
      </c>
      <c r="D44" s="12">
        <f t="shared" si="1"/>
        <v>7.4999999999999956E-2</v>
      </c>
      <c r="E44" s="12">
        <f t="shared" si="2"/>
        <v>11.053302129777776</v>
      </c>
      <c r="F44" s="12">
        <f t="shared" si="3"/>
        <v>11.053302129777776</v>
      </c>
      <c r="G44" s="12">
        <f t="shared" si="4"/>
        <v>14.47606542222222</v>
      </c>
      <c r="H44" s="12">
        <f t="shared" si="5"/>
        <v>14.47606542222222</v>
      </c>
      <c r="I44" s="1" t="str">
        <f t="shared" si="6"/>
        <v>No</v>
      </c>
      <c r="J44" s="1" t="str">
        <f t="shared" si="7"/>
        <v>Si</v>
      </c>
      <c r="K44" s="1" t="str">
        <f t="shared" si="8"/>
        <v/>
      </c>
    </row>
    <row r="45" spans="1:11" x14ac:dyDescent="0.3">
      <c r="A45" s="1">
        <v>0</v>
      </c>
      <c r="B45" s="1">
        <v>27</v>
      </c>
      <c r="C45" s="12">
        <f t="shared" si="0"/>
        <v>-1.875</v>
      </c>
      <c r="D45" s="12">
        <f t="shared" si="1"/>
        <v>0.14999999999999991</v>
      </c>
      <c r="E45" s="12">
        <f t="shared" si="2"/>
        <v>11.050814037333332</v>
      </c>
      <c r="F45" s="12">
        <f t="shared" si="3"/>
        <v>11.050814037333332</v>
      </c>
      <c r="G45" s="12">
        <f t="shared" si="4"/>
        <v>14.472561066666666</v>
      </c>
      <c r="H45" s="12">
        <f t="shared" si="5"/>
        <v>14.472561066666666</v>
      </c>
      <c r="I45" s="1" t="str">
        <f t="shared" si="6"/>
        <v>No</v>
      </c>
      <c r="J45" s="1" t="str">
        <f t="shared" si="7"/>
        <v>Si</v>
      </c>
      <c r="K45" s="1" t="str">
        <f t="shared" si="8"/>
        <v/>
      </c>
    </row>
    <row r="46" spans="1:11" x14ac:dyDescent="0.3">
      <c r="A46" s="1">
        <v>0</v>
      </c>
      <c r="B46" s="1">
        <v>28</v>
      </c>
      <c r="C46" s="12">
        <f t="shared" si="0"/>
        <v>-1.875</v>
      </c>
      <c r="D46" s="12">
        <f t="shared" si="1"/>
        <v>0.22500000000000009</v>
      </c>
      <c r="E46" s="12">
        <f t="shared" si="2"/>
        <v>11.048325944888887</v>
      </c>
      <c r="F46" s="12">
        <f t="shared" si="3"/>
        <v>11.048325944888887</v>
      </c>
      <c r="G46" s="12">
        <f t="shared" si="4"/>
        <v>14.46905671111111</v>
      </c>
      <c r="H46" s="12">
        <f t="shared" si="5"/>
        <v>14.46905671111111</v>
      </c>
      <c r="I46" s="1" t="str">
        <f t="shared" si="6"/>
        <v>No</v>
      </c>
      <c r="J46" s="1" t="str">
        <f t="shared" si="7"/>
        <v>Si</v>
      </c>
      <c r="K46" s="1" t="str">
        <f t="shared" si="8"/>
        <v/>
      </c>
    </row>
    <row r="47" spans="1:11" x14ac:dyDescent="0.3">
      <c r="A47" s="1">
        <v>0</v>
      </c>
      <c r="B47" s="1">
        <v>29</v>
      </c>
      <c r="C47" s="12">
        <f t="shared" si="0"/>
        <v>-1.875</v>
      </c>
      <c r="D47" s="12">
        <f t="shared" si="1"/>
        <v>0.29999999999999982</v>
      </c>
      <c r="E47" s="12">
        <f t="shared" si="2"/>
        <v>11.045837852444443</v>
      </c>
      <c r="F47" s="12">
        <f t="shared" si="3"/>
        <v>11.045837852444443</v>
      </c>
      <c r="G47" s="12">
        <f t="shared" si="4"/>
        <v>14.465552355555554</v>
      </c>
      <c r="H47" s="12">
        <f t="shared" si="5"/>
        <v>14.465552355555554</v>
      </c>
      <c r="I47" s="1" t="str">
        <f t="shared" si="6"/>
        <v>No</v>
      </c>
      <c r="J47" s="1" t="str">
        <f t="shared" si="7"/>
        <v>Si</v>
      </c>
      <c r="K47" s="1" t="str">
        <f t="shared" si="8"/>
        <v/>
      </c>
    </row>
    <row r="48" spans="1:11" x14ac:dyDescent="0.3">
      <c r="A48" s="1">
        <v>0</v>
      </c>
      <c r="B48" s="1">
        <v>30</v>
      </c>
      <c r="C48" s="12">
        <f t="shared" si="0"/>
        <v>-1.875</v>
      </c>
      <c r="D48" s="12">
        <f t="shared" si="1"/>
        <v>0.375</v>
      </c>
      <c r="E48" s="12">
        <f t="shared" si="2"/>
        <v>11.043349759999998</v>
      </c>
      <c r="F48" s="12">
        <f t="shared" si="3"/>
        <v>11.043349759999998</v>
      </c>
      <c r="G48" s="12">
        <f t="shared" si="4"/>
        <v>14.462047999999998</v>
      </c>
      <c r="H48" s="12">
        <f t="shared" si="5"/>
        <v>14.462047999999998</v>
      </c>
      <c r="I48" s="1" t="str">
        <f t="shared" si="6"/>
        <v>No</v>
      </c>
      <c r="J48" s="1" t="str">
        <f t="shared" si="7"/>
        <v>Si</v>
      </c>
      <c r="K48" s="1" t="str">
        <f t="shared" si="8"/>
        <v/>
      </c>
    </row>
    <row r="49" spans="1:11" x14ac:dyDescent="0.3">
      <c r="A49" s="1">
        <v>0</v>
      </c>
      <c r="B49" s="1">
        <v>31</v>
      </c>
      <c r="C49" s="12">
        <f t="shared" si="0"/>
        <v>-1.875</v>
      </c>
      <c r="D49" s="12">
        <f t="shared" si="1"/>
        <v>0.45000000000000018</v>
      </c>
      <c r="E49" s="12">
        <f t="shared" si="2"/>
        <v>11.040861667555554</v>
      </c>
      <c r="F49" s="12">
        <f t="shared" si="3"/>
        <v>11.040861667555554</v>
      </c>
      <c r="G49" s="12">
        <f t="shared" si="4"/>
        <v>14.458543644444443</v>
      </c>
      <c r="H49" s="12">
        <f t="shared" si="5"/>
        <v>14.458543644444443</v>
      </c>
      <c r="I49" s="1" t="str">
        <f t="shared" si="6"/>
        <v>No</v>
      </c>
      <c r="J49" s="1" t="str">
        <f t="shared" si="7"/>
        <v>Si</v>
      </c>
      <c r="K49" s="1" t="str">
        <f t="shared" si="8"/>
        <v/>
      </c>
    </row>
    <row r="50" spans="1:11" x14ac:dyDescent="0.3">
      <c r="A50" s="1">
        <v>0</v>
      </c>
      <c r="B50" s="1">
        <v>32</v>
      </c>
      <c r="C50" s="12">
        <f t="shared" si="0"/>
        <v>-1.875</v>
      </c>
      <c r="D50" s="12">
        <f t="shared" si="1"/>
        <v>0.52499999999999991</v>
      </c>
      <c r="E50" s="12">
        <f t="shared" si="2"/>
        <v>11.038373575111111</v>
      </c>
      <c r="F50" s="12">
        <f t="shared" si="3"/>
        <v>11.038373575111111</v>
      </c>
      <c r="G50" s="12">
        <f t="shared" si="4"/>
        <v>14.455039288888887</v>
      </c>
      <c r="H50" s="12">
        <f t="shared" si="5"/>
        <v>14.455039288888887</v>
      </c>
      <c r="I50" s="1" t="str">
        <f t="shared" si="6"/>
        <v>No</v>
      </c>
      <c r="J50" s="1" t="str">
        <f t="shared" si="7"/>
        <v>Si</v>
      </c>
      <c r="K50" s="1" t="str">
        <f t="shared" si="8"/>
        <v/>
      </c>
    </row>
    <row r="51" spans="1:11" x14ac:dyDescent="0.3">
      <c r="A51" s="1">
        <v>0</v>
      </c>
      <c r="B51" s="1">
        <v>33</v>
      </c>
      <c r="C51" s="12">
        <f t="shared" si="0"/>
        <v>-1.875</v>
      </c>
      <c r="D51" s="12">
        <f t="shared" si="1"/>
        <v>0.60000000000000009</v>
      </c>
      <c r="E51" s="12">
        <f t="shared" si="2"/>
        <v>11.035885482666666</v>
      </c>
      <c r="F51" s="12">
        <f t="shared" si="3"/>
        <v>11.035885482666666</v>
      </c>
      <c r="G51" s="12">
        <f t="shared" si="4"/>
        <v>14.451534933333331</v>
      </c>
      <c r="H51" s="12">
        <f t="shared" si="5"/>
        <v>14.451534933333331</v>
      </c>
      <c r="I51" s="1" t="str">
        <f t="shared" si="6"/>
        <v>No</v>
      </c>
      <c r="J51" s="1" t="str">
        <f t="shared" si="7"/>
        <v>Si</v>
      </c>
      <c r="K51" s="1" t="str">
        <f t="shared" si="8"/>
        <v/>
      </c>
    </row>
    <row r="52" spans="1:11" x14ac:dyDescent="0.3">
      <c r="A52" s="1">
        <v>0</v>
      </c>
      <c r="B52" s="1">
        <v>34</v>
      </c>
      <c r="C52" s="12">
        <f t="shared" si="0"/>
        <v>-1.875</v>
      </c>
      <c r="D52" s="12">
        <f t="shared" si="1"/>
        <v>0.67499999999999982</v>
      </c>
      <c r="E52" s="12">
        <f t="shared" si="2"/>
        <v>11.033397390222222</v>
      </c>
      <c r="F52" s="12">
        <f t="shared" si="3"/>
        <v>11.033397390222222</v>
      </c>
      <c r="G52" s="12">
        <f t="shared" si="4"/>
        <v>14.448030577777777</v>
      </c>
      <c r="H52" s="12">
        <f t="shared" si="5"/>
        <v>14.448030577777777</v>
      </c>
      <c r="I52" s="1" t="str">
        <f t="shared" si="6"/>
        <v>No</v>
      </c>
      <c r="J52" s="1" t="str">
        <f t="shared" si="7"/>
        <v>Si</v>
      </c>
      <c r="K52" s="1" t="str">
        <f t="shared" si="8"/>
        <v/>
      </c>
    </row>
    <row r="53" spans="1:11" x14ac:dyDescent="0.3">
      <c r="A53" s="1">
        <v>0</v>
      </c>
      <c r="B53" s="1">
        <v>35</v>
      </c>
      <c r="C53" s="12">
        <f t="shared" si="0"/>
        <v>-1.875</v>
      </c>
      <c r="D53" s="12">
        <f t="shared" si="1"/>
        <v>0.75</v>
      </c>
      <c r="E53" s="12">
        <f t="shared" si="2"/>
        <v>11.030909297777777</v>
      </c>
      <c r="F53" s="12">
        <f t="shared" si="3"/>
        <v>11.030909297777777</v>
      </c>
      <c r="G53" s="12">
        <f t="shared" si="4"/>
        <v>14.444526222222221</v>
      </c>
      <c r="H53" s="12">
        <f t="shared" si="5"/>
        <v>14.444526222222221</v>
      </c>
      <c r="I53" s="1" t="str">
        <f t="shared" si="6"/>
        <v>No</v>
      </c>
      <c r="J53" s="1" t="str">
        <f t="shared" si="7"/>
        <v>Si</v>
      </c>
      <c r="K53" s="1" t="str">
        <f t="shared" si="8"/>
        <v/>
      </c>
    </row>
    <row r="54" spans="1:11" x14ac:dyDescent="0.3">
      <c r="A54" s="1">
        <v>0</v>
      </c>
      <c r="B54" s="1">
        <v>36</v>
      </c>
      <c r="C54" s="12">
        <f t="shared" si="0"/>
        <v>-1.875</v>
      </c>
      <c r="D54" s="12">
        <f t="shared" si="1"/>
        <v>0.82500000000000018</v>
      </c>
      <c r="E54" s="12">
        <f t="shared" si="2"/>
        <v>11.028421205333332</v>
      </c>
      <c r="F54" s="12">
        <f t="shared" si="3"/>
        <v>11.028421205333332</v>
      </c>
      <c r="G54" s="12">
        <f t="shared" si="4"/>
        <v>14.441021866666665</v>
      </c>
      <c r="H54" s="12">
        <f t="shared" si="5"/>
        <v>14.441021866666665</v>
      </c>
      <c r="I54" s="1" t="str">
        <f t="shared" si="6"/>
        <v>No</v>
      </c>
      <c r="J54" s="1" t="str">
        <f t="shared" si="7"/>
        <v>Si</v>
      </c>
      <c r="K54" s="1" t="str">
        <f t="shared" si="8"/>
        <v/>
      </c>
    </row>
    <row r="55" spans="1:11" x14ac:dyDescent="0.3">
      <c r="A55" s="1">
        <v>0</v>
      </c>
      <c r="B55" s="1">
        <v>37</v>
      </c>
      <c r="C55" s="12">
        <f t="shared" si="0"/>
        <v>-1.875</v>
      </c>
      <c r="D55" s="12">
        <f t="shared" si="1"/>
        <v>0.89999999999999991</v>
      </c>
      <c r="E55" s="12">
        <f t="shared" si="2"/>
        <v>11.025933112888888</v>
      </c>
      <c r="F55" s="12">
        <f t="shared" si="3"/>
        <v>11.025933112888888</v>
      </c>
      <c r="G55" s="12">
        <f t="shared" si="4"/>
        <v>14.437517511111109</v>
      </c>
      <c r="H55" s="12">
        <f t="shared" si="5"/>
        <v>14.437517511111109</v>
      </c>
      <c r="I55" s="1" t="str">
        <f t="shared" si="6"/>
        <v>No</v>
      </c>
      <c r="J55" s="1" t="str">
        <f t="shared" si="7"/>
        <v>Si</v>
      </c>
      <c r="K55" s="1" t="str">
        <f t="shared" si="8"/>
        <v/>
      </c>
    </row>
    <row r="56" spans="1:11" x14ac:dyDescent="0.3">
      <c r="A56" s="1">
        <v>0</v>
      </c>
      <c r="B56" s="1">
        <v>38</v>
      </c>
      <c r="C56" s="12">
        <f t="shared" si="0"/>
        <v>-1.875</v>
      </c>
      <c r="D56" s="12">
        <f t="shared" si="1"/>
        <v>0.97500000000000009</v>
      </c>
      <c r="E56" s="12">
        <f t="shared" si="2"/>
        <v>11.023445020444443</v>
      </c>
      <c r="F56" s="12">
        <f t="shared" si="3"/>
        <v>11.023445020444443</v>
      </c>
      <c r="G56" s="12">
        <f t="shared" si="4"/>
        <v>14.434013155555554</v>
      </c>
      <c r="H56" s="12">
        <f t="shared" si="5"/>
        <v>14.434013155555554</v>
      </c>
      <c r="I56" s="1" t="str">
        <f t="shared" si="6"/>
        <v>No</v>
      </c>
      <c r="J56" s="1" t="str">
        <f t="shared" si="7"/>
        <v>Si</v>
      </c>
      <c r="K56" s="1" t="str">
        <f t="shared" si="8"/>
        <v/>
      </c>
    </row>
    <row r="57" spans="1:11" x14ac:dyDescent="0.3">
      <c r="A57" s="1">
        <v>0</v>
      </c>
      <c r="B57" s="1">
        <v>39</v>
      </c>
      <c r="C57" s="12">
        <f t="shared" si="0"/>
        <v>-1.875</v>
      </c>
      <c r="D57" s="12">
        <f t="shared" si="1"/>
        <v>1.0499999999999998</v>
      </c>
      <c r="E57" s="12">
        <f t="shared" si="2"/>
        <v>11.020956927999999</v>
      </c>
      <c r="F57" s="12">
        <f t="shared" si="3"/>
        <v>11.020956927999999</v>
      </c>
      <c r="G57" s="12">
        <f t="shared" si="4"/>
        <v>14.430508799999998</v>
      </c>
      <c r="H57" s="12">
        <f t="shared" si="5"/>
        <v>14.430508799999998</v>
      </c>
      <c r="I57" s="1" t="str">
        <f t="shared" si="6"/>
        <v>No</v>
      </c>
      <c r="J57" s="1" t="str">
        <f t="shared" si="7"/>
        <v>Si</v>
      </c>
      <c r="K57" s="1" t="str">
        <f t="shared" si="8"/>
        <v/>
      </c>
    </row>
    <row r="58" spans="1:11" x14ac:dyDescent="0.3">
      <c r="A58" s="1">
        <v>0</v>
      </c>
      <c r="B58" s="1">
        <v>40</v>
      </c>
      <c r="C58" s="12">
        <f t="shared" si="0"/>
        <v>-1.875</v>
      </c>
      <c r="D58" s="12">
        <f t="shared" si="1"/>
        <v>1.125</v>
      </c>
      <c r="E58" s="12">
        <f t="shared" si="2"/>
        <v>11.018468835555554</v>
      </c>
      <c r="F58" s="12">
        <f t="shared" si="3"/>
        <v>11.018468835555554</v>
      </c>
      <c r="G58" s="12">
        <f t="shared" si="4"/>
        <v>14.427004444444442</v>
      </c>
      <c r="H58" s="12">
        <f t="shared" si="5"/>
        <v>14.427004444444442</v>
      </c>
      <c r="I58" s="1" t="str">
        <f t="shared" si="6"/>
        <v>No</v>
      </c>
      <c r="J58" s="1" t="str">
        <f t="shared" si="7"/>
        <v>Si</v>
      </c>
      <c r="K58" s="1" t="str">
        <f t="shared" si="8"/>
        <v/>
      </c>
    </row>
    <row r="59" spans="1:11" x14ac:dyDescent="0.3">
      <c r="A59" s="1">
        <v>0</v>
      </c>
      <c r="B59" s="1">
        <v>41</v>
      </c>
      <c r="C59" s="12">
        <f t="shared" si="0"/>
        <v>-1.875</v>
      </c>
      <c r="D59" s="12">
        <f t="shared" si="1"/>
        <v>1.2000000000000002</v>
      </c>
      <c r="E59" s="12">
        <f t="shared" si="2"/>
        <v>11.015980743111109</v>
      </c>
      <c r="F59" s="12">
        <f t="shared" si="3"/>
        <v>11.015980743111109</v>
      </c>
      <c r="G59" s="12">
        <f t="shared" si="4"/>
        <v>14.423500088888888</v>
      </c>
      <c r="H59" s="12">
        <f t="shared" si="5"/>
        <v>14.423500088888888</v>
      </c>
      <c r="I59" s="1" t="str">
        <f t="shared" si="6"/>
        <v>No</v>
      </c>
      <c r="J59" s="1" t="str">
        <f t="shared" si="7"/>
        <v>Si</v>
      </c>
      <c r="K59" s="1" t="str">
        <f t="shared" si="8"/>
        <v/>
      </c>
    </row>
    <row r="60" spans="1:11" x14ac:dyDescent="0.3">
      <c r="A60" s="1">
        <v>0</v>
      </c>
      <c r="B60" s="1">
        <v>42</v>
      </c>
      <c r="C60" s="12">
        <f t="shared" si="0"/>
        <v>-1.875</v>
      </c>
      <c r="D60" s="12">
        <f t="shared" si="1"/>
        <v>1.2749999999999999</v>
      </c>
      <c r="E60" s="12">
        <f t="shared" si="2"/>
        <v>11.013492650666665</v>
      </c>
      <c r="F60" s="12">
        <f t="shared" si="3"/>
        <v>11.013492650666665</v>
      </c>
      <c r="G60" s="12">
        <f t="shared" si="4"/>
        <v>14.419995733333332</v>
      </c>
      <c r="H60" s="12">
        <f t="shared" si="5"/>
        <v>14.419995733333332</v>
      </c>
      <c r="I60" s="1" t="str">
        <f t="shared" si="6"/>
        <v>No</v>
      </c>
      <c r="J60" s="1" t="str">
        <f t="shared" si="7"/>
        <v>Si</v>
      </c>
      <c r="K60" s="1" t="str">
        <f t="shared" si="8"/>
        <v/>
      </c>
    </row>
    <row r="61" spans="1:11" x14ac:dyDescent="0.3">
      <c r="A61" s="1">
        <v>0</v>
      </c>
      <c r="B61" s="1">
        <v>43</v>
      </c>
      <c r="C61" s="12">
        <f t="shared" si="0"/>
        <v>-1.875</v>
      </c>
      <c r="D61" s="12">
        <f t="shared" si="1"/>
        <v>1.35</v>
      </c>
      <c r="E61" s="12">
        <f t="shared" si="2"/>
        <v>11.01100455822222</v>
      </c>
      <c r="F61" s="12">
        <f t="shared" si="3"/>
        <v>11.01100455822222</v>
      </c>
      <c r="G61" s="12">
        <f t="shared" si="4"/>
        <v>14.416491377777776</v>
      </c>
      <c r="H61" s="12">
        <f t="shared" si="5"/>
        <v>14.416491377777776</v>
      </c>
      <c r="I61" s="1" t="str">
        <f t="shared" si="6"/>
        <v>No</v>
      </c>
      <c r="J61" s="1" t="str">
        <f t="shared" si="7"/>
        <v>Si</v>
      </c>
      <c r="K61" s="1" t="str">
        <f t="shared" si="8"/>
        <v/>
      </c>
    </row>
    <row r="62" spans="1:11" x14ac:dyDescent="0.3">
      <c r="A62" s="1">
        <v>0</v>
      </c>
      <c r="B62" s="1">
        <v>44</v>
      </c>
      <c r="C62" s="12">
        <f t="shared" si="0"/>
        <v>-1.875</v>
      </c>
      <c r="D62" s="12">
        <f t="shared" si="1"/>
        <v>1.4249999999999998</v>
      </c>
      <c r="E62" s="12">
        <f t="shared" si="2"/>
        <v>11.008516465777777</v>
      </c>
      <c r="F62" s="12">
        <f t="shared" si="3"/>
        <v>11.008516465777777</v>
      </c>
      <c r="G62" s="12">
        <f t="shared" si="4"/>
        <v>14.41298702222222</v>
      </c>
      <c r="H62" s="12">
        <f t="shared" si="5"/>
        <v>14.41298702222222</v>
      </c>
      <c r="I62" s="1" t="str">
        <f t="shared" si="6"/>
        <v>No</v>
      </c>
      <c r="J62" s="1" t="str">
        <f t="shared" si="7"/>
        <v>Si</v>
      </c>
      <c r="K62" s="1" t="str">
        <f t="shared" si="8"/>
        <v/>
      </c>
    </row>
    <row r="63" spans="1:11" x14ac:dyDescent="0.3">
      <c r="A63" s="1">
        <v>0</v>
      </c>
      <c r="B63" s="1">
        <v>45</v>
      </c>
      <c r="C63" s="12">
        <f t="shared" si="0"/>
        <v>-1.875</v>
      </c>
      <c r="D63" s="12">
        <f t="shared" si="1"/>
        <v>1.5</v>
      </c>
      <c r="E63" s="12">
        <f t="shared" si="2"/>
        <v>11.006028373333333</v>
      </c>
      <c r="F63" s="12">
        <f t="shared" si="3"/>
        <v>11.006028373333333</v>
      </c>
      <c r="G63" s="12">
        <f t="shared" si="4"/>
        <v>14.409482666666666</v>
      </c>
      <c r="H63" s="12">
        <f t="shared" si="5"/>
        <v>14.409482666666666</v>
      </c>
      <c r="I63" s="1" t="str">
        <f t="shared" si="6"/>
        <v>No</v>
      </c>
      <c r="J63" s="1" t="str">
        <f t="shared" si="7"/>
        <v>Si</v>
      </c>
      <c r="K63" s="1" t="str">
        <f t="shared" si="8"/>
        <v/>
      </c>
    </row>
    <row r="64" spans="1:11" x14ac:dyDescent="0.3">
      <c r="A64" s="1">
        <v>0</v>
      </c>
      <c r="B64" s="1">
        <v>46</v>
      </c>
      <c r="C64" s="12">
        <f t="shared" si="0"/>
        <v>-1.875</v>
      </c>
      <c r="D64" s="12">
        <f t="shared" si="1"/>
        <v>1.5750000000000002</v>
      </c>
      <c r="E64" s="12">
        <f t="shared" si="2"/>
        <v>11.003540280888888</v>
      </c>
      <c r="F64" s="12">
        <f t="shared" si="3"/>
        <v>11.003540280888888</v>
      </c>
      <c r="G64" s="12">
        <f t="shared" si="4"/>
        <v>14.405978311111109</v>
      </c>
      <c r="H64" s="12">
        <f t="shared" si="5"/>
        <v>14.405978311111109</v>
      </c>
      <c r="I64" s="1" t="str">
        <f t="shared" si="6"/>
        <v>No</v>
      </c>
      <c r="J64" s="1" t="str">
        <f t="shared" si="7"/>
        <v>Si</v>
      </c>
      <c r="K64" s="1" t="str">
        <f t="shared" si="8"/>
        <v/>
      </c>
    </row>
    <row r="65" spans="1:11" x14ac:dyDescent="0.3">
      <c r="A65" s="1">
        <v>0</v>
      </c>
      <c r="B65" s="1">
        <v>47</v>
      </c>
      <c r="C65" s="12">
        <f t="shared" si="0"/>
        <v>-1.875</v>
      </c>
      <c r="D65" s="12">
        <f t="shared" si="1"/>
        <v>1.65</v>
      </c>
      <c r="E65" s="12">
        <f t="shared" si="2"/>
        <v>11.001052188444444</v>
      </c>
      <c r="F65" s="12">
        <f t="shared" si="3"/>
        <v>11.001052188444444</v>
      </c>
      <c r="G65" s="12">
        <f t="shared" si="4"/>
        <v>14.402473955555553</v>
      </c>
      <c r="H65" s="12">
        <f t="shared" si="5"/>
        <v>14.402473955555553</v>
      </c>
      <c r="I65" s="1" t="str">
        <f t="shared" si="6"/>
        <v>No</v>
      </c>
      <c r="J65" s="1" t="str">
        <f t="shared" si="7"/>
        <v>Si</v>
      </c>
      <c r="K65" s="1" t="str">
        <f t="shared" si="8"/>
        <v/>
      </c>
    </row>
    <row r="66" spans="1:11" x14ac:dyDescent="0.3">
      <c r="A66" s="1">
        <v>0</v>
      </c>
      <c r="B66" s="1">
        <v>48</v>
      </c>
      <c r="C66" s="12">
        <f t="shared" si="0"/>
        <v>-1.875</v>
      </c>
      <c r="D66" s="12">
        <f t="shared" si="1"/>
        <v>1.7250000000000001</v>
      </c>
      <c r="E66" s="12">
        <f t="shared" si="2"/>
        <v>10.998564095999999</v>
      </c>
      <c r="F66" s="12">
        <f t="shared" si="3"/>
        <v>10.998564095999999</v>
      </c>
      <c r="G66" s="12">
        <f t="shared" si="4"/>
        <v>14.398969599999999</v>
      </c>
      <c r="H66" s="12">
        <f t="shared" si="5"/>
        <v>14.398969599999999</v>
      </c>
      <c r="I66" s="1" t="str">
        <f t="shared" si="6"/>
        <v>No</v>
      </c>
      <c r="J66" s="1" t="str">
        <f t="shared" si="7"/>
        <v>Si</v>
      </c>
      <c r="K66" s="1" t="str">
        <f t="shared" si="8"/>
        <v/>
      </c>
    </row>
    <row r="67" spans="1:11" x14ac:dyDescent="0.3">
      <c r="A67" s="1">
        <v>0</v>
      </c>
      <c r="B67" s="1">
        <v>49</v>
      </c>
      <c r="C67" s="12">
        <f t="shared" si="0"/>
        <v>-1.875</v>
      </c>
      <c r="D67" s="12">
        <f t="shared" si="1"/>
        <v>1.7999999999999998</v>
      </c>
      <c r="E67" s="12">
        <f t="shared" si="2"/>
        <v>10.996076003555554</v>
      </c>
      <c r="F67" s="12">
        <f t="shared" si="3"/>
        <v>10.996076003555554</v>
      </c>
      <c r="G67" s="12">
        <f t="shared" si="4"/>
        <v>14.395465244444443</v>
      </c>
      <c r="H67" s="12">
        <f t="shared" si="5"/>
        <v>14.395465244444443</v>
      </c>
      <c r="I67" s="1" t="str">
        <f t="shared" si="6"/>
        <v>No</v>
      </c>
      <c r="J67" s="1" t="str">
        <f t="shared" si="7"/>
        <v>Si</v>
      </c>
      <c r="K67" s="1" t="str">
        <f t="shared" si="8"/>
        <v/>
      </c>
    </row>
    <row r="68" spans="1:11" x14ac:dyDescent="0.3">
      <c r="A68" s="1">
        <v>0</v>
      </c>
      <c r="B68" s="1">
        <v>50</v>
      </c>
      <c r="C68" s="12">
        <f t="shared" si="0"/>
        <v>-1.875</v>
      </c>
      <c r="D68" s="12">
        <f t="shared" si="1"/>
        <v>1.875</v>
      </c>
      <c r="E68" s="12">
        <f t="shared" si="2"/>
        <v>10.99358791111111</v>
      </c>
      <c r="F68" s="12">
        <f t="shared" si="3"/>
        <v>10.99358791111111</v>
      </c>
      <c r="G68" s="12">
        <f t="shared" si="4"/>
        <v>14.391960888888887</v>
      </c>
      <c r="H68" s="12">
        <f t="shared" si="5"/>
        <v>14.391960888888887</v>
      </c>
      <c r="I68" s="1" t="str">
        <f t="shared" si="6"/>
        <v>No</v>
      </c>
      <c r="J68" s="1" t="str">
        <f t="shared" si="7"/>
        <v>Si</v>
      </c>
      <c r="K68" s="1" t="str">
        <f t="shared" si="8"/>
        <v/>
      </c>
    </row>
    <row r="69" spans="1:11" x14ac:dyDescent="0.3">
      <c r="A69" s="1">
        <v>1</v>
      </c>
      <c r="B69" s="1">
        <v>0</v>
      </c>
      <c r="C69" s="12">
        <f t="shared" si="0"/>
        <v>-1.8</v>
      </c>
      <c r="D69" s="12">
        <f t="shared" si="1"/>
        <v>-1.875</v>
      </c>
      <c r="E69" s="12">
        <f t="shared" si="2"/>
        <v>11.118686577777776</v>
      </c>
      <c r="F69" s="12">
        <f t="shared" si="3"/>
        <v>11.118686577777776</v>
      </c>
      <c r="G69" s="12">
        <f t="shared" si="4"/>
        <v>14.568216319999999</v>
      </c>
      <c r="H69" s="12">
        <f t="shared" si="5"/>
        <v>14.568216319999999</v>
      </c>
      <c r="I69" s="1" t="str">
        <f t="shared" si="6"/>
        <v>No</v>
      </c>
      <c r="J69" s="1" t="str">
        <f t="shared" si="7"/>
        <v>Si</v>
      </c>
      <c r="K69" s="1" t="str">
        <f t="shared" si="8"/>
        <v/>
      </c>
    </row>
    <row r="70" spans="1:11" x14ac:dyDescent="0.3">
      <c r="A70" s="1">
        <v>1</v>
      </c>
      <c r="B70" s="1">
        <v>1</v>
      </c>
      <c r="C70" s="12">
        <f t="shared" si="0"/>
        <v>-1.8</v>
      </c>
      <c r="D70" s="12">
        <f t="shared" si="1"/>
        <v>-1.8</v>
      </c>
      <c r="E70" s="12">
        <f t="shared" si="2"/>
        <v>11.116198485333332</v>
      </c>
      <c r="F70" s="12">
        <f t="shared" si="3"/>
        <v>11.116198485333332</v>
      </c>
      <c r="G70" s="12">
        <f t="shared" si="4"/>
        <v>14.564711964444443</v>
      </c>
      <c r="H70" s="12">
        <f t="shared" si="5"/>
        <v>14.564711964444443</v>
      </c>
      <c r="I70" s="1" t="str">
        <f t="shared" si="6"/>
        <v>No</v>
      </c>
      <c r="J70" s="1" t="str">
        <f t="shared" si="7"/>
        <v>Si</v>
      </c>
      <c r="K70" s="1" t="str">
        <f t="shared" si="8"/>
        <v/>
      </c>
    </row>
    <row r="71" spans="1:11" x14ac:dyDescent="0.3">
      <c r="A71" s="1">
        <v>1</v>
      </c>
      <c r="B71" s="1">
        <v>2</v>
      </c>
      <c r="C71" s="12">
        <f t="shared" si="0"/>
        <v>-1.8</v>
      </c>
      <c r="D71" s="12">
        <f t="shared" si="1"/>
        <v>-1.7250000000000001</v>
      </c>
      <c r="E71" s="12">
        <f t="shared" si="2"/>
        <v>11.113710392888887</v>
      </c>
      <c r="F71" s="12">
        <f t="shared" si="3"/>
        <v>11.113710392888887</v>
      </c>
      <c r="G71" s="12">
        <f t="shared" si="4"/>
        <v>14.561207608888887</v>
      </c>
      <c r="H71" s="12">
        <f t="shared" si="5"/>
        <v>14.561207608888887</v>
      </c>
      <c r="I71" s="1" t="str">
        <f t="shared" si="6"/>
        <v>No</v>
      </c>
      <c r="J71" s="1" t="str">
        <f t="shared" si="7"/>
        <v>Si</v>
      </c>
      <c r="K71" s="1" t="str">
        <f t="shared" si="8"/>
        <v/>
      </c>
    </row>
    <row r="72" spans="1:11" x14ac:dyDescent="0.3">
      <c r="A72" s="1">
        <v>1</v>
      </c>
      <c r="B72" s="1">
        <v>3</v>
      </c>
      <c r="C72" s="12">
        <f t="shared" si="0"/>
        <v>-1.8</v>
      </c>
      <c r="D72" s="12">
        <f t="shared" si="1"/>
        <v>-1.65</v>
      </c>
      <c r="E72" s="12">
        <f t="shared" si="2"/>
        <v>11.111222300444442</v>
      </c>
      <c r="F72" s="12">
        <f t="shared" si="3"/>
        <v>11.111222300444442</v>
      </c>
      <c r="G72" s="12">
        <f t="shared" si="4"/>
        <v>14.557703253333333</v>
      </c>
      <c r="H72" s="12">
        <f t="shared" si="5"/>
        <v>14.557703253333333</v>
      </c>
      <c r="I72" s="1" t="str">
        <f t="shared" si="6"/>
        <v>No</v>
      </c>
      <c r="J72" s="1" t="str">
        <f t="shared" si="7"/>
        <v>Si</v>
      </c>
      <c r="K72" s="1" t="str">
        <f t="shared" si="8"/>
        <v/>
      </c>
    </row>
    <row r="73" spans="1:11" x14ac:dyDescent="0.3">
      <c r="A73" s="1">
        <v>1</v>
      </c>
      <c r="B73" s="1">
        <v>4</v>
      </c>
      <c r="C73" s="12">
        <f t="shared" si="0"/>
        <v>-1.8</v>
      </c>
      <c r="D73" s="12">
        <f t="shared" si="1"/>
        <v>-1.575</v>
      </c>
      <c r="E73" s="12">
        <f t="shared" si="2"/>
        <v>11.108734207999998</v>
      </c>
      <c r="F73" s="12">
        <f t="shared" si="3"/>
        <v>11.108734207999998</v>
      </c>
      <c r="G73" s="12">
        <f t="shared" si="4"/>
        <v>14.554198897777777</v>
      </c>
      <c r="H73" s="12">
        <f t="shared" si="5"/>
        <v>14.554198897777777</v>
      </c>
      <c r="I73" s="1" t="str">
        <f t="shared" si="6"/>
        <v>No</v>
      </c>
      <c r="J73" s="1" t="str">
        <f t="shared" si="7"/>
        <v>Si</v>
      </c>
      <c r="K73" s="1" t="str">
        <f t="shared" si="8"/>
        <v/>
      </c>
    </row>
    <row r="74" spans="1:11" x14ac:dyDescent="0.3">
      <c r="A74" s="1">
        <v>1</v>
      </c>
      <c r="B74" s="1">
        <v>5</v>
      </c>
      <c r="C74" s="12">
        <f t="shared" si="0"/>
        <v>-1.8</v>
      </c>
      <c r="D74" s="12">
        <f t="shared" si="1"/>
        <v>-1.5</v>
      </c>
      <c r="E74" s="12">
        <f t="shared" si="2"/>
        <v>11.106246115555553</v>
      </c>
      <c r="F74" s="12">
        <f t="shared" si="3"/>
        <v>11.106246115555553</v>
      </c>
      <c r="G74" s="12">
        <f t="shared" si="4"/>
        <v>14.550694542222221</v>
      </c>
      <c r="H74" s="12">
        <f t="shared" si="5"/>
        <v>14.550694542222221</v>
      </c>
      <c r="I74" s="1" t="str">
        <f t="shared" si="6"/>
        <v>No</v>
      </c>
      <c r="J74" s="1" t="str">
        <f t="shared" si="7"/>
        <v>Si</v>
      </c>
      <c r="K74" s="1" t="str">
        <f t="shared" si="8"/>
        <v/>
      </c>
    </row>
    <row r="75" spans="1:11" x14ac:dyDescent="0.3">
      <c r="A75" s="1">
        <v>1</v>
      </c>
      <c r="B75" s="1">
        <v>6</v>
      </c>
      <c r="C75" s="12">
        <f t="shared" si="0"/>
        <v>-1.8</v>
      </c>
      <c r="D75" s="12">
        <f t="shared" si="1"/>
        <v>-1.425</v>
      </c>
      <c r="E75" s="12">
        <f t="shared" si="2"/>
        <v>11.103758023111109</v>
      </c>
      <c r="F75" s="12">
        <f t="shared" si="3"/>
        <v>11.103758023111109</v>
      </c>
      <c r="G75" s="12">
        <f t="shared" si="4"/>
        <v>14.547190186666667</v>
      </c>
      <c r="H75" s="12">
        <f t="shared" si="5"/>
        <v>14.547190186666667</v>
      </c>
      <c r="I75" s="1" t="str">
        <f t="shared" si="6"/>
        <v>No</v>
      </c>
      <c r="J75" s="1" t="str">
        <f t="shared" si="7"/>
        <v>Si</v>
      </c>
      <c r="K75" s="1" t="str">
        <f t="shared" si="8"/>
        <v/>
      </c>
    </row>
    <row r="76" spans="1:11" x14ac:dyDescent="0.3">
      <c r="A76" s="1">
        <v>1</v>
      </c>
      <c r="B76" s="1">
        <v>7</v>
      </c>
      <c r="C76" s="12">
        <f t="shared" si="0"/>
        <v>-1.8</v>
      </c>
      <c r="D76" s="12">
        <f t="shared" si="1"/>
        <v>-1.35</v>
      </c>
      <c r="E76" s="12">
        <f t="shared" si="2"/>
        <v>11.101269930666666</v>
      </c>
      <c r="F76" s="12">
        <f t="shared" si="3"/>
        <v>11.101269930666666</v>
      </c>
      <c r="G76" s="12">
        <f t="shared" si="4"/>
        <v>14.543685831111111</v>
      </c>
      <c r="H76" s="12">
        <f t="shared" si="5"/>
        <v>14.543685831111111</v>
      </c>
      <c r="I76" s="1" t="str">
        <f t="shared" si="6"/>
        <v>No</v>
      </c>
      <c r="J76" s="1" t="str">
        <f t="shared" si="7"/>
        <v>Si</v>
      </c>
      <c r="K76" s="1" t="str">
        <f t="shared" si="8"/>
        <v/>
      </c>
    </row>
    <row r="77" spans="1:11" x14ac:dyDescent="0.3">
      <c r="A77" s="1">
        <v>1</v>
      </c>
      <c r="B77" s="1">
        <v>8</v>
      </c>
      <c r="C77" s="12">
        <f t="shared" si="0"/>
        <v>-1.8</v>
      </c>
      <c r="D77" s="12">
        <f t="shared" si="1"/>
        <v>-1.2749999999999999</v>
      </c>
      <c r="E77" s="12">
        <f t="shared" si="2"/>
        <v>11.098781838222221</v>
      </c>
      <c r="F77" s="12">
        <f t="shared" si="3"/>
        <v>11.098781838222221</v>
      </c>
      <c r="G77" s="12">
        <f t="shared" si="4"/>
        <v>14.540181475555555</v>
      </c>
      <c r="H77" s="12">
        <f t="shared" si="5"/>
        <v>14.540181475555555</v>
      </c>
      <c r="I77" s="1" t="str">
        <f t="shared" si="6"/>
        <v>No</v>
      </c>
      <c r="J77" s="1" t="str">
        <f t="shared" si="7"/>
        <v>Si</v>
      </c>
      <c r="K77" s="1" t="str">
        <f t="shared" si="8"/>
        <v/>
      </c>
    </row>
    <row r="78" spans="1:11" x14ac:dyDescent="0.3">
      <c r="A78" s="1">
        <v>1</v>
      </c>
      <c r="B78" s="1">
        <v>9</v>
      </c>
      <c r="C78" s="12">
        <f t="shared" si="0"/>
        <v>-1.8</v>
      </c>
      <c r="D78" s="12">
        <f t="shared" si="1"/>
        <v>-1.2</v>
      </c>
      <c r="E78" s="12">
        <f t="shared" si="2"/>
        <v>11.096293745777777</v>
      </c>
      <c r="F78" s="12">
        <f t="shared" si="3"/>
        <v>11.096293745777777</v>
      </c>
      <c r="G78" s="12">
        <f t="shared" si="4"/>
        <v>14.536677119999998</v>
      </c>
      <c r="H78" s="12">
        <f t="shared" si="5"/>
        <v>14.536677119999998</v>
      </c>
      <c r="I78" s="1" t="str">
        <f t="shared" si="6"/>
        <v>No</v>
      </c>
      <c r="J78" s="1" t="str">
        <f t="shared" si="7"/>
        <v>Si</v>
      </c>
      <c r="K78" s="1" t="str">
        <f t="shared" si="8"/>
        <v/>
      </c>
    </row>
    <row r="79" spans="1:11" x14ac:dyDescent="0.3">
      <c r="A79" s="1">
        <v>1</v>
      </c>
      <c r="B79" s="1">
        <v>10</v>
      </c>
      <c r="C79" s="12">
        <f t="shared" si="0"/>
        <v>-1.8</v>
      </c>
      <c r="D79" s="12">
        <f t="shared" si="1"/>
        <v>-1.125</v>
      </c>
      <c r="E79" s="12">
        <f t="shared" si="2"/>
        <v>11.093805653333332</v>
      </c>
      <c r="F79" s="12">
        <f t="shared" si="3"/>
        <v>11.093805653333332</v>
      </c>
      <c r="G79" s="12">
        <f t="shared" si="4"/>
        <v>14.533172764444444</v>
      </c>
      <c r="H79" s="12">
        <f t="shared" si="5"/>
        <v>14.533172764444444</v>
      </c>
      <c r="I79" s="1" t="str">
        <f t="shared" si="6"/>
        <v>No</v>
      </c>
      <c r="J79" s="1" t="str">
        <f t="shared" si="7"/>
        <v>Si</v>
      </c>
      <c r="K79" s="1" t="str">
        <f t="shared" si="8"/>
        <v/>
      </c>
    </row>
    <row r="80" spans="1:11" x14ac:dyDescent="0.3">
      <c r="A80" s="1">
        <v>1</v>
      </c>
      <c r="B80" s="1">
        <v>11</v>
      </c>
      <c r="C80" s="12">
        <f t="shared" si="0"/>
        <v>-1.8</v>
      </c>
      <c r="D80" s="12">
        <f t="shared" si="1"/>
        <v>-1.05</v>
      </c>
      <c r="E80" s="12">
        <f t="shared" si="2"/>
        <v>11.091317560888887</v>
      </c>
      <c r="F80" s="12">
        <f t="shared" si="3"/>
        <v>11.091317560888887</v>
      </c>
      <c r="G80" s="12">
        <f t="shared" si="4"/>
        <v>14.529668408888888</v>
      </c>
      <c r="H80" s="12">
        <f t="shared" si="5"/>
        <v>14.529668408888888</v>
      </c>
      <c r="I80" s="1" t="str">
        <f t="shared" si="6"/>
        <v>No</v>
      </c>
      <c r="J80" s="1" t="str">
        <f t="shared" si="7"/>
        <v>Si</v>
      </c>
      <c r="K80" s="1" t="str">
        <f t="shared" si="8"/>
        <v/>
      </c>
    </row>
    <row r="81" spans="1:11" x14ac:dyDescent="0.3">
      <c r="A81" s="1">
        <v>1</v>
      </c>
      <c r="B81" s="1">
        <v>12</v>
      </c>
      <c r="C81" s="12">
        <f t="shared" si="0"/>
        <v>-1.8</v>
      </c>
      <c r="D81" s="12">
        <f t="shared" si="1"/>
        <v>-0.97499999999999998</v>
      </c>
      <c r="E81" s="12">
        <f t="shared" si="2"/>
        <v>11.088829468444443</v>
      </c>
      <c r="F81" s="12">
        <f t="shared" si="3"/>
        <v>11.088829468444443</v>
      </c>
      <c r="G81" s="12">
        <f t="shared" si="4"/>
        <v>14.526164053333332</v>
      </c>
      <c r="H81" s="12">
        <f t="shared" si="5"/>
        <v>14.526164053333332</v>
      </c>
      <c r="I81" s="1" t="str">
        <f t="shared" si="6"/>
        <v>No</v>
      </c>
      <c r="J81" s="1" t="str">
        <f t="shared" si="7"/>
        <v>Si</v>
      </c>
      <c r="K81" s="1" t="str">
        <f t="shared" si="8"/>
        <v/>
      </c>
    </row>
    <row r="82" spans="1:11" x14ac:dyDescent="0.3">
      <c r="A82" s="1">
        <v>1</v>
      </c>
      <c r="B82" s="1">
        <v>13</v>
      </c>
      <c r="C82" s="12">
        <f t="shared" ref="C82:C145" si="9">IF(OR(A82&gt;inp_n_div_x,B82&gt;inp_n_div_y),"",-inp_bx/2+A82*inp_bx/inp_n_div_x)</f>
        <v>-1.8</v>
      </c>
      <c r="D82" s="12">
        <f t="shared" ref="D82:D145" si="10">IF(C82="","",-inp_by/2+B82*inp_by/inp_n_div_y)</f>
        <v>-0.9</v>
      </c>
      <c r="E82" s="12">
        <f t="shared" ref="E82:E145" si="11">IF(C82="","",res_srv_p_tot/geo_area+res_srv_mx_tot/geo_ix*D82+res_srv_my_tot/geo_iy*C82)</f>
        <v>11.086341375999998</v>
      </c>
      <c r="F82" s="12">
        <f t="shared" ref="F82:F145" si="12">IF(E82="","",MAX(0,E82))</f>
        <v>11.086341375999998</v>
      </c>
      <c r="G82" s="12">
        <f t="shared" ref="G82:G145" si="13">IF(C82="","",res_u_p_tot/geo_area+res_u_mx_tot/geo_ix*D82+res_u_my_tot/geo_iy*C82)</f>
        <v>14.522659697777778</v>
      </c>
      <c r="H82" s="12">
        <f t="shared" ref="H82:H145" si="14">IF(G82="","",MAX(0,G82))</f>
        <v>14.522659697777778</v>
      </c>
      <c r="I82" s="1" t="str">
        <f t="shared" ref="I82:I145" si="15">IF(C82="","",IF(AND(C82&gt;=inp_xc-inp_cx/2,C82&lt;=inp_xc+inp_cx/2,D82&gt;=inp_yc-inp_cy/2,D82&lt;=inp_yc+inp_cy/2),"Si","No"))</f>
        <v>No</v>
      </c>
      <c r="J82" s="1" t="str">
        <f t="shared" ref="J82:J145" si="16">IF(C82="","","Si")</f>
        <v>Si</v>
      </c>
      <c r="K82" s="1" t="str">
        <f t="shared" ref="K82:K145" si="17">IF(OR(E82&lt;0,G82&lt;0),"Presion negativa","")</f>
        <v/>
      </c>
    </row>
    <row r="83" spans="1:11" x14ac:dyDescent="0.3">
      <c r="A83" s="1">
        <v>1</v>
      </c>
      <c r="B83" s="1">
        <v>14</v>
      </c>
      <c r="C83" s="12">
        <f t="shared" si="9"/>
        <v>-1.8</v>
      </c>
      <c r="D83" s="12">
        <f t="shared" si="10"/>
        <v>-0.82499999999999996</v>
      </c>
      <c r="E83" s="12">
        <f t="shared" si="11"/>
        <v>11.083853283555554</v>
      </c>
      <c r="F83" s="12">
        <f t="shared" si="12"/>
        <v>11.083853283555554</v>
      </c>
      <c r="G83" s="12">
        <f t="shared" si="13"/>
        <v>14.519155342222222</v>
      </c>
      <c r="H83" s="12">
        <f t="shared" si="14"/>
        <v>14.519155342222222</v>
      </c>
      <c r="I83" s="1" t="str">
        <f t="shared" si="15"/>
        <v>No</v>
      </c>
      <c r="J83" s="1" t="str">
        <f t="shared" si="16"/>
        <v>Si</v>
      </c>
      <c r="K83" s="1" t="str">
        <f t="shared" si="17"/>
        <v/>
      </c>
    </row>
    <row r="84" spans="1:11" x14ac:dyDescent="0.3">
      <c r="A84" s="1">
        <v>1</v>
      </c>
      <c r="B84" s="1">
        <v>15</v>
      </c>
      <c r="C84" s="12">
        <f t="shared" si="9"/>
        <v>-1.8</v>
      </c>
      <c r="D84" s="12">
        <f t="shared" si="10"/>
        <v>-0.75</v>
      </c>
      <c r="E84" s="12">
        <f t="shared" si="11"/>
        <v>11.081365191111109</v>
      </c>
      <c r="F84" s="12">
        <f t="shared" si="12"/>
        <v>11.081365191111109</v>
      </c>
      <c r="G84" s="12">
        <f t="shared" si="13"/>
        <v>14.515650986666666</v>
      </c>
      <c r="H84" s="12">
        <f t="shared" si="14"/>
        <v>14.515650986666666</v>
      </c>
      <c r="I84" s="1" t="str">
        <f t="shared" si="15"/>
        <v>No</v>
      </c>
      <c r="J84" s="1" t="str">
        <f t="shared" si="16"/>
        <v>Si</v>
      </c>
      <c r="K84" s="1" t="str">
        <f t="shared" si="17"/>
        <v/>
      </c>
    </row>
    <row r="85" spans="1:11" x14ac:dyDescent="0.3">
      <c r="A85" s="1">
        <v>1</v>
      </c>
      <c r="B85" s="1">
        <v>16</v>
      </c>
      <c r="C85" s="12">
        <f t="shared" si="9"/>
        <v>-1.8</v>
      </c>
      <c r="D85" s="12">
        <f t="shared" si="10"/>
        <v>-0.67500000000000004</v>
      </c>
      <c r="E85" s="12">
        <f t="shared" si="11"/>
        <v>11.078877098666664</v>
      </c>
      <c r="F85" s="12">
        <f t="shared" si="12"/>
        <v>11.078877098666664</v>
      </c>
      <c r="G85" s="12">
        <f t="shared" si="13"/>
        <v>14.51214663111111</v>
      </c>
      <c r="H85" s="12">
        <f t="shared" si="14"/>
        <v>14.51214663111111</v>
      </c>
      <c r="I85" s="1" t="str">
        <f t="shared" si="15"/>
        <v>No</v>
      </c>
      <c r="J85" s="1" t="str">
        <f t="shared" si="16"/>
        <v>Si</v>
      </c>
      <c r="K85" s="1" t="str">
        <f t="shared" si="17"/>
        <v/>
      </c>
    </row>
    <row r="86" spans="1:11" x14ac:dyDescent="0.3">
      <c r="A86" s="1">
        <v>1</v>
      </c>
      <c r="B86" s="1">
        <v>17</v>
      </c>
      <c r="C86" s="12">
        <f t="shared" si="9"/>
        <v>-1.8</v>
      </c>
      <c r="D86" s="12">
        <f t="shared" si="10"/>
        <v>-0.60000000000000009</v>
      </c>
      <c r="E86" s="12">
        <f t="shared" si="11"/>
        <v>11.07638900622222</v>
      </c>
      <c r="F86" s="12">
        <f t="shared" si="12"/>
        <v>11.07638900622222</v>
      </c>
      <c r="G86" s="12">
        <f t="shared" si="13"/>
        <v>14.508642275555555</v>
      </c>
      <c r="H86" s="12">
        <f t="shared" si="14"/>
        <v>14.508642275555555</v>
      </c>
      <c r="I86" s="1" t="str">
        <f t="shared" si="15"/>
        <v>No</v>
      </c>
      <c r="J86" s="1" t="str">
        <f t="shared" si="16"/>
        <v>Si</v>
      </c>
      <c r="K86" s="1" t="str">
        <f t="shared" si="17"/>
        <v/>
      </c>
    </row>
    <row r="87" spans="1:11" x14ac:dyDescent="0.3">
      <c r="A87" s="1">
        <v>1</v>
      </c>
      <c r="B87" s="1">
        <v>18</v>
      </c>
      <c r="C87" s="12">
        <f t="shared" si="9"/>
        <v>-1.8</v>
      </c>
      <c r="D87" s="12">
        <f t="shared" si="10"/>
        <v>-0.52499999999999991</v>
      </c>
      <c r="E87" s="12">
        <f t="shared" si="11"/>
        <v>11.073900913777775</v>
      </c>
      <c r="F87" s="12">
        <f t="shared" si="12"/>
        <v>11.073900913777775</v>
      </c>
      <c r="G87" s="12">
        <f t="shared" si="13"/>
        <v>14.505137919999999</v>
      </c>
      <c r="H87" s="12">
        <f t="shared" si="14"/>
        <v>14.505137919999999</v>
      </c>
      <c r="I87" s="1" t="str">
        <f t="shared" si="15"/>
        <v>No</v>
      </c>
      <c r="J87" s="1" t="str">
        <f t="shared" si="16"/>
        <v>Si</v>
      </c>
      <c r="K87" s="1" t="str">
        <f t="shared" si="17"/>
        <v/>
      </c>
    </row>
    <row r="88" spans="1:11" x14ac:dyDescent="0.3">
      <c r="A88" s="1">
        <v>1</v>
      </c>
      <c r="B88" s="1">
        <v>19</v>
      </c>
      <c r="C88" s="12">
        <f t="shared" si="9"/>
        <v>-1.8</v>
      </c>
      <c r="D88" s="12">
        <f t="shared" si="10"/>
        <v>-0.44999999999999996</v>
      </c>
      <c r="E88" s="12">
        <f t="shared" si="11"/>
        <v>11.071412821333332</v>
      </c>
      <c r="F88" s="12">
        <f t="shared" si="12"/>
        <v>11.071412821333332</v>
      </c>
      <c r="G88" s="12">
        <f t="shared" si="13"/>
        <v>14.501633564444443</v>
      </c>
      <c r="H88" s="12">
        <f t="shared" si="14"/>
        <v>14.501633564444443</v>
      </c>
      <c r="I88" s="1" t="str">
        <f t="shared" si="15"/>
        <v>No</v>
      </c>
      <c r="J88" s="1" t="str">
        <f t="shared" si="16"/>
        <v>Si</v>
      </c>
      <c r="K88" s="1" t="str">
        <f t="shared" si="17"/>
        <v/>
      </c>
    </row>
    <row r="89" spans="1:11" x14ac:dyDescent="0.3">
      <c r="A89" s="1">
        <v>1</v>
      </c>
      <c r="B89" s="1">
        <v>20</v>
      </c>
      <c r="C89" s="12">
        <f t="shared" si="9"/>
        <v>-1.8</v>
      </c>
      <c r="D89" s="12">
        <f t="shared" si="10"/>
        <v>-0.375</v>
      </c>
      <c r="E89" s="12">
        <f t="shared" si="11"/>
        <v>11.068924728888888</v>
      </c>
      <c r="F89" s="12">
        <f t="shared" si="12"/>
        <v>11.068924728888888</v>
      </c>
      <c r="G89" s="12">
        <f t="shared" si="13"/>
        <v>14.498129208888889</v>
      </c>
      <c r="H89" s="12">
        <f t="shared" si="14"/>
        <v>14.498129208888889</v>
      </c>
      <c r="I89" s="1" t="str">
        <f t="shared" si="15"/>
        <v>No</v>
      </c>
      <c r="J89" s="1" t="str">
        <f t="shared" si="16"/>
        <v>Si</v>
      </c>
      <c r="K89" s="1" t="str">
        <f t="shared" si="17"/>
        <v/>
      </c>
    </row>
    <row r="90" spans="1:11" x14ac:dyDescent="0.3">
      <c r="A90" s="1">
        <v>1</v>
      </c>
      <c r="B90" s="1">
        <v>21</v>
      </c>
      <c r="C90" s="12">
        <f t="shared" si="9"/>
        <v>-1.8</v>
      </c>
      <c r="D90" s="12">
        <f t="shared" si="10"/>
        <v>-0.30000000000000004</v>
      </c>
      <c r="E90" s="12">
        <f t="shared" si="11"/>
        <v>11.066436636444443</v>
      </c>
      <c r="F90" s="12">
        <f t="shared" si="12"/>
        <v>11.066436636444443</v>
      </c>
      <c r="G90" s="12">
        <f t="shared" si="13"/>
        <v>14.494624853333333</v>
      </c>
      <c r="H90" s="12">
        <f t="shared" si="14"/>
        <v>14.494624853333333</v>
      </c>
      <c r="I90" s="1" t="str">
        <f t="shared" si="15"/>
        <v>No</v>
      </c>
      <c r="J90" s="1" t="str">
        <f t="shared" si="16"/>
        <v>Si</v>
      </c>
      <c r="K90" s="1" t="str">
        <f t="shared" si="17"/>
        <v/>
      </c>
    </row>
    <row r="91" spans="1:11" x14ac:dyDescent="0.3">
      <c r="A91" s="1">
        <v>1</v>
      </c>
      <c r="B91" s="1">
        <v>22</v>
      </c>
      <c r="C91" s="12">
        <f t="shared" si="9"/>
        <v>-1.8</v>
      </c>
      <c r="D91" s="12">
        <f t="shared" si="10"/>
        <v>-0.22500000000000009</v>
      </c>
      <c r="E91" s="12">
        <f t="shared" si="11"/>
        <v>11.063948543999999</v>
      </c>
      <c r="F91" s="12">
        <f t="shared" si="12"/>
        <v>11.063948543999999</v>
      </c>
      <c r="G91" s="12">
        <f t="shared" si="13"/>
        <v>14.491120497777777</v>
      </c>
      <c r="H91" s="12">
        <f t="shared" si="14"/>
        <v>14.491120497777777</v>
      </c>
      <c r="I91" s="1" t="str">
        <f t="shared" si="15"/>
        <v>No</v>
      </c>
      <c r="J91" s="1" t="str">
        <f t="shared" si="16"/>
        <v>Si</v>
      </c>
      <c r="K91" s="1" t="str">
        <f t="shared" si="17"/>
        <v/>
      </c>
    </row>
    <row r="92" spans="1:11" x14ac:dyDescent="0.3">
      <c r="A92" s="1">
        <v>1</v>
      </c>
      <c r="B92" s="1">
        <v>23</v>
      </c>
      <c r="C92" s="12">
        <f t="shared" si="9"/>
        <v>-1.8</v>
      </c>
      <c r="D92" s="12">
        <f t="shared" si="10"/>
        <v>-0.14999999999999991</v>
      </c>
      <c r="E92" s="12">
        <f t="shared" si="11"/>
        <v>11.061460451555554</v>
      </c>
      <c r="F92" s="12">
        <f t="shared" si="12"/>
        <v>11.061460451555554</v>
      </c>
      <c r="G92" s="12">
        <f t="shared" si="13"/>
        <v>14.487616142222221</v>
      </c>
      <c r="H92" s="12">
        <f t="shared" si="14"/>
        <v>14.487616142222221</v>
      </c>
      <c r="I92" s="1" t="str">
        <f t="shared" si="15"/>
        <v>No</v>
      </c>
      <c r="J92" s="1" t="str">
        <f t="shared" si="16"/>
        <v>Si</v>
      </c>
      <c r="K92" s="1" t="str">
        <f t="shared" si="17"/>
        <v/>
      </c>
    </row>
    <row r="93" spans="1:11" x14ac:dyDescent="0.3">
      <c r="A93" s="1">
        <v>1</v>
      </c>
      <c r="B93" s="1">
        <v>24</v>
      </c>
      <c r="C93" s="12">
        <f t="shared" si="9"/>
        <v>-1.8</v>
      </c>
      <c r="D93" s="12">
        <f t="shared" si="10"/>
        <v>-7.4999999999999956E-2</v>
      </c>
      <c r="E93" s="12">
        <f t="shared" si="11"/>
        <v>11.05897235911111</v>
      </c>
      <c r="F93" s="12">
        <f t="shared" si="12"/>
        <v>11.05897235911111</v>
      </c>
      <c r="G93" s="12">
        <f t="shared" si="13"/>
        <v>14.484111786666666</v>
      </c>
      <c r="H93" s="12">
        <f t="shared" si="14"/>
        <v>14.484111786666666</v>
      </c>
      <c r="I93" s="1" t="str">
        <f t="shared" si="15"/>
        <v>No</v>
      </c>
      <c r="J93" s="1" t="str">
        <f t="shared" si="16"/>
        <v>Si</v>
      </c>
      <c r="K93" s="1" t="str">
        <f t="shared" si="17"/>
        <v/>
      </c>
    </row>
    <row r="94" spans="1:11" x14ac:dyDescent="0.3">
      <c r="A94" s="1">
        <v>1</v>
      </c>
      <c r="B94" s="1">
        <v>25</v>
      </c>
      <c r="C94" s="12">
        <f t="shared" si="9"/>
        <v>-1.8</v>
      </c>
      <c r="D94" s="12">
        <f t="shared" si="10"/>
        <v>0</v>
      </c>
      <c r="E94" s="12">
        <f t="shared" si="11"/>
        <v>11.056484266666665</v>
      </c>
      <c r="F94" s="12">
        <f t="shared" si="12"/>
        <v>11.056484266666665</v>
      </c>
      <c r="G94" s="12">
        <f t="shared" si="13"/>
        <v>14.48060743111111</v>
      </c>
      <c r="H94" s="12">
        <f t="shared" si="14"/>
        <v>14.48060743111111</v>
      </c>
      <c r="I94" s="1" t="str">
        <f t="shared" si="15"/>
        <v>No</v>
      </c>
      <c r="J94" s="1" t="str">
        <f t="shared" si="16"/>
        <v>Si</v>
      </c>
      <c r="K94" s="1" t="str">
        <f t="shared" si="17"/>
        <v/>
      </c>
    </row>
    <row r="95" spans="1:11" x14ac:dyDescent="0.3">
      <c r="A95" s="1">
        <v>1</v>
      </c>
      <c r="B95" s="1">
        <v>26</v>
      </c>
      <c r="C95" s="12">
        <f t="shared" si="9"/>
        <v>-1.8</v>
      </c>
      <c r="D95" s="12">
        <f t="shared" si="10"/>
        <v>7.4999999999999956E-2</v>
      </c>
      <c r="E95" s="12">
        <f t="shared" si="11"/>
        <v>11.05399617422222</v>
      </c>
      <c r="F95" s="12">
        <f t="shared" si="12"/>
        <v>11.05399617422222</v>
      </c>
      <c r="G95" s="12">
        <f t="shared" si="13"/>
        <v>14.477103075555554</v>
      </c>
      <c r="H95" s="12">
        <f t="shared" si="14"/>
        <v>14.477103075555554</v>
      </c>
      <c r="I95" s="1" t="str">
        <f t="shared" si="15"/>
        <v>No</v>
      </c>
      <c r="J95" s="1" t="str">
        <f t="shared" si="16"/>
        <v>Si</v>
      </c>
      <c r="K95" s="1" t="str">
        <f t="shared" si="17"/>
        <v/>
      </c>
    </row>
    <row r="96" spans="1:11" x14ac:dyDescent="0.3">
      <c r="A96" s="1">
        <v>1</v>
      </c>
      <c r="B96" s="1">
        <v>27</v>
      </c>
      <c r="C96" s="12">
        <f t="shared" si="9"/>
        <v>-1.8</v>
      </c>
      <c r="D96" s="12">
        <f t="shared" si="10"/>
        <v>0.14999999999999991</v>
      </c>
      <c r="E96" s="12">
        <f t="shared" si="11"/>
        <v>11.051508081777776</v>
      </c>
      <c r="F96" s="12">
        <f t="shared" si="12"/>
        <v>11.051508081777776</v>
      </c>
      <c r="G96" s="12">
        <f t="shared" si="13"/>
        <v>14.47359872</v>
      </c>
      <c r="H96" s="12">
        <f t="shared" si="14"/>
        <v>14.47359872</v>
      </c>
      <c r="I96" s="1" t="str">
        <f t="shared" si="15"/>
        <v>No</v>
      </c>
      <c r="J96" s="1" t="str">
        <f t="shared" si="16"/>
        <v>Si</v>
      </c>
      <c r="K96" s="1" t="str">
        <f t="shared" si="17"/>
        <v/>
      </c>
    </row>
    <row r="97" spans="1:11" x14ac:dyDescent="0.3">
      <c r="A97" s="1">
        <v>1</v>
      </c>
      <c r="B97" s="1">
        <v>28</v>
      </c>
      <c r="C97" s="12">
        <f t="shared" si="9"/>
        <v>-1.8</v>
      </c>
      <c r="D97" s="12">
        <f t="shared" si="10"/>
        <v>0.22500000000000009</v>
      </c>
      <c r="E97" s="12">
        <f t="shared" si="11"/>
        <v>11.049019989333331</v>
      </c>
      <c r="F97" s="12">
        <f t="shared" si="12"/>
        <v>11.049019989333331</v>
      </c>
      <c r="G97" s="12">
        <f t="shared" si="13"/>
        <v>14.470094364444444</v>
      </c>
      <c r="H97" s="12">
        <f t="shared" si="14"/>
        <v>14.470094364444444</v>
      </c>
      <c r="I97" s="1" t="str">
        <f t="shared" si="15"/>
        <v>No</v>
      </c>
      <c r="J97" s="1" t="str">
        <f t="shared" si="16"/>
        <v>Si</v>
      </c>
      <c r="K97" s="1" t="str">
        <f t="shared" si="17"/>
        <v/>
      </c>
    </row>
    <row r="98" spans="1:11" x14ac:dyDescent="0.3">
      <c r="A98" s="1">
        <v>1</v>
      </c>
      <c r="B98" s="1">
        <v>29</v>
      </c>
      <c r="C98" s="12">
        <f t="shared" si="9"/>
        <v>-1.8</v>
      </c>
      <c r="D98" s="12">
        <f t="shared" si="10"/>
        <v>0.29999999999999982</v>
      </c>
      <c r="E98" s="12">
        <f t="shared" si="11"/>
        <v>11.046531896888887</v>
      </c>
      <c r="F98" s="12">
        <f t="shared" si="12"/>
        <v>11.046531896888887</v>
      </c>
      <c r="G98" s="12">
        <f t="shared" si="13"/>
        <v>14.466590008888888</v>
      </c>
      <c r="H98" s="12">
        <f t="shared" si="14"/>
        <v>14.466590008888888</v>
      </c>
      <c r="I98" s="1" t="str">
        <f t="shared" si="15"/>
        <v>No</v>
      </c>
      <c r="J98" s="1" t="str">
        <f t="shared" si="16"/>
        <v>Si</v>
      </c>
      <c r="K98" s="1" t="str">
        <f t="shared" si="17"/>
        <v/>
      </c>
    </row>
    <row r="99" spans="1:11" x14ac:dyDescent="0.3">
      <c r="A99" s="1">
        <v>1</v>
      </c>
      <c r="B99" s="1">
        <v>30</v>
      </c>
      <c r="C99" s="12">
        <f t="shared" si="9"/>
        <v>-1.8</v>
      </c>
      <c r="D99" s="12">
        <f t="shared" si="10"/>
        <v>0.375</v>
      </c>
      <c r="E99" s="12">
        <f t="shared" si="11"/>
        <v>11.044043804444442</v>
      </c>
      <c r="F99" s="12">
        <f t="shared" si="12"/>
        <v>11.044043804444442</v>
      </c>
      <c r="G99" s="12">
        <f t="shared" si="13"/>
        <v>14.463085653333332</v>
      </c>
      <c r="H99" s="12">
        <f t="shared" si="14"/>
        <v>14.463085653333332</v>
      </c>
      <c r="I99" s="1" t="str">
        <f t="shared" si="15"/>
        <v>No</v>
      </c>
      <c r="J99" s="1" t="str">
        <f t="shared" si="16"/>
        <v>Si</v>
      </c>
      <c r="K99" s="1" t="str">
        <f t="shared" si="17"/>
        <v/>
      </c>
    </row>
    <row r="100" spans="1:11" x14ac:dyDescent="0.3">
      <c r="A100" s="1">
        <v>1</v>
      </c>
      <c r="B100" s="1">
        <v>31</v>
      </c>
      <c r="C100" s="12">
        <f t="shared" si="9"/>
        <v>-1.8</v>
      </c>
      <c r="D100" s="12">
        <f t="shared" si="10"/>
        <v>0.45000000000000018</v>
      </c>
      <c r="E100" s="12">
        <f t="shared" si="11"/>
        <v>11.041555711999997</v>
      </c>
      <c r="F100" s="12">
        <f t="shared" si="12"/>
        <v>11.041555711999997</v>
      </c>
      <c r="G100" s="12">
        <f t="shared" si="13"/>
        <v>14.459581297777778</v>
      </c>
      <c r="H100" s="12">
        <f t="shared" si="14"/>
        <v>14.459581297777778</v>
      </c>
      <c r="I100" s="1" t="str">
        <f t="shared" si="15"/>
        <v>No</v>
      </c>
      <c r="J100" s="1" t="str">
        <f t="shared" si="16"/>
        <v>Si</v>
      </c>
      <c r="K100" s="1" t="str">
        <f t="shared" si="17"/>
        <v/>
      </c>
    </row>
    <row r="101" spans="1:11" x14ac:dyDescent="0.3">
      <c r="A101" s="1">
        <v>1</v>
      </c>
      <c r="B101" s="1">
        <v>32</v>
      </c>
      <c r="C101" s="12">
        <f t="shared" si="9"/>
        <v>-1.8</v>
      </c>
      <c r="D101" s="12">
        <f t="shared" si="10"/>
        <v>0.52499999999999991</v>
      </c>
      <c r="E101" s="12">
        <f t="shared" si="11"/>
        <v>11.039067619555555</v>
      </c>
      <c r="F101" s="12">
        <f t="shared" si="12"/>
        <v>11.039067619555555</v>
      </c>
      <c r="G101" s="12">
        <f t="shared" si="13"/>
        <v>14.456076942222222</v>
      </c>
      <c r="H101" s="12">
        <f t="shared" si="14"/>
        <v>14.456076942222222</v>
      </c>
      <c r="I101" s="1" t="str">
        <f t="shared" si="15"/>
        <v>No</v>
      </c>
      <c r="J101" s="1" t="str">
        <f t="shared" si="16"/>
        <v>Si</v>
      </c>
      <c r="K101" s="1" t="str">
        <f t="shared" si="17"/>
        <v/>
      </c>
    </row>
    <row r="102" spans="1:11" x14ac:dyDescent="0.3">
      <c r="A102" s="1">
        <v>1</v>
      </c>
      <c r="B102" s="1">
        <v>33</v>
      </c>
      <c r="C102" s="12">
        <f t="shared" si="9"/>
        <v>-1.8</v>
      </c>
      <c r="D102" s="12">
        <f t="shared" si="10"/>
        <v>0.60000000000000009</v>
      </c>
      <c r="E102" s="12">
        <f t="shared" si="11"/>
        <v>11.03657952711111</v>
      </c>
      <c r="F102" s="12">
        <f t="shared" si="12"/>
        <v>11.03657952711111</v>
      </c>
      <c r="G102" s="12">
        <f t="shared" si="13"/>
        <v>14.452572586666665</v>
      </c>
      <c r="H102" s="12">
        <f t="shared" si="14"/>
        <v>14.452572586666665</v>
      </c>
      <c r="I102" s="1" t="str">
        <f t="shared" si="15"/>
        <v>No</v>
      </c>
      <c r="J102" s="1" t="str">
        <f t="shared" si="16"/>
        <v>Si</v>
      </c>
      <c r="K102" s="1" t="str">
        <f t="shared" si="17"/>
        <v/>
      </c>
    </row>
    <row r="103" spans="1:11" x14ac:dyDescent="0.3">
      <c r="A103" s="1">
        <v>1</v>
      </c>
      <c r="B103" s="1">
        <v>34</v>
      </c>
      <c r="C103" s="12">
        <f t="shared" si="9"/>
        <v>-1.8</v>
      </c>
      <c r="D103" s="12">
        <f t="shared" si="10"/>
        <v>0.67499999999999982</v>
      </c>
      <c r="E103" s="12">
        <f t="shared" si="11"/>
        <v>11.034091434666665</v>
      </c>
      <c r="F103" s="12">
        <f t="shared" si="12"/>
        <v>11.034091434666665</v>
      </c>
      <c r="G103" s="12">
        <f t="shared" si="13"/>
        <v>14.449068231111111</v>
      </c>
      <c r="H103" s="12">
        <f t="shared" si="14"/>
        <v>14.449068231111111</v>
      </c>
      <c r="I103" s="1" t="str">
        <f t="shared" si="15"/>
        <v>No</v>
      </c>
      <c r="J103" s="1" t="str">
        <f t="shared" si="16"/>
        <v>Si</v>
      </c>
      <c r="K103" s="1" t="str">
        <f t="shared" si="17"/>
        <v/>
      </c>
    </row>
    <row r="104" spans="1:11" x14ac:dyDescent="0.3">
      <c r="A104" s="1">
        <v>1</v>
      </c>
      <c r="B104" s="1">
        <v>35</v>
      </c>
      <c r="C104" s="12">
        <f t="shared" si="9"/>
        <v>-1.8</v>
      </c>
      <c r="D104" s="12">
        <f t="shared" si="10"/>
        <v>0.75</v>
      </c>
      <c r="E104" s="12">
        <f t="shared" si="11"/>
        <v>11.031603342222221</v>
      </c>
      <c r="F104" s="12">
        <f t="shared" si="12"/>
        <v>11.031603342222221</v>
      </c>
      <c r="G104" s="12">
        <f t="shared" si="13"/>
        <v>14.445563875555555</v>
      </c>
      <c r="H104" s="12">
        <f t="shared" si="14"/>
        <v>14.445563875555555</v>
      </c>
      <c r="I104" s="1" t="str">
        <f t="shared" si="15"/>
        <v>No</v>
      </c>
      <c r="J104" s="1" t="str">
        <f t="shared" si="16"/>
        <v>Si</v>
      </c>
      <c r="K104" s="1" t="str">
        <f t="shared" si="17"/>
        <v/>
      </c>
    </row>
    <row r="105" spans="1:11" x14ac:dyDescent="0.3">
      <c r="A105" s="1">
        <v>1</v>
      </c>
      <c r="B105" s="1">
        <v>36</v>
      </c>
      <c r="C105" s="12">
        <f t="shared" si="9"/>
        <v>-1.8</v>
      </c>
      <c r="D105" s="12">
        <f t="shared" si="10"/>
        <v>0.82500000000000018</v>
      </c>
      <c r="E105" s="12">
        <f t="shared" si="11"/>
        <v>11.029115249777776</v>
      </c>
      <c r="F105" s="12">
        <f t="shared" si="12"/>
        <v>11.029115249777776</v>
      </c>
      <c r="G105" s="12">
        <f t="shared" si="13"/>
        <v>14.442059519999999</v>
      </c>
      <c r="H105" s="12">
        <f t="shared" si="14"/>
        <v>14.442059519999999</v>
      </c>
      <c r="I105" s="1" t="str">
        <f t="shared" si="15"/>
        <v>No</v>
      </c>
      <c r="J105" s="1" t="str">
        <f t="shared" si="16"/>
        <v>Si</v>
      </c>
      <c r="K105" s="1" t="str">
        <f t="shared" si="17"/>
        <v/>
      </c>
    </row>
    <row r="106" spans="1:11" x14ac:dyDescent="0.3">
      <c r="A106" s="1">
        <v>1</v>
      </c>
      <c r="B106" s="1">
        <v>37</v>
      </c>
      <c r="C106" s="12">
        <f t="shared" si="9"/>
        <v>-1.8</v>
      </c>
      <c r="D106" s="12">
        <f t="shared" si="10"/>
        <v>0.89999999999999991</v>
      </c>
      <c r="E106" s="12">
        <f t="shared" si="11"/>
        <v>11.026627157333332</v>
      </c>
      <c r="F106" s="12">
        <f t="shared" si="12"/>
        <v>11.026627157333332</v>
      </c>
      <c r="G106" s="12">
        <f t="shared" si="13"/>
        <v>14.438555164444443</v>
      </c>
      <c r="H106" s="12">
        <f t="shared" si="14"/>
        <v>14.438555164444443</v>
      </c>
      <c r="I106" s="1" t="str">
        <f t="shared" si="15"/>
        <v>No</v>
      </c>
      <c r="J106" s="1" t="str">
        <f t="shared" si="16"/>
        <v>Si</v>
      </c>
      <c r="K106" s="1" t="str">
        <f t="shared" si="17"/>
        <v/>
      </c>
    </row>
    <row r="107" spans="1:11" x14ac:dyDescent="0.3">
      <c r="A107" s="1">
        <v>1</v>
      </c>
      <c r="B107" s="1">
        <v>38</v>
      </c>
      <c r="C107" s="12">
        <f t="shared" si="9"/>
        <v>-1.8</v>
      </c>
      <c r="D107" s="12">
        <f t="shared" si="10"/>
        <v>0.97500000000000009</v>
      </c>
      <c r="E107" s="12">
        <f t="shared" si="11"/>
        <v>11.024139064888887</v>
      </c>
      <c r="F107" s="12">
        <f t="shared" si="12"/>
        <v>11.024139064888887</v>
      </c>
      <c r="G107" s="12">
        <f t="shared" si="13"/>
        <v>14.435050808888889</v>
      </c>
      <c r="H107" s="12">
        <f t="shared" si="14"/>
        <v>14.435050808888889</v>
      </c>
      <c r="I107" s="1" t="str">
        <f t="shared" si="15"/>
        <v>No</v>
      </c>
      <c r="J107" s="1" t="str">
        <f t="shared" si="16"/>
        <v>Si</v>
      </c>
      <c r="K107" s="1" t="str">
        <f t="shared" si="17"/>
        <v/>
      </c>
    </row>
    <row r="108" spans="1:11" x14ac:dyDescent="0.3">
      <c r="A108" s="1">
        <v>1</v>
      </c>
      <c r="B108" s="1">
        <v>39</v>
      </c>
      <c r="C108" s="12">
        <f t="shared" si="9"/>
        <v>-1.8</v>
      </c>
      <c r="D108" s="12">
        <f t="shared" si="10"/>
        <v>1.0499999999999998</v>
      </c>
      <c r="E108" s="12">
        <f t="shared" si="11"/>
        <v>11.021650972444442</v>
      </c>
      <c r="F108" s="12">
        <f t="shared" si="12"/>
        <v>11.021650972444442</v>
      </c>
      <c r="G108" s="12">
        <f t="shared" si="13"/>
        <v>14.431546453333333</v>
      </c>
      <c r="H108" s="12">
        <f t="shared" si="14"/>
        <v>14.431546453333333</v>
      </c>
      <c r="I108" s="1" t="str">
        <f t="shared" si="15"/>
        <v>No</v>
      </c>
      <c r="J108" s="1" t="str">
        <f t="shared" si="16"/>
        <v>Si</v>
      </c>
      <c r="K108" s="1" t="str">
        <f t="shared" si="17"/>
        <v/>
      </c>
    </row>
    <row r="109" spans="1:11" x14ac:dyDescent="0.3">
      <c r="A109" s="1">
        <v>1</v>
      </c>
      <c r="B109" s="1">
        <v>40</v>
      </c>
      <c r="C109" s="12">
        <f t="shared" si="9"/>
        <v>-1.8</v>
      </c>
      <c r="D109" s="12">
        <f t="shared" si="10"/>
        <v>1.125</v>
      </c>
      <c r="E109" s="12">
        <f t="shared" si="11"/>
        <v>11.019162879999998</v>
      </c>
      <c r="F109" s="12">
        <f t="shared" si="12"/>
        <v>11.019162879999998</v>
      </c>
      <c r="G109" s="12">
        <f t="shared" si="13"/>
        <v>14.428042097777777</v>
      </c>
      <c r="H109" s="12">
        <f t="shared" si="14"/>
        <v>14.428042097777777</v>
      </c>
      <c r="I109" s="1" t="str">
        <f t="shared" si="15"/>
        <v>No</v>
      </c>
      <c r="J109" s="1" t="str">
        <f t="shared" si="16"/>
        <v>Si</v>
      </c>
      <c r="K109" s="1" t="str">
        <f t="shared" si="17"/>
        <v/>
      </c>
    </row>
    <row r="110" spans="1:11" x14ac:dyDescent="0.3">
      <c r="A110" s="1">
        <v>1</v>
      </c>
      <c r="B110" s="1">
        <v>41</v>
      </c>
      <c r="C110" s="12">
        <f t="shared" si="9"/>
        <v>-1.8</v>
      </c>
      <c r="D110" s="12">
        <f t="shared" si="10"/>
        <v>1.2000000000000002</v>
      </c>
      <c r="E110" s="12">
        <f t="shared" si="11"/>
        <v>11.016674787555553</v>
      </c>
      <c r="F110" s="12">
        <f t="shared" si="12"/>
        <v>11.016674787555553</v>
      </c>
      <c r="G110" s="12">
        <f t="shared" si="13"/>
        <v>14.424537742222222</v>
      </c>
      <c r="H110" s="12">
        <f t="shared" si="14"/>
        <v>14.424537742222222</v>
      </c>
      <c r="I110" s="1" t="str">
        <f t="shared" si="15"/>
        <v>No</v>
      </c>
      <c r="J110" s="1" t="str">
        <f t="shared" si="16"/>
        <v>Si</v>
      </c>
      <c r="K110" s="1" t="str">
        <f t="shared" si="17"/>
        <v/>
      </c>
    </row>
    <row r="111" spans="1:11" x14ac:dyDescent="0.3">
      <c r="A111" s="1">
        <v>1</v>
      </c>
      <c r="B111" s="1">
        <v>42</v>
      </c>
      <c r="C111" s="12">
        <f t="shared" si="9"/>
        <v>-1.8</v>
      </c>
      <c r="D111" s="12">
        <f t="shared" si="10"/>
        <v>1.2749999999999999</v>
      </c>
      <c r="E111" s="12">
        <f t="shared" si="11"/>
        <v>11.014186695111109</v>
      </c>
      <c r="F111" s="12">
        <f t="shared" si="12"/>
        <v>11.014186695111109</v>
      </c>
      <c r="G111" s="12">
        <f t="shared" si="13"/>
        <v>14.421033386666666</v>
      </c>
      <c r="H111" s="12">
        <f t="shared" si="14"/>
        <v>14.421033386666666</v>
      </c>
      <c r="I111" s="1" t="str">
        <f t="shared" si="15"/>
        <v>No</v>
      </c>
      <c r="J111" s="1" t="str">
        <f t="shared" si="16"/>
        <v>Si</v>
      </c>
      <c r="K111" s="1" t="str">
        <f t="shared" si="17"/>
        <v/>
      </c>
    </row>
    <row r="112" spans="1:11" x14ac:dyDescent="0.3">
      <c r="A112" s="1">
        <v>1</v>
      </c>
      <c r="B112" s="1">
        <v>43</v>
      </c>
      <c r="C112" s="12">
        <f t="shared" si="9"/>
        <v>-1.8</v>
      </c>
      <c r="D112" s="12">
        <f t="shared" si="10"/>
        <v>1.35</v>
      </c>
      <c r="E112" s="12">
        <f t="shared" si="11"/>
        <v>11.011698602666664</v>
      </c>
      <c r="F112" s="12">
        <f t="shared" si="12"/>
        <v>11.011698602666664</v>
      </c>
      <c r="G112" s="12">
        <f t="shared" si="13"/>
        <v>14.41752903111111</v>
      </c>
      <c r="H112" s="12">
        <f t="shared" si="14"/>
        <v>14.41752903111111</v>
      </c>
      <c r="I112" s="1" t="str">
        <f t="shared" si="15"/>
        <v>No</v>
      </c>
      <c r="J112" s="1" t="str">
        <f t="shared" si="16"/>
        <v>Si</v>
      </c>
      <c r="K112" s="1" t="str">
        <f t="shared" si="17"/>
        <v/>
      </c>
    </row>
    <row r="113" spans="1:11" x14ac:dyDescent="0.3">
      <c r="A113" s="1">
        <v>1</v>
      </c>
      <c r="B113" s="1">
        <v>44</v>
      </c>
      <c r="C113" s="12">
        <f t="shared" si="9"/>
        <v>-1.8</v>
      </c>
      <c r="D113" s="12">
        <f t="shared" si="10"/>
        <v>1.4249999999999998</v>
      </c>
      <c r="E113" s="12">
        <f t="shared" si="11"/>
        <v>11.009210510222221</v>
      </c>
      <c r="F113" s="12">
        <f t="shared" si="12"/>
        <v>11.009210510222221</v>
      </c>
      <c r="G113" s="12">
        <f t="shared" si="13"/>
        <v>14.414024675555554</v>
      </c>
      <c r="H113" s="12">
        <f t="shared" si="14"/>
        <v>14.414024675555554</v>
      </c>
      <c r="I113" s="1" t="str">
        <f t="shared" si="15"/>
        <v>No</v>
      </c>
      <c r="J113" s="1" t="str">
        <f t="shared" si="16"/>
        <v>Si</v>
      </c>
      <c r="K113" s="1" t="str">
        <f t="shared" si="17"/>
        <v/>
      </c>
    </row>
    <row r="114" spans="1:11" x14ac:dyDescent="0.3">
      <c r="A114" s="1">
        <v>1</v>
      </c>
      <c r="B114" s="1">
        <v>45</v>
      </c>
      <c r="C114" s="12">
        <f t="shared" si="9"/>
        <v>-1.8</v>
      </c>
      <c r="D114" s="12">
        <f t="shared" si="10"/>
        <v>1.5</v>
      </c>
      <c r="E114" s="12">
        <f t="shared" si="11"/>
        <v>11.006722417777777</v>
      </c>
      <c r="F114" s="12">
        <f t="shared" si="12"/>
        <v>11.006722417777777</v>
      </c>
      <c r="G114" s="12">
        <f t="shared" si="13"/>
        <v>14.41052032</v>
      </c>
      <c r="H114" s="12">
        <f t="shared" si="14"/>
        <v>14.41052032</v>
      </c>
      <c r="I114" s="1" t="str">
        <f t="shared" si="15"/>
        <v>No</v>
      </c>
      <c r="J114" s="1" t="str">
        <f t="shared" si="16"/>
        <v>Si</v>
      </c>
      <c r="K114" s="1" t="str">
        <f t="shared" si="17"/>
        <v/>
      </c>
    </row>
    <row r="115" spans="1:11" x14ac:dyDescent="0.3">
      <c r="A115" s="1">
        <v>1</v>
      </c>
      <c r="B115" s="1">
        <v>46</v>
      </c>
      <c r="C115" s="12">
        <f t="shared" si="9"/>
        <v>-1.8</v>
      </c>
      <c r="D115" s="12">
        <f t="shared" si="10"/>
        <v>1.5750000000000002</v>
      </c>
      <c r="E115" s="12">
        <f t="shared" si="11"/>
        <v>11.004234325333332</v>
      </c>
      <c r="F115" s="12">
        <f t="shared" si="12"/>
        <v>11.004234325333332</v>
      </c>
      <c r="G115" s="12">
        <f t="shared" si="13"/>
        <v>14.407015964444444</v>
      </c>
      <c r="H115" s="12">
        <f t="shared" si="14"/>
        <v>14.407015964444444</v>
      </c>
      <c r="I115" s="1" t="str">
        <f t="shared" si="15"/>
        <v>No</v>
      </c>
      <c r="J115" s="1" t="str">
        <f t="shared" si="16"/>
        <v>Si</v>
      </c>
      <c r="K115" s="1" t="str">
        <f t="shared" si="17"/>
        <v/>
      </c>
    </row>
    <row r="116" spans="1:11" x14ac:dyDescent="0.3">
      <c r="A116" s="1">
        <v>1</v>
      </c>
      <c r="B116" s="1">
        <v>47</v>
      </c>
      <c r="C116" s="12">
        <f t="shared" si="9"/>
        <v>-1.8</v>
      </c>
      <c r="D116" s="12">
        <f t="shared" si="10"/>
        <v>1.65</v>
      </c>
      <c r="E116" s="12">
        <f t="shared" si="11"/>
        <v>11.001746232888888</v>
      </c>
      <c r="F116" s="12">
        <f t="shared" si="12"/>
        <v>11.001746232888888</v>
      </c>
      <c r="G116" s="12">
        <f t="shared" si="13"/>
        <v>14.403511608888888</v>
      </c>
      <c r="H116" s="12">
        <f t="shared" si="14"/>
        <v>14.403511608888888</v>
      </c>
      <c r="I116" s="1" t="str">
        <f t="shared" si="15"/>
        <v>No</v>
      </c>
      <c r="J116" s="1" t="str">
        <f t="shared" si="16"/>
        <v>Si</v>
      </c>
      <c r="K116" s="1" t="str">
        <f t="shared" si="17"/>
        <v/>
      </c>
    </row>
    <row r="117" spans="1:11" x14ac:dyDescent="0.3">
      <c r="A117" s="1">
        <v>1</v>
      </c>
      <c r="B117" s="1">
        <v>48</v>
      </c>
      <c r="C117" s="12">
        <f t="shared" si="9"/>
        <v>-1.8</v>
      </c>
      <c r="D117" s="12">
        <f t="shared" si="10"/>
        <v>1.7250000000000001</v>
      </c>
      <c r="E117" s="12">
        <f t="shared" si="11"/>
        <v>10.999258140444443</v>
      </c>
      <c r="F117" s="12">
        <f t="shared" si="12"/>
        <v>10.999258140444443</v>
      </c>
      <c r="G117" s="12">
        <f t="shared" si="13"/>
        <v>14.400007253333333</v>
      </c>
      <c r="H117" s="12">
        <f t="shared" si="14"/>
        <v>14.400007253333333</v>
      </c>
      <c r="I117" s="1" t="str">
        <f t="shared" si="15"/>
        <v>No</v>
      </c>
      <c r="J117" s="1" t="str">
        <f t="shared" si="16"/>
        <v>Si</v>
      </c>
      <c r="K117" s="1" t="str">
        <f t="shared" si="17"/>
        <v/>
      </c>
    </row>
    <row r="118" spans="1:11" x14ac:dyDescent="0.3">
      <c r="A118" s="1">
        <v>1</v>
      </c>
      <c r="B118" s="1">
        <v>49</v>
      </c>
      <c r="C118" s="12">
        <f t="shared" si="9"/>
        <v>-1.8</v>
      </c>
      <c r="D118" s="12">
        <f t="shared" si="10"/>
        <v>1.7999999999999998</v>
      </c>
      <c r="E118" s="12">
        <f t="shared" si="11"/>
        <v>10.996770047999998</v>
      </c>
      <c r="F118" s="12">
        <f t="shared" si="12"/>
        <v>10.996770047999998</v>
      </c>
      <c r="G118" s="12">
        <f t="shared" si="13"/>
        <v>14.396502897777777</v>
      </c>
      <c r="H118" s="12">
        <f t="shared" si="14"/>
        <v>14.396502897777777</v>
      </c>
      <c r="I118" s="1" t="str">
        <f t="shared" si="15"/>
        <v>No</v>
      </c>
      <c r="J118" s="1" t="str">
        <f t="shared" si="16"/>
        <v>Si</v>
      </c>
      <c r="K118" s="1" t="str">
        <f t="shared" si="17"/>
        <v/>
      </c>
    </row>
    <row r="119" spans="1:11" x14ac:dyDescent="0.3">
      <c r="A119" s="1">
        <v>1</v>
      </c>
      <c r="B119" s="1">
        <v>50</v>
      </c>
      <c r="C119" s="12">
        <f t="shared" si="9"/>
        <v>-1.8</v>
      </c>
      <c r="D119" s="12">
        <f t="shared" si="10"/>
        <v>1.875</v>
      </c>
      <c r="E119" s="12">
        <f t="shared" si="11"/>
        <v>10.994281955555554</v>
      </c>
      <c r="F119" s="12">
        <f t="shared" si="12"/>
        <v>10.994281955555554</v>
      </c>
      <c r="G119" s="12">
        <f t="shared" si="13"/>
        <v>14.392998542222221</v>
      </c>
      <c r="H119" s="12">
        <f t="shared" si="14"/>
        <v>14.392998542222221</v>
      </c>
      <c r="I119" s="1" t="str">
        <f t="shared" si="15"/>
        <v>No</v>
      </c>
      <c r="J119" s="1" t="str">
        <f t="shared" si="16"/>
        <v>Si</v>
      </c>
      <c r="K119" s="1" t="str">
        <f t="shared" si="17"/>
        <v/>
      </c>
    </row>
    <row r="120" spans="1:11" x14ac:dyDescent="0.3">
      <c r="A120" s="1">
        <v>2</v>
      </c>
      <c r="B120" s="1">
        <v>0</v>
      </c>
      <c r="C120" s="12">
        <f t="shared" si="9"/>
        <v>-1.7250000000000001</v>
      </c>
      <c r="D120" s="12">
        <f t="shared" si="10"/>
        <v>-1.875</v>
      </c>
      <c r="E120" s="12">
        <f t="shared" si="11"/>
        <v>11.119380622222222</v>
      </c>
      <c r="F120" s="12">
        <f t="shared" si="12"/>
        <v>11.119380622222222</v>
      </c>
      <c r="G120" s="12">
        <f t="shared" si="13"/>
        <v>14.569253973333332</v>
      </c>
      <c r="H120" s="12">
        <f t="shared" si="14"/>
        <v>14.569253973333332</v>
      </c>
      <c r="I120" s="1" t="str">
        <f t="shared" si="15"/>
        <v>No</v>
      </c>
      <c r="J120" s="1" t="str">
        <f t="shared" si="16"/>
        <v>Si</v>
      </c>
      <c r="K120" s="1" t="str">
        <f t="shared" si="17"/>
        <v/>
      </c>
    </row>
    <row r="121" spans="1:11" x14ac:dyDescent="0.3">
      <c r="A121" s="1">
        <v>2</v>
      </c>
      <c r="B121" s="1">
        <v>1</v>
      </c>
      <c r="C121" s="12">
        <f t="shared" si="9"/>
        <v>-1.7250000000000001</v>
      </c>
      <c r="D121" s="12">
        <f t="shared" si="10"/>
        <v>-1.8</v>
      </c>
      <c r="E121" s="12">
        <f t="shared" si="11"/>
        <v>11.116892529777777</v>
      </c>
      <c r="F121" s="12">
        <f t="shared" si="12"/>
        <v>11.116892529777777</v>
      </c>
      <c r="G121" s="12">
        <f t="shared" si="13"/>
        <v>14.565749617777776</v>
      </c>
      <c r="H121" s="12">
        <f t="shared" si="14"/>
        <v>14.565749617777776</v>
      </c>
      <c r="I121" s="1" t="str">
        <f t="shared" si="15"/>
        <v>No</v>
      </c>
      <c r="J121" s="1" t="str">
        <f t="shared" si="16"/>
        <v>Si</v>
      </c>
      <c r="K121" s="1" t="str">
        <f t="shared" si="17"/>
        <v/>
      </c>
    </row>
    <row r="122" spans="1:11" x14ac:dyDescent="0.3">
      <c r="A122" s="1">
        <v>2</v>
      </c>
      <c r="B122" s="1">
        <v>2</v>
      </c>
      <c r="C122" s="12">
        <f t="shared" si="9"/>
        <v>-1.7250000000000001</v>
      </c>
      <c r="D122" s="12">
        <f t="shared" si="10"/>
        <v>-1.7250000000000001</v>
      </c>
      <c r="E122" s="12">
        <f t="shared" si="11"/>
        <v>11.114404437333333</v>
      </c>
      <c r="F122" s="12">
        <f t="shared" si="12"/>
        <v>11.114404437333333</v>
      </c>
      <c r="G122" s="12">
        <f t="shared" si="13"/>
        <v>14.56224526222222</v>
      </c>
      <c r="H122" s="12">
        <f t="shared" si="14"/>
        <v>14.56224526222222</v>
      </c>
      <c r="I122" s="1" t="str">
        <f t="shared" si="15"/>
        <v>No</v>
      </c>
      <c r="J122" s="1" t="str">
        <f t="shared" si="16"/>
        <v>Si</v>
      </c>
      <c r="K122" s="1" t="str">
        <f t="shared" si="17"/>
        <v/>
      </c>
    </row>
    <row r="123" spans="1:11" x14ac:dyDescent="0.3">
      <c r="A123" s="1">
        <v>2</v>
      </c>
      <c r="B123" s="1">
        <v>3</v>
      </c>
      <c r="C123" s="12">
        <f t="shared" si="9"/>
        <v>-1.7250000000000001</v>
      </c>
      <c r="D123" s="12">
        <f t="shared" si="10"/>
        <v>-1.65</v>
      </c>
      <c r="E123" s="12">
        <f t="shared" si="11"/>
        <v>11.111916344888888</v>
      </c>
      <c r="F123" s="12">
        <f t="shared" si="12"/>
        <v>11.111916344888888</v>
      </c>
      <c r="G123" s="12">
        <f t="shared" si="13"/>
        <v>14.558740906666666</v>
      </c>
      <c r="H123" s="12">
        <f t="shared" si="14"/>
        <v>14.558740906666666</v>
      </c>
      <c r="I123" s="1" t="str">
        <f t="shared" si="15"/>
        <v>No</v>
      </c>
      <c r="J123" s="1" t="str">
        <f t="shared" si="16"/>
        <v>Si</v>
      </c>
      <c r="K123" s="1" t="str">
        <f t="shared" si="17"/>
        <v/>
      </c>
    </row>
    <row r="124" spans="1:11" x14ac:dyDescent="0.3">
      <c r="A124" s="1">
        <v>2</v>
      </c>
      <c r="B124" s="1">
        <v>4</v>
      </c>
      <c r="C124" s="12">
        <f t="shared" si="9"/>
        <v>-1.7250000000000001</v>
      </c>
      <c r="D124" s="12">
        <f t="shared" si="10"/>
        <v>-1.575</v>
      </c>
      <c r="E124" s="12">
        <f t="shared" si="11"/>
        <v>11.109428252444443</v>
      </c>
      <c r="F124" s="12">
        <f t="shared" si="12"/>
        <v>11.109428252444443</v>
      </c>
      <c r="G124" s="12">
        <f t="shared" si="13"/>
        <v>14.555236551111109</v>
      </c>
      <c r="H124" s="12">
        <f t="shared" si="14"/>
        <v>14.555236551111109</v>
      </c>
      <c r="I124" s="1" t="str">
        <f t="shared" si="15"/>
        <v>No</v>
      </c>
      <c r="J124" s="1" t="str">
        <f t="shared" si="16"/>
        <v>Si</v>
      </c>
      <c r="K124" s="1" t="str">
        <f t="shared" si="17"/>
        <v/>
      </c>
    </row>
    <row r="125" spans="1:11" x14ac:dyDescent="0.3">
      <c r="A125" s="1">
        <v>2</v>
      </c>
      <c r="B125" s="1">
        <v>5</v>
      </c>
      <c r="C125" s="12">
        <f t="shared" si="9"/>
        <v>-1.7250000000000001</v>
      </c>
      <c r="D125" s="12">
        <f t="shared" si="10"/>
        <v>-1.5</v>
      </c>
      <c r="E125" s="12">
        <f t="shared" si="11"/>
        <v>11.106940159999999</v>
      </c>
      <c r="F125" s="12">
        <f t="shared" si="12"/>
        <v>11.106940159999999</v>
      </c>
      <c r="G125" s="12">
        <f t="shared" si="13"/>
        <v>14.551732195555553</v>
      </c>
      <c r="H125" s="12">
        <f t="shared" si="14"/>
        <v>14.551732195555553</v>
      </c>
      <c r="I125" s="1" t="str">
        <f t="shared" si="15"/>
        <v>No</v>
      </c>
      <c r="J125" s="1" t="str">
        <f t="shared" si="16"/>
        <v>Si</v>
      </c>
      <c r="K125" s="1" t="str">
        <f t="shared" si="17"/>
        <v/>
      </c>
    </row>
    <row r="126" spans="1:11" x14ac:dyDescent="0.3">
      <c r="A126" s="1">
        <v>2</v>
      </c>
      <c r="B126" s="1">
        <v>6</v>
      </c>
      <c r="C126" s="12">
        <f t="shared" si="9"/>
        <v>-1.7250000000000001</v>
      </c>
      <c r="D126" s="12">
        <f t="shared" si="10"/>
        <v>-1.425</v>
      </c>
      <c r="E126" s="12">
        <f t="shared" si="11"/>
        <v>11.104452067555554</v>
      </c>
      <c r="F126" s="12">
        <f t="shared" si="12"/>
        <v>11.104452067555554</v>
      </c>
      <c r="G126" s="12">
        <f t="shared" si="13"/>
        <v>14.548227839999999</v>
      </c>
      <c r="H126" s="12">
        <f t="shared" si="14"/>
        <v>14.548227839999999</v>
      </c>
      <c r="I126" s="1" t="str">
        <f t="shared" si="15"/>
        <v>No</v>
      </c>
      <c r="J126" s="1" t="str">
        <f t="shared" si="16"/>
        <v>Si</v>
      </c>
      <c r="K126" s="1" t="str">
        <f t="shared" si="17"/>
        <v/>
      </c>
    </row>
    <row r="127" spans="1:11" x14ac:dyDescent="0.3">
      <c r="A127" s="1">
        <v>2</v>
      </c>
      <c r="B127" s="1">
        <v>7</v>
      </c>
      <c r="C127" s="12">
        <f t="shared" si="9"/>
        <v>-1.7250000000000001</v>
      </c>
      <c r="D127" s="12">
        <f t="shared" si="10"/>
        <v>-1.35</v>
      </c>
      <c r="E127" s="12">
        <f t="shared" si="11"/>
        <v>11.101963975111111</v>
      </c>
      <c r="F127" s="12">
        <f t="shared" si="12"/>
        <v>11.101963975111111</v>
      </c>
      <c r="G127" s="12">
        <f t="shared" si="13"/>
        <v>14.544723484444443</v>
      </c>
      <c r="H127" s="12">
        <f t="shared" si="14"/>
        <v>14.544723484444443</v>
      </c>
      <c r="I127" s="1" t="str">
        <f t="shared" si="15"/>
        <v>No</v>
      </c>
      <c r="J127" s="1" t="str">
        <f t="shared" si="16"/>
        <v>Si</v>
      </c>
      <c r="K127" s="1" t="str">
        <f t="shared" si="17"/>
        <v/>
      </c>
    </row>
    <row r="128" spans="1:11" x14ac:dyDescent="0.3">
      <c r="A128" s="1">
        <v>2</v>
      </c>
      <c r="B128" s="1">
        <v>8</v>
      </c>
      <c r="C128" s="12">
        <f t="shared" si="9"/>
        <v>-1.7250000000000001</v>
      </c>
      <c r="D128" s="12">
        <f t="shared" si="10"/>
        <v>-1.2749999999999999</v>
      </c>
      <c r="E128" s="12">
        <f t="shared" si="11"/>
        <v>11.099475882666667</v>
      </c>
      <c r="F128" s="12">
        <f t="shared" si="12"/>
        <v>11.099475882666667</v>
      </c>
      <c r="G128" s="12">
        <f t="shared" si="13"/>
        <v>14.541219128888887</v>
      </c>
      <c r="H128" s="12">
        <f t="shared" si="14"/>
        <v>14.541219128888887</v>
      </c>
      <c r="I128" s="1" t="str">
        <f t="shared" si="15"/>
        <v>No</v>
      </c>
      <c r="J128" s="1" t="str">
        <f t="shared" si="16"/>
        <v>Si</v>
      </c>
      <c r="K128" s="1" t="str">
        <f t="shared" si="17"/>
        <v/>
      </c>
    </row>
    <row r="129" spans="1:11" x14ac:dyDescent="0.3">
      <c r="A129" s="1">
        <v>2</v>
      </c>
      <c r="B129" s="1">
        <v>9</v>
      </c>
      <c r="C129" s="12">
        <f t="shared" si="9"/>
        <v>-1.7250000000000001</v>
      </c>
      <c r="D129" s="12">
        <f t="shared" si="10"/>
        <v>-1.2</v>
      </c>
      <c r="E129" s="12">
        <f t="shared" si="11"/>
        <v>11.096987790222222</v>
      </c>
      <c r="F129" s="12">
        <f t="shared" si="12"/>
        <v>11.096987790222222</v>
      </c>
      <c r="G129" s="12">
        <f t="shared" si="13"/>
        <v>14.537714773333331</v>
      </c>
      <c r="H129" s="12">
        <f t="shared" si="14"/>
        <v>14.537714773333331</v>
      </c>
      <c r="I129" s="1" t="str">
        <f t="shared" si="15"/>
        <v>No</v>
      </c>
      <c r="J129" s="1" t="str">
        <f t="shared" si="16"/>
        <v>Si</v>
      </c>
      <c r="K129" s="1" t="str">
        <f t="shared" si="17"/>
        <v/>
      </c>
    </row>
    <row r="130" spans="1:11" x14ac:dyDescent="0.3">
      <c r="A130" s="1">
        <v>2</v>
      </c>
      <c r="B130" s="1">
        <v>10</v>
      </c>
      <c r="C130" s="12">
        <f t="shared" si="9"/>
        <v>-1.7250000000000001</v>
      </c>
      <c r="D130" s="12">
        <f t="shared" si="10"/>
        <v>-1.125</v>
      </c>
      <c r="E130" s="12">
        <f t="shared" si="11"/>
        <v>11.094499697777778</v>
      </c>
      <c r="F130" s="12">
        <f t="shared" si="12"/>
        <v>11.094499697777778</v>
      </c>
      <c r="G130" s="12">
        <f t="shared" si="13"/>
        <v>14.534210417777777</v>
      </c>
      <c r="H130" s="12">
        <f t="shared" si="14"/>
        <v>14.534210417777777</v>
      </c>
      <c r="I130" s="1" t="str">
        <f t="shared" si="15"/>
        <v>No</v>
      </c>
      <c r="J130" s="1" t="str">
        <f t="shared" si="16"/>
        <v>Si</v>
      </c>
      <c r="K130" s="1" t="str">
        <f t="shared" si="17"/>
        <v/>
      </c>
    </row>
    <row r="131" spans="1:11" x14ac:dyDescent="0.3">
      <c r="A131" s="1">
        <v>2</v>
      </c>
      <c r="B131" s="1">
        <v>11</v>
      </c>
      <c r="C131" s="12">
        <f t="shared" si="9"/>
        <v>-1.7250000000000001</v>
      </c>
      <c r="D131" s="12">
        <f t="shared" si="10"/>
        <v>-1.05</v>
      </c>
      <c r="E131" s="12">
        <f t="shared" si="11"/>
        <v>11.092011605333333</v>
      </c>
      <c r="F131" s="12">
        <f t="shared" si="12"/>
        <v>11.092011605333333</v>
      </c>
      <c r="G131" s="12">
        <f t="shared" si="13"/>
        <v>14.530706062222221</v>
      </c>
      <c r="H131" s="12">
        <f t="shared" si="14"/>
        <v>14.530706062222221</v>
      </c>
      <c r="I131" s="1" t="str">
        <f t="shared" si="15"/>
        <v>No</v>
      </c>
      <c r="J131" s="1" t="str">
        <f t="shared" si="16"/>
        <v>Si</v>
      </c>
      <c r="K131" s="1" t="str">
        <f t="shared" si="17"/>
        <v/>
      </c>
    </row>
    <row r="132" spans="1:11" x14ac:dyDescent="0.3">
      <c r="A132" s="1">
        <v>2</v>
      </c>
      <c r="B132" s="1">
        <v>12</v>
      </c>
      <c r="C132" s="12">
        <f t="shared" si="9"/>
        <v>-1.7250000000000001</v>
      </c>
      <c r="D132" s="12">
        <f t="shared" si="10"/>
        <v>-0.97499999999999998</v>
      </c>
      <c r="E132" s="12">
        <f t="shared" si="11"/>
        <v>11.089523512888888</v>
      </c>
      <c r="F132" s="12">
        <f t="shared" si="12"/>
        <v>11.089523512888888</v>
      </c>
      <c r="G132" s="12">
        <f t="shared" si="13"/>
        <v>14.527201706666665</v>
      </c>
      <c r="H132" s="12">
        <f t="shared" si="14"/>
        <v>14.527201706666665</v>
      </c>
      <c r="I132" s="1" t="str">
        <f t="shared" si="15"/>
        <v>No</v>
      </c>
      <c r="J132" s="1" t="str">
        <f t="shared" si="16"/>
        <v>Si</v>
      </c>
      <c r="K132" s="1" t="str">
        <f t="shared" si="17"/>
        <v/>
      </c>
    </row>
    <row r="133" spans="1:11" x14ac:dyDescent="0.3">
      <c r="A133" s="1">
        <v>2</v>
      </c>
      <c r="B133" s="1">
        <v>13</v>
      </c>
      <c r="C133" s="12">
        <f t="shared" si="9"/>
        <v>-1.7250000000000001</v>
      </c>
      <c r="D133" s="12">
        <f t="shared" si="10"/>
        <v>-0.9</v>
      </c>
      <c r="E133" s="12">
        <f t="shared" si="11"/>
        <v>11.087035420444444</v>
      </c>
      <c r="F133" s="12">
        <f t="shared" si="12"/>
        <v>11.087035420444444</v>
      </c>
      <c r="G133" s="12">
        <f t="shared" si="13"/>
        <v>14.52369735111111</v>
      </c>
      <c r="H133" s="12">
        <f t="shared" si="14"/>
        <v>14.52369735111111</v>
      </c>
      <c r="I133" s="1" t="str">
        <f t="shared" si="15"/>
        <v>No</v>
      </c>
      <c r="J133" s="1" t="str">
        <f t="shared" si="16"/>
        <v>Si</v>
      </c>
      <c r="K133" s="1" t="str">
        <f t="shared" si="17"/>
        <v/>
      </c>
    </row>
    <row r="134" spans="1:11" x14ac:dyDescent="0.3">
      <c r="A134" s="1">
        <v>2</v>
      </c>
      <c r="B134" s="1">
        <v>14</v>
      </c>
      <c r="C134" s="12">
        <f t="shared" si="9"/>
        <v>-1.7250000000000001</v>
      </c>
      <c r="D134" s="12">
        <f t="shared" si="10"/>
        <v>-0.82499999999999996</v>
      </c>
      <c r="E134" s="12">
        <f t="shared" si="11"/>
        <v>11.084547327999999</v>
      </c>
      <c r="F134" s="12">
        <f t="shared" si="12"/>
        <v>11.084547327999999</v>
      </c>
      <c r="G134" s="12">
        <f t="shared" si="13"/>
        <v>14.520192995555554</v>
      </c>
      <c r="H134" s="12">
        <f t="shared" si="14"/>
        <v>14.520192995555554</v>
      </c>
      <c r="I134" s="1" t="str">
        <f t="shared" si="15"/>
        <v>No</v>
      </c>
      <c r="J134" s="1" t="str">
        <f t="shared" si="16"/>
        <v>Si</v>
      </c>
      <c r="K134" s="1" t="str">
        <f t="shared" si="17"/>
        <v/>
      </c>
    </row>
    <row r="135" spans="1:11" x14ac:dyDescent="0.3">
      <c r="A135" s="1">
        <v>2</v>
      </c>
      <c r="B135" s="1">
        <v>15</v>
      </c>
      <c r="C135" s="12">
        <f t="shared" si="9"/>
        <v>-1.7250000000000001</v>
      </c>
      <c r="D135" s="12">
        <f t="shared" si="10"/>
        <v>-0.75</v>
      </c>
      <c r="E135" s="12">
        <f t="shared" si="11"/>
        <v>11.082059235555555</v>
      </c>
      <c r="F135" s="12">
        <f t="shared" si="12"/>
        <v>11.082059235555555</v>
      </c>
      <c r="G135" s="12">
        <f t="shared" si="13"/>
        <v>14.516688639999998</v>
      </c>
      <c r="H135" s="12">
        <f t="shared" si="14"/>
        <v>14.516688639999998</v>
      </c>
      <c r="I135" s="1" t="str">
        <f t="shared" si="15"/>
        <v>No</v>
      </c>
      <c r="J135" s="1" t="str">
        <f t="shared" si="16"/>
        <v>Si</v>
      </c>
      <c r="K135" s="1" t="str">
        <f t="shared" si="17"/>
        <v/>
      </c>
    </row>
    <row r="136" spans="1:11" x14ac:dyDescent="0.3">
      <c r="A136" s="1">
        <v>2</v>
      </c>
      <c r="B136" s="1">
        <v>16</v>
      </c>
      <c r="C136" s="12">
        <f t="shared" si="9"/>
        <v>-1.7250000000000001</v>
      </c>
      <c r="D136" s="12">
        <f t="shared" si="10"/>
        <v>-0.67500000000000004</v>
      </c>
      <c r="E136" s="12">
        <f t="shared" si="11"/>
        <v>11.07957114311111</v>
      </c>
      <c r="F136" s="12">
        <f t="shared" si="12"/>
        <v>11.07957114311111</v>
      </c>
      <c r="G136" s="12">
        <f t="shared" si="13"/>
        <v>14.513184284444442</v>
      </c>
      <c r="H136" s="12">
        <f t="shared" si="14"/>
        <v>14.513184284444442</v>
      </c>
      <c r="I136" s="1" t="str">
        <f t="shared" si="15"/>
        <v>No</v>
      </c>
      <c r="J136" s="1" t="str">
        <f t="shared" si="16"/>
        <v>Si</v>
      </c>
      <c r="K136" s="1" t="str">
        <f t="shared" si="17"/>
        <v/>
      </c>
    </row>
    <row r="137" spans="1:11" x14ac:dyDescent="0.3">
      <c r="A137" s="1">
        <v>2</v>
      </c>
      <c r="B137" s="1">
        <v>17</v>
      </c>
      <c r="C137" s="12">
        <f t="shared" si="9"/>
        <v>-1.7250000000000001</v>
      </c>
      <c r="D137" s="12">
        <f t="shared" si="10"/>
        <v>-0.60000000000000009</v>
      </c>
      <c r="E137" s="12">
        <f t="shared" si="11"/>
        <v>11.077083050666666</v>
      </c>
      <c r="F137" s="12">
        <f t="shared" si="12"/>
        <v>11.077083050666666</v>
      </c>
      <c r="G137" s="12">
        <f t="shared" si="13"/>
        <v>14.509679928888888</v>
      </c>
      <c r="H137" s="12">
        <f t="shared" si="14"/>
        <v>14.509679928888888</v>
      </c>
      <c r="I137" s="1" t="str">
        <f t="shared" si="15"/>
        <v>No</v>
      </c>
      <c r="J137" s="1" t="str">
        <f t="shared" si="16"/>
        <v>Si</v>
      </c>
      <c r="K137" s="1" t="str">
        <f t="shared" si="17"/>
        <v/>
      </c>
    </row>
    <row r="138" spans="1:11" x14ac:dyDescent="0.3">
      <c r="A138" s="1">
        <v>2</v>
      </c>
      <c r="B138" s="1">
        <v>18</v>
      </c>
      <c r="C138" s="12">
        <f t="shared" si="9"/>
        <v>-1.7250000000000001</v>
      </c>
      <c r="D138" s="12">
        <f t="shared" si="10"/>
        <v>-0.52499999999999991</v>
      </c>
      <c r="E138" s="12">
        <f t="shared" si="11"/>
        <v>11.074594958222221</v>
      </c>
      <c r="F138" s="12">
        <f t="shared" si="12"/>
        <v>11.074594958222221</v>
      </c>
      <c r="G138" s="12">
        <f t="shared" si="13"/>
        <v>14.506175573333332</v>
      </c>
      <c r="H138" s="12">
        <f t="shared" si="14"/>
        <v>14.506175573333332</v>
      </c>
      <c r="I138" s="1" t="str">
        <f t="shared" si="15"/>
        <v>No</v>
      </c>
      <c r="J138" s="1" t="str">
        <f t="shared" si="16"/>
        <v>Si</v>
      </c>
      <c r="K138" s="1" t="str">
        <f t="shared" si="17"/>
        <v/>
      </c>
    </row>
    <row r="139" spans="1:11" x14ac:dyDescent="0.3">
      <c r="A139" s="1">
        <v>2</v>
      </c>
      <c r="B139" s="1">
        <v>19</v>
      </c>
      <c r="C139" s="12">
        <f t="shared" si="9"/>
        <v>-1.7250000000000001</v>
      </c>
      <c r="D139" s="12">
        <f t="shared" si="10"/>
        <v>-0.44999999999999996</v>
      </c>
      <c r="E139" s="12">
        <f t="shared" si="11"/>
        <v>11.072106865777778</v>
      </c>
      <c r="F139" s="12">
        <f t="shared" si="12"/>
        <v>11.072106865777778</v>
      </c>
      <c r="G139" s="12">
        <f t="shared" si="13"/>
        <v>14.502671217777776</v>
      </c>
      <c r="H139" s="12">
        <f t="shared" si="14"/>
        <v>14.502671217777776</v>
      </c>
      <c r="I139" s="1" t="str">
        <f t="shared" si="15"/>
        <v>No</v>
      </c>
      <c r="J139" s="1" t="str">
        <f t="shared" si="16"/>
        <v>Si</v>
      </c>
      <c r="K139" s="1" t="str">
        <f t="shared" si="17"/>
        <v/>
      </c>
    </row>
    <row r="140" spans="1:11" x14ac:dyDescent="0.3">
      <c r="A140" s="1">
        <v>2</v>
      </c>
      <c r="B140" s="1">
        <v>20</v>
      </c>
      <c r="C140" s="12">
        <f t="shared" si="9"/>
        <v>-1.7250000000000001</v>
      </c>
      <c r="D140" s="12">
        <f t="shared" si="10"/>
        <v>-0.375</v>
      </c>
      <c r="E140" s="12">
        <f t="shared" si="11"/>
        <v>11.069618773333334</v>
      </c>
      <c r="F140" s="12">
        <f t="shared" si="12"/>
        <v>11.069618773333334</v>
      </c>
      <c r="G140" s="12">
        <f t="shared" si="13"/>
        <v>14.499166862222221</v>
      </c>
      <c r="H140" s="12">
        <f t="shared" si="14"/>
        <v>14.499166862222221</v>
      </c>
      <c r="I140" s="1" t="str">
        <f t="shared" si="15"/>
        <v>No</v>
      </c>
      <c r="J140" s="1" t="str">
        <f t="shared" si="16"/>
        <v>Si</v>
      </c>
      <c r="K140" s="1" t="str">
        <f t="shared" si="17"/>
        <v/>
      </c>
    </row>
    <row r="141" spans="1:11" x14ac:dyDescent="0.3">
      <c r="A141" s="1">
        <v>2</v>
      </c>
      <c r="B141" s="1">
        <v>21</v>
      </c>
      <c r="C141" s="12">
        <f t="shared" si="9"/>
        <v>-1.7250000000000001</v>
      </c>
      <c r="D141" s="12">
        <f t="shared" si="10"/>
        <v>-0.30000000000000004</v>
      </c>
      <c r="E141" s="12">
        <f t="shared" si="11"/>
        <v>11.067130680888889</v>
      </c>
      <c r="F141" s="12">
        <f t="shared" si="12"/>
        <v>11.067130680888889</v>
      </c>
      <c r="G141" s="12">
        <f t="shared" si="13"/>
        <v>14.495662506666665</v>
      </c>
      <c r="H141" s="12">
        <f t="shared" si="14"/>
        <v>14.495662506666665</v>
      </c>
      <c r="I141" s="1" t="str">
        <f t="shared" si="15"/>
        <v>No</v>
      </c>
      <c r="J141" s="1" t="str">
        <f t="shared" si="16"/>
        <v>Si</v>
      </c>
      <c r="K141" s="1" t="str">
        <f t="shared" si="17"/>
        <v/>
      </c>
    </row>
    <row r="142" spans="1:11" x14ac:dyDescent="0.3">
      <c r="A142" s="1">
        <v>2</v>
      </c>
      <c r="B142" s="1">
        <v>22</v>
      </c>
      <c r="C142" s="12">
        <f t="shared" si="9"/>
        <v>-1.7250000000000001</v>
      </c>
      <c r="D142" s="12">
        <f t="shared" si="10"/>
        <v>-0.22500000000000009</v>
      </c>
      <c r="E142" s="12">
        <f t="shared" si="11"/>
        <v>11.064642588444444</v>
      </c>
      <c r="F142" s="12">
        <f t="shared" si="12"/>
        <v>11.064642588444444</v>
      </c>
      <c r="G142" s="12">
        <f t="shared" si="13"/>
        <v>14.492158151111109</v>
      </c>
      <c r="H142" s="12">
        <f t="shared" si="14"/>
        <v>14.492158151111109</v>
      </c>
      <c r="I142" s="1" t="str">
        <f t="shared" si="15"/>
        <v>No</v>
      </c>
      <c r="J142" s="1" t="str">
        <f t="shared" si="16"/>
        <v>Si</v>
      </c>
      <c r="K142" s="1" t="str">
        <f t="shared" si="17"/>
        <v/>
      </c>
    </row>
    <row r="143" spans="1:11" x14ac:dyDescent="0.3">
      <c r="A143" s="1">
        <v>2</v>
      </c>
      <c r="B143" s="1">
        <v>23</v>
      </c>
      <c r="C143" s="12">
        <f t="shared" si="9"/>
        <v>-1.7250000000000001</v>
      </c>
      <c r="D143" s="12">
        <f t="shared" si="10"/>
        <v>-0.14999999999999991</v>
      </c>
      <c r="E143" s="12">
        <f t="shared" si="11"/>
        <v>11.062154496</v>
      </c>
      <c r="F143" s="12">
        <f t="shared" si="12"/>
        <v>11.062154496</v>
      </c>
      <c r="G143" s="12">
        <f t="shared" si="13"/>
        <v>14.488653795555553</v>
      </c>
      <c r="H143" s="12">
        <f t="shared" si="14"/>
        <v>14.488653795555553</v>
      </c>
      <c r="I143" s="1" t="str">
        <f t="shared" si="15"/>
        <v>No</v>
      </c>
      <c r="J143" s="1" t="str">
        <f t="shared" si="16"/>
        <v>Si</v>
      </c>
      <c r="K143" s="1" t="str">
        <f t="shared" si="17"/>
        <v/>
      </c>
    </row>
    <row r="144" spans="1:11" x14ac:dyDescent="0.3">
      <c r="A144" s="1">
        <v>2</v>
      </c>
      <c r="B144" s="1">
        <v>24</v>
      </c>
      <c r="C144" s="12">
        <f t="shared" si="9"/>
        <v>-1.7250000000000001</v>
      </c>
      <c r="D144" s="12">
        <f t="shared" si="10"/>
        <v>-7.4999999999999956E-2</v>
      </c>
      <c r="E144" s="12">
        <f t="shared" si="11"/>
        <v>11.059666403555555</v>
      </c>
      <c r="F144" s="12">
        <f t="shared" si="12"/>
        <v>11.059666403555555</v>
      </c>
      <c r="G144" s="12">
        <f t="shared" si="13"/>
        <v>14.485149439999999</v>
      </c>
      <c r="H144" s="12">
        <f t="shared" si="14"/>
        <v>14.485149439999999</v>
      </c>
      <c r="I144" s="1" t="str">
        <f t="shared" si="15"/>
        <v>No</v>
      </c>
      <c r="J144" s="1" t="str">
        <f t="shared" si="16"/>
        <v>Si</v>
      </c>
      <c r="K144" s="1" t="str">
        <f t="shared" si="17"/>
        <v/>
      </c>
    </row>
    <row r="145" spans="1:11" x14ac:dyDescent="0.3">
      <c r="A145" s="1">
        <v>2</v>
      </c>
      <c r="B145" s="1">
        <v>25</v>
      </c>
      <c r="C145" s="12">
        <f t="shared" si="9"/>
        <v>-1.7250000000000001</v>
      </c>
      <c r="D145" s="12">
        <f t="shared" si="10"/>
        <v>0</v>
      </c>
      <c r="E145" s="12">
        <f t="shared" si="11"/>
        <v>11.057178311111111</v>
      </c>
      <c r="F145" s="12">
        <f t="shared" si="12"/>
        <v>11.057178311111111</v>
      </c>
      <c r="G145" s="12">
        <f t="shared" si="13"/>
        <v>14.481645084444443</v>
      </c>
      <c r="H145" s="12">
        <f t="shared" si="14"/>
        <v>14.481645084444443</v>
      </c>
      <c r="I145" s="1" t="str">
        <f t="shared" si="15"/>
        <v>No</v>
      </c>
      <c r="J145" s="1" t="str">
        <f t="shared" si="16"/>
        <v>Si</v>
      </c>
      <c r="K145" s="1" t="str">
        <f t="shared" si="17"/>
        <v/>
      </c>
    </row>
    <row r="146" spans="1:11" x14ac:dyDescent="0.3">
      <c r="A146" s="1">
        <v>2</v>
      </c>
      <c r="B146" s="1">
        <v>26</v>
      </c>
      <c r="C146" s="12">
        <f t="shared" ref="C146:C209" si="18">IF(OR(A146&gt;inp_n_div_x,B146&gt;inp_n_div_y),"",-inp_bx/2+A146*inp_bx/inp_n_div_x)</f>
        <v>-1.7250000000000001</v>
      </c>
      <c r="D146" s="12">
        <f t="shared" ref="D146:D209" si="19">IF(C146="","",-inp_by/2+B146*inp_by/inp_n_div_y)</f>
        <v>7.4999999999999956E-2</v>
      </c>
      <c r="E146" s="12">
        <f t="shared" ref="E146:E209" si="20">IF(C146="","",res_srv_p_tot/geo_area+res_srv_mx_tot/geo_ix*D146+res_srv_my_tot/geo_iy*C146)</f>
        <v>11.054690218666666</v>
      </c>
      <c r="F146" s="12">
        <f t="shared" ref="F146:F209" si="21">IF(E146="","",MAX(0,E146))</f>
        <v>11.054690218666666</v>
      </c>
      <c r="G146" s="12">
        <f t="shared" ref="G146:G209" si="22">IF(C146="","",res_u_p_tot/geo_area+res_u_mx_tot/geo_ix*D146+res_u_my_tot/geo_iy*C146)</f>
        <v>14.478140728888887</v>
      </c>
      <c r="H146" s="12">
        <f t="shared" ref="H146:H209" si="23">IF(G146="","",MAX(0,G146))</f>
        <v>14.478140728888887</v>
      </c>
      <c r="I146" s="1" t="str">
        <f t="shared" ref="I146:I209" si="24">IF(C146="","",IF(AND(C146&gt;=inp_xc-inp_cx/2,C146&lt;=inp_xc+inp_cx/2,D146&gt;=inp_yc-inp_cy/2,D146&lt;=inp_yc+inp_cy/2),"Si","No"))</f>
        <v>No</v>
      </c>
      <c r="J146" s="1" t="str">
        <f t="shared" ref="J146:J209" si="25">IF(C146="","","Si")</f>
        <v>Si</v>
      </c>
      <c r="K146" s="1" t="str">
        <f t="shared" ref="K146:K209" si="26">IF(OR(E146&lt;0,G146&lt;0),"Presion negativa","")</f>
        <v/>
      </c>
    </row>
    <row r="147" spans="1:11" x14ac:dyDescent="0.3">
      <c r="A147" s="1">
        <v>2</v>
      </c>
      <c r="B147" s="1">
        <v>27</v>
      </c>
      <c r="C147" s="12">
        <f t="shared" si="18"/>
        <v>-1.7250000000000001</v>
      </c>
      <c r="D147" s="12">
        <f t="shared" si="19"/>
        <v>0.14999999999999991</v>
      </c>
      <c r="E147" s="12">
        <f t="shared" si="20"/>
        <v>11.052202126222221</v>
      </c>
      <c r="F147" s="12">
        <f t="shared" si="21"/>
        <v>11.052202126222221</v>
      </c>
      <c r="G147" s="12">
        <f t="shared" si="22"/>
        <v>14.474636373333333</v>
      </c>
      <c r="H147" s="12">
        <f t="shared" si="23"/>
        <v>14.474636373333333</v>
      </c>
      <c r="I147" s="1" t="str">
        <f t="shared" si="24"/>
        <v>No</v>
      </c>
      <c r="J147" s="1" t="str">
        <f t="shared" si="25"/>
        <v>Si</v>
      </c>
      <c r="K147" s="1" t="str">
        <f t="shared" si="26"/>
        <v/>
      </c>
    </row>
    <row r="148" spans="1:11" x14ac:dyDescent="0.3">
      <c r="A148" s="1">
        <v>2</v>
      </c>
      <c r="B148" s="1">
        <v>28</v>
      </c>
      <c r="C148" s="12">
        <f t="shared" si="18"/>
        <v>-1.7250000000000001</v>
      </c>
      <c r="D148" s="12">
        <f t="shared" si="19"/>
        <v>0.22500000000000009</v>
      </c>
      <c r="E148" s="12">
        <f t="shared" si="20"/>
        <v>11.049714033777777</v>
      </c>
      <c r="F148" s="12">
        <f t="shared" si="21"/>
        <v>11.049714033777777</v>
      </c>
      <c r="G148" s="12">
        <f t="shared" si="22"/>
        <v>14.471132017777776</v>
      </c>
      <c r="H148" s="12">
        <f t="shared" si="23"/>
        <v>14.471132017777776</v>
      </c>
      <c r="I148" s="1" t="str">
        <f t="shared" si="24"/>
        <v>No</v>
      </c>
      <c r="J148" s="1" t="str">
        <f t="shared" si="25"/>
        <v>Si</v>
      </c>
      <c r="K148" s="1" t="str">
        <f t="shared" si="26"/>
        <v/>
      </c>
    </row>
    <row r="149" spans="1:11" x14ac:dyDescent="0.3">
      <c r="A149" s="1">
        <v>2</v>
      </c>
      <c r="B149" s="1">
        <v>29</v>
      </c>
      <c r="C149" s="12">
        <f t="shared" si="18"/>
        <v>-1.7250000000000001</v>
      </c>
      <c r="D149" s="12">
        <f t="shared" si="19"/>
        <v>0.29999999999999982</v>
      </c>
      <c r="E149" s="12">
        <f t="shared" si="20"/>
        <v>11.047225941333332</v>
      </c>
      <c r="F149" s="12">
        <f t="shared" si="21"/>
        <v>11.047225941333332</v>
      </c>
      <c r="G149" s="12">
        <f t="shared" si="22"/>
        <v>14.46762766222222</v>
      </c>
      <c r="H149" s="12">
        <f t="shared" si="23"/>
        <v>14.46762766222222</v>
      </c>
      <c r="I149" s="1" t="str">
        <f t="shared" si="24"/>
        <v>No</v>
      </c>
      <c r="J149" s="1" t="str">
        <f t="shared" si="25"/>
        <v>Si</v>
      </c>
      <c r="K149" s="1" t="str">
        <f t="shared" si="26"/>
        <v/>
      </c>
    </row>
    <row r="150" spans="1:11" x14ac:dyDescent="0.3">
      <c r="A150" s="1">
        <v>2</v>
      </c>
      <c r="B150" s="1">
        <v>30</v>
      </c>
      <c r="C150" s="12">
        <f t="shared" si="18"/>
        <v>-1.7250000000000001</v>
      </c>
      <c r="D150" s="12">
        <f t="shared" si="19"/>
        <v>0.375</v>
      </c>
      <c r="E150" s="12">
        <f t="shared" si="20"/>
        <v>11.044737848888888</v>
      </c>
      <c r="F150" s="12">
        <f t="shared" si="21"/>
        <v>11.044737848888888</v>
      </c>
      <c r="G150" s="12">
        <f t="shared" si="22"/>
        <v>14.464123306666664</v>
      </c>
      <c r="H150" s="12">
        <f t="shared" si="23"/>
        <v>14.464123306666664</v>
      </c>
      <c r="I150" s="1" t="str">
        <f t="shared" si="24"/>
        <v>No</v>
      </c>
      <c r="J150" s="1" t="str">
        <f t="shared" si="25"/>
        <v>Si</v>
      </c>
      <c r="K150" s="1" t="str">
        <f t="shared" si="26"/>
        <v/>
      </c>
    </row>
    <row r="151" spans="1:11" x14ac:dyDescent="0.3">
      <c r="A151" s="1">
        <v>2</v>
      </c>
      <c r="B151" s="1">
        <v>31</v>
      </c>
      <c r="C151" s="12">
        <f t="shared" si="18"/>
        <v>-1.7250000000000001</v>
      </c>
      <c r="D151" s="12">
        <f t="shared" si="19"/>
        <v>0.45000000000000018</v>
      </c>
      <c r="E151" s="12">
        <f t="shared" si="20"/>
        <v>11.042249756444443</v>
      </c>
      <c r="F151" s="12">
        <f t="shared" si="21"/>
        <v>11.042249756444443</v>
      </c>
      <c r="G151" s="12">
        <f t="shared" si="22"/>
        <v>14.46061895111111</v>
      </c>
      <c r="H151" s="12">
        <f t="shared" si="23"/>
        <v>14.46061895111111</v>
      </c>
      <c r="I151" s="1" t="str">
        <f t="shared" si="24"/>
        <v>No</v>
      </c>
      <c r="J151" s="1" t="str">
        <f t="shared" si="25"/>
        <v>Si</v>
      </c>
      <c r="K151" s="1" t="str">
        <f t="shared" si="26"/>
        <v/>
      </c>
    </row>
    <row r="152" spans="1:11" x14ac:dyDescent="0.3">
      <c r="A152" s="1">
        <v>2</v>
      </c>
      <c r="B152" s="1">
        <v>32</v>
      </c>
      <c r="C152" s="12">
        <f t="shared" si="18"/>
        <v>-1.7250000000000001</v>
      </c>
      <c r="D152" s="12">
        <f t="shared" si="19"/>
        <v>0.52499999999999991</v>
      </c>
      <c r="E152" s="12">
        <f t="shared" si="20"/>
        <v>11.039761664</v>
      </c>
      <c r="F152" s="12">
        <f t="shared" si="21"/>
        <v>11.039761664</v>
      </c>
      <c r="G152" s="12">
        <f t="shared" si="22"/>
        <v>14.457114595555554</v>
      </c>
      <c r="H152" s="12">
        <f t="shared" si="23"/>
        <v>14.457114595555554</v>
      </c>
      <c r="I152" s="1" t="str">
        <f t="shared" si="24"/>
        <v>No</v>
      </c>
      <c r="J152" s="1" t="str">
        <f t="shared" si="25"/>
        <v>Si</v>
      </c>
      <c r="K152" s="1" t="str">
        <f t="shared" si="26"/>
        <v/>
      </c>
    </row>
    <row r="153" spans="1:11" x14ac:dyDescent="0.3">
      <c r="A153" s="1">
        <v>2</v>
      </c>
      <c r="B153" s="1">
        <v>33</v>
      </c>
      <c r="C153" s="12">
        <f t="shared" si="18"/>
        <v>-1.7250000000000001</v>
      </c>
      <c r="D153" s="12">
        <f t="shared" si="19"/>
        <v>0.60000000000000009</v>
      </c>
      <c r="E153" s="12">
        <f t="shared" si="20"/>
        <v>11.037273571555556</v>
      </c>
      <c r="F153" s="12">
        <f t="shared" si="21"/>
        <v>11.037273571555556</v>
      </c>
      <c r="G153" s="12">
        <f t="shared" si="22"/>
        <v>14.453610239999998</v>
      </c>
      <c r="H153" s="12">
        <f t="shared" si="23"/>
        <v>14.453610239999998</v>
      </c>
      <c r="I153" s="1" t="str">
        <f t="shared" si="24"/>
        <v>No</v>
      </c>
      <c r="J153" s="1" t="str">
        <f t="shared" si="25"/>
        <v>Si</v>
      </c>
      <c r="K153" s="1" t="str">
        <f t="shared" si="26"/>
        <v/>
      </c>
    </row>
    <row r="154" spans="1:11" x14ac:dyDescent="0.3">
      <c r="A154" s="1">
        <v>2</v>
      </c>
      <c r="B154" s="1">
        <v>34</v>
      </c>
      <c r="C154" s="12">
        <f t="shared" si="18"/>
        <v>-1.7250000000000001</v>
      </c>
      <c r="D154" s="12">
        <f t="shared" si="19"/>
        <v>0.67499999999999982</v>
      </c>
      <c r="E154" s="12">
        <f t="shared" si="20"/>
        <v>11.034785479111111</v>
      </c>
      <c r="F154" s="12">
        <f t="shared" si="21"/>
        <v>11.034785479111111</v>
      </c>
      <c r="G154" s="12">
        <f t="shared" si="22"/>
        <v>14.450105884444444</v>
      </c>
      <c r="H154" s="12">
        <f t="shared" si="23"/>
        <v>14.450105884444444</v>
      </c>
      <c r="I154" s="1" t="str">
        <f t="shared" si="24"/>
        <v>No</v>
      </c>
      <c r="J154" s="1" t="str">
        <f t="shared" si="25"/>
        <v>Si</v>
      </c>
      <c r="K154" s="1" t="str">
        <f t="shared" si="26"/>
        <v/>
      </c>
    </row>
    <row r="155" spans="1:11" x14ac:dyDescent="0.3">
      <c r="A155" s="1">
        <v>2</v>
      </c>
      <c r="B155" s="1">
        <v>35</v>
      </c>
      <c r="C155" s="12">
        <f t="shared" si="18"/>
        <v>-1.7250000000000001</v>
      </c>
      <c r="D155" s="12">
        <f t="shared" si="19"/>
        <v>0.75</v>
      </c>
      <c r="E155" s="12">
        <f t="shared" si="20"/>
        <v>11.032297386666666</v>
      </c>
      <c r="F155" s="12">
        <f t="shared" si="21"/>
        <v>11.032297386666666</v>
      </c>
      <c r="G155" s="12">
        <f t="shared" si="22"/>
        <v>14.446601528888888</v>
      </c>
      <c r="H155" s="12">
        <f t="shared" si="23"/>
        <v>14.446601528888888</v>
      </c>
      <c r="I155" s="1" t="str">
        <f t="shared" si="24"/>
        <v>No</v>
      </c>
      <c r="J155" s="1" t="str">
        <f t="shared" si="25"/>
        <v>Si</v>
      </c>
      <c r="K155" s="1" t="str">
        <f t="shared" si="26"/>
        <v/>
      </c>
    </row>
    <row r="156" spans="1:11" x14ac:dyDescent="0.3">
      <c r="A156" s="1">
        <v>2</v>
      </c>
      <c r="B156" s="1">
        <v>36</v>
      </c>
      <c r="C156" s="12">
        <f t="shared" si="18"/>
        <v>-1.7250000000000001</v>
      </c>
      <c r="D156" s="12">
        <f t="shared" si="19"/>
        <v>0.82500000000000018</v>
      </c>
      <c r="E156" s="12">
        <f t="shared" si="20"/>
        <v>11.029809294222222</v>
      </c>
      <c r="F156" s="12">
        <f t="shared" si="21"/>
        <v>11.029809294222222</v>
      </c>
      <c r="G156" s="12">
        <f t="shared" si="22"/>
        <v>14.443097173333332</v>
      </c>
      <c r="H156" s="12">
        <f t="shared" si="23"/>
        <v>14.443097173333332</v>
      </c>
      <c r="I156" s="1" t="str">
        <f t="shared" si="24"/>
        <v>No</v>
      </c>
      <c r="J156" s="1" t="str">
        <f t="shared" si="25"/>
        <v>Si</v>
      </c>
      <c r="K156" s="1" t="str">
        <f t="shared" si="26"/>
        <v/>
      </c>
    </row>
    <row r="157" spans="1:11" x14ac:dyDescent="0.3">
      <c r="A157" s="1">
        <v>2</v>
      </c>
      <c r="B157" s="1">
        <v>37</v>
      </c>
      <c r="C157" s="12">
        <f t="shared" si="18"/>
        <v>-1.7250000000000001</v>
      </c>
      <c r="D157" s="12">
        <f t="shared" si="19"/>
        <v>0.89999999999999991</v>
      </c>
      <c r="E157" s="12">
        <f t="shared" si="20"/>
        <v>11.027321201777777</v>
      </c>
      <c r="F157" s="12">
        <f t="shared" si="21"/>
        <v>11.027321201777777</v>
      </c>
      <c r="G157" s="12">
        <f t="shared" si="22"/>
        <v>14.439592817777775</v>
      </c>
      <c r="H157" s="12">
        <f t="shared" si="23"/>
        <v>14.439592817777775</v>
      </c>
      <c r="I157" s="1" t="str">
        <f t="shared" si="24"/>
        <v>No</v>
      </c>
      <c r="J157" s="1" t="str">
        <f t="shared" si="25"/>
        <v>Si</v>
      </c>
      <c r="K157" s="1" t="str">
        <f t="shared" si="26"/>
        <v/>
      </c>
    </row>
    <row r="158" spans="1:11" x14ac:dyDescent="0.3">
      <c r="A158" s="1">
        <v>2</v>
      </c>
      <c r="B158" s="1">
        <v>38</v>
      </c>
      <c r="C158" s="12">
        <f t="shared" si="18"/>
        <v>-1.7250000000000001</v>
      </c>
      <c r="D158" s="12">
        <f t="shared" si="19"/>
        <v>0.97500000000000009</v>
      </c>
      <c r="E158" s="12">
        <f t="shared" si="20"/>
        <v>11.024833109333333</v>
      </c>
      <c r="F158" s="12">
        <f t="shared" si="21"/>
        <v>11.024833109333333</v>
      </c>
      <c r="G158" s="12">
        <f t="shared" si="22"/>
        <v>14.436088462222221</v>
      </c>
      <c r="H158" s="12">
        <f t="shared" si="23"/>
        <v>14.436088462222221</v>
      </c>
      <c r="I158" s="1" t="str">
        <f t="shared" si="24"/>
        <v>No</v>
      </c>
      <c r="J158" s="1" t="str">
        <f t="shared" si="25"/>
        <v>Si</v>
      </c>
      <c r="K158" s="1" t="str">
        <f t="shared" si="26"/>
        <v/>
      </c>
    </row>
    <row r="159" spans="1:11" x14ac:dyDescent="0.3">
      <c r="A159" s="1">
        <v>2</v>
      </c>
      <c r="B159" s="1">
        <v>39</v>
      </c>
      <c r="C159" s="12">
        <f t="shared" si="18"/>
        <v>-1.7250000000000001</v>
      </c>
      <c r="D159" s="12">
        <f t="shared" si="19"/>
        <v>1.0499999999999998</v>
      </c>
      <c r="E159" s="12">
        <f t="shared" si="20"/>
        <v>11.022345016888888</v>
      </c>
      <c r="F159" s="12">
        <f t="shared" si="21"/>
        <v>11.022345016888888</v>
      </c>
      <c r="G159" s="12">
        <f t="shared" si="22"/>
        <v>14.432584106666665</v>
      </c>
      <c r="H159" s="12">
        <f t="shared" si="23"/>
        <v>14.432584106666665</v>
      </c>
      <c r="I159" s="1" t="str">
        <f t="shared" si="24"/>
        <v>No</v>
      </c>
      <c r="J159" s="1" t="str">
        <f t="shared" si="25"/>
        <v>Si</v>
      </c>
      <c r="K159" s="1" t="str">
        <f t="shared" si="26"/>
        <v/>
      </c>
    </row>
    <row r="160" spans="1:11" x14ac:dyDescent="0.3">
      <c r="A160" s="1">
        <v>2</v>
      </c>
      <c r="B160" s="1">
        <v>40</v>
      </c>
      <c r="C160" s="12">
        <f t="shared" si="18"/>
        <v>-1.7250000000000001</v>
      </c>
      <c r="D160" s="12">
        <f t="shared" si="19"/>
        <v>1.125</v>
      </c>
      <c r="E160" s="12">
        <f t="shared" si="20"/>
        <v>11.019856924444444</v>
      </c>
      <c r="F160" s="12">
        <f t="shared" si="21"/>
        <v>11.019856924444444</v>
      </c>
      <c r="G160" s="12">
        <f t="shared" si="22"/>
        <v>14.429079751111109</v>
      </c>
      <c r="H160" s="12">
        <f t="shared" si="23"/>
        <v>14.429079751111109</v>
      </c>
      <c r="I160" s="1" t="str">
        <f t="shared" si="24"/>
        <v>No</v>
      </c>
      <c r="J160" s="1" t="str">
        <f t="shared" si="25"/>
        <v>Si</v>
      </c>
      <c r="K160" s="1" t="str">
        <f t="shared" si="26"/>
        <v/>
      </c>
    </row>
    <row r="161" spans="1:11" x14ac:dyDescent="0.3">
      <c r="A161" s="1">
        <v>2</v>
      </c>
      <c r="B161" s="1">
        <v>41</v>
      </c>
      <c r="C161" s="12">
        <f t="shared" si="18"/>
        <v>-1.7250000000000001</v>
      </c>
      <c r="D161" s="12">
        <f t="shared" si="19"/>
        <v>1.2000000000000002</v>
      </c>
      <c r="E161" s="12">
        <f t="shared" si="20"/>
        <v>11.017368831999999</v>
      </c>
      <c r="F161" s="12">
        <f t="shared" si="21"/>
        <v>11.017368831999999</v>
      </c>
      <c r="G161" s="12">
        <f t="shared" si="22"/>
        <v>14.425575395555555</v>
      </c>
      <c r="H161" s="12">
        <f t="shared" si="23"/>
        <v>14.425575395555555</v>
      </c>
      <c r="I161" s="1" t="str">
        <f t="shared" si="24"/>
        <v>No</v>
      </c>
      <c r="J161" s="1" t="str">
        <f t="shared" si="25"/>
        <v>Si</v>
      </c>
      <c r="K161" s="1" t="str">
        <f t="shared" si="26"/>
        <v/>
      </c>
    </row>
    <row r="162" spans="1:11" x14ac:dyDescent="0.3">
      <c r="A162" s="1">
        <v>2</v>
      </c>
      <c r="B162" s="1">
        <v>42</v>
      </c>
      <c r="C162" s="12">
        <f t="shared" si="18"/>
        <v>-1.7250000000000001</v>
      </c>
      <c r="D162" s="12">
        <f t="shared" si="19"/>
        <v>1.2749999999999999</v>
      </c>
      <c r="E162" s="12">
        <f t="shared" si="20"/>
        <v>11.014880739555554</v>
      </c>
      <c r="F162" s="12">
        <f t="shared" si="21"/>
        <v>11.014880739555554</v>
      </c>
      <c r="G162" s="12">
        <f t="shared" si="22"/>
        <v>14.422071039999999</v>
      </c>
      <c r="H162" s="12">
        <f t="shared" si="23"/>
        <v>14.422071039999999</v>
      </c>
      <c r="I162" s="1" t="str">
        <f t="shared" si="24"/>
        <v>No</v>
      </c>
      <c r="J162" s="1" t="str">
        <f t="shared" si="25"/>
        <v>Si</v>
      </c>
      <c r="K162" s="1" t="str">
        <f t="shared" si="26"/>
        <v/>
      </c>
    </row>
    <row r="163" spans="1:11" x14ac:dyDescent="0.3">
      <c r="A163" s="1">
        <v>2</v>
      </c>
      <c r="B163" s="1">
        <v>43</v>
      </c>
      <c r="C163" s="12">
        <f t="shared" si="18"/>
        <v>-1.7250000000000001</v>
      </c>
      <c r="D163" s="12">
        <f t="shared" si="19"/>
        <v>1.35</v>
      </c>
      <c r="E163" s="12">
        <f t="shared" si="20"/>
        <v>11.01239264711111</v>
      </c>
      <c r="F163" s="12">
        <f t="shared" si="21"/>
        <v>11.01239264711111</v>
      </c>
      <c r="G163" s="12">
        <f t="shared" si="22"/>
        <v>14.418566684444443</v>
      </c>
      <c r="H163" s="12">
        <f t="shared" si="23"/>
        <v>14.418566684444443</v>
      </c>
      <c r="I163" s="1" t="str">
        <f t="shared" si="24"/>
        <v>No</v>
      </c>
      <c r="J163" s="1" t="str">
        <f t="shared" si="25"/>
        <v>Si</v>
      </c>
      <c r="K163" s="1" t="str">
        <f t="shared" si="26"/>
        <v/>
      </c>
    </row>
    <row r="164" spans="1:11" x14ac:dyDescent="0.3">
      <c r="A164" s="1">
        <v>2</v>
      </c>
      <c r="B164" s="1">
        <v>44</v>
      </c>
      <c r="C164" s="12">
        <f t="shared" si="18"/>
        <v>-1.7250000000000001</v>
      </c>
      <c r="D164" s="12">
        <f t="shared" si="19"/>
        <v>1.4249999999999998</v>
      </c>
      <c r="E164" s="12">
        <f t="shared" si="20"/>
        <v>11.009904554666667</v>
      </c>
      <c r="F164" s="12">
        <f t="shared" si="21"/>
        <v>11.009904554666667</v>
      </c>
      <c r="G164" s="12">
        <f t="shared" si="22"/>
        <v>14.415062328888887</v>
      </c>
      <c r="H164" s="12">
        <f t="shared" si="23"/>
        <v>14.415062328888887</v>
      </c>
      <c r="I164" s="1" t="str">
        <f t="shared" si="24"/>
        <v>No</v>
      </c>
      <c r="J164" s="1" t="str">
        <f t="shared" si="25"/>
        <v>Si</v>
      </c>
      <c r="K164" s="1" t="str">
        <f t="shared" si="26"/>
        <v/>
      </c>
    </row>
    <row r="165" spans="1:11" x14ac:dyDescent="0.3">
      <c r="A165" s="1">
        <v>2</v>
      </c>
      <c r="B165" s="1">
        <v>45</v>
      </c>
      <c r="C165" s="12">
        <f t="shared" si="18"/>
        <v>-1.7250000000000001</v>
      </c>
      <c r="D165" s="12">
        <f t="shared" si="19"/>
        <v>1.5</v>
      </c>
      <c r="E165" s="12">
        <f t="shared" si="20"/>
        <v>11.007416462222222</v>
      </c>
      <c r="F165" s="12">
        <f t="shared" si="21"/>
        <v>11.007416462222222</v>
      </c>
      <c r="G165" s="12">
        <f t="shared" si="22"/>
        <v>14.411557973333332</v>
      </c>
      <c r="H165" s="12">
        <f t="shared" si="23"/>
        <v>14.411557973333332</v>
      </c>
      <c r="I165" s="1" t="str">
        <f t="shared" si="24"/>
        <v>No</v>
      </c>
      <c r="J165" s="1" t="str">
        <f t="shared" si="25"/>
        <v>Si</v>
      </c>
      <c r="K165" s="1" t="str">
        <f t="shared" si="26"/>
        <v/>
      </c>
    </row>
    <row r="166" spans="1:11" x14ac:dyDescent="0.3">
      <c r="A166" s="1">
        <v>2</v>
      </c>
      <c r="B166" s="1">
        <v>46</v>
      </c>
      <c r="C166" s="12">
        <f t="shared" si="18"/>
        <v>-1.7250000000000001</v>
      </c>
      <c r="D166" s="12">
        <f t="shared" si="19"/>
        <v>1.5750000000000002</v>
      </c>
      <c r="E166" s="12">
        <f t="shared" si="20"/>
        <v>11.004928369777778</v>
      </c>
      <c r="F166" s="12">
        <f t="shared" si="21"/>
        <v>11.004928369777778</v>
      </c>
      <c r="G166" s="12">
        <f t="shared" si="22"/>
        <v>14.408053617777776</v>
      </c>
      <c r="H166" s="12">
        <f t="shared" si="23"/>
        <v>14.408053617777776</v>
      </c>
      <c r="I166" s="1" t="str">
        <f t="shared" si="24"/>
        <v>No</v>
      </c>
      <c r="J166" s="1" t="str">
        <f t="shared" si="25"/>
        <v>Si</v>
      </c>
      <c r="K166" s="1" t="str">
        <f t="shared" si="26"/>
        <v/>
      </c>
    </row>
    <row r="167" spans="1:11" x14ac:dyDescent="0.3">
      <c r="A167" s="1">
        <v>2</v>
      </c>
      <c r="B167" s="1">
        <v>47</v>
      </c>
      <c r="C167" s="12">
        <f t="shared" si="18"/>
        <v>-1.7250000000000001</v>
      </c>
      <c r="D167" s="12">
        <f t="shared" si="19"/>
        <v>1.65</v>
      </c>
      <c r="E167" s="12">
        <f t="shared" si="20"/>
        <v>11.002440277333333</v>
      </c>
      <c r="F167" s="12">
        <f t="shared" si="21"/>
        <v>11.002440277333333</v>
      </c>
      <c r="G167" s="12">
        <f t="shared" si="22"/>
        <v>14.40454926222222</v>
      </c>
      <c r="H167" s="12">
        <f t="shared" si="23"/>
        <v>14.40454926222222</v>
      </c>
      <c r="I167" s="1" t="str">
        <f t="shared" si="24"/>
        <v>No</v>
      </c>
      <c r="J167" s="1" t="str">
        <f t="shared" si="25"/>
        <v>Si</v>
      </c>
      <c r="K167" s="1" t="str">
        <f t="shared" si="26"/>
        <v/>
      </c>
    </row>
    <row r="168" spans="1:11" x14ac:dyDescent="0.3">
      <c r="A168" s="1">
        <v>2</v>
      </c>
      <c r="B168" s="1">
        <v>48</v>
      </c>
      <c r="C168" s="12">
        <f t="shared" si="18"/>
        <v>-1.7250000000000001</v>
      </c>
      <c r="D168" s="12">
        <f t="shared" si="19"/>
        <v>1.7250000000000001</v>
      </c>
      <c r="E168" s="12">
        <f t="shared" si="20"/>
        <v>10.999952184888889</v>
      </c>
      <c r="F168" s="12">
        <f t="shared" si="21"/>
        <v>10.999952184888889</v>
      </c>
      <c r="G168" s="12">
        <f t="shared" si="22"/>
        <v>14.401044906666666</v>
      </c>
      <c r="H168" s="12">
        <f t="shared" si="23"/>
        <v>14.401044906666666</v>
      </c>
      <c r="I168" s="1" t="str">
        <f t="shared" si="24"/>
        <v>No</v>
      </c>
      <c r="J168" s="1" t="str">
        <f t="shared" si="25"/>
        <v>Si</v>
      </c>
      <c r="K168" s="1" t="str">
        <f t="shared" si="26"/>
        <v/>
      </c>
    </row>
    <row r="169" spans="1:11" x14ac:dyDescent="0.3">
      <c r="A169" s="1">
        <v>2</v>
      </c>
      <c r="B169" s="1">
        <v>49</v>
      </c>
      <c r="C169" s="12">
        <f t="shared" si="18"/>
        <v>-1.7250000000000001</v>
      </c>
      <c r="D169" s="12">
        <f t="shared" si="19"/>
        <v>1.7999999999999998</v>
      </c>
      <c r="E169" s="12">
        <f t="shared" si="20"/>
        <v>10.997464092444444</v>
      </c>
      <c r="F169" s="12">
        <f t="shared" si="21"/>
        <v>10.997464092444444</v>
      </c>
      <c r="G169" s="12">
        <f t="shared" si="22"/>
        <v>14.39754055111111</v>
      </c>
      <c r="H169" s="12">
        <f t="shared" si="23"/>
        <v>14.39754055111111</v>
      </c>
      <c r="I169" s="1" t="str">
        <f t="shared" si="24"/>
        <v>No</v>
      </c>
      <c r="J169" s="1" t="str">
        <f t="shared" si="25"/>
        <v>Si</v>
      </c>
      <c r="K169" s="1" t="str">
        <f t="shared" si="26"/>
        <v/>
      </c>
    </row>
    <row r="170" spans="1:11" x14ac:dyDescent="0.3">
      <c r="A170" s="1">
        <v>2</v>
      </c>
      <c r="B170" s="1">
        <v>50</v>
      </c>
      <c r="C170" s="12">
        <f t="shared" si="18"/>
        <v>-1.7250000000000001</v>
      </c>
      <c r="D170" s="12">
        <f t="shared" si="19"/>
        <v>1.875</v>
      </c>
      <c r="E170" s="12">
        <f t="shared" si="20"/>
        <v>10.994975999999999</v>
      </c>
      <c r="F170" s="12">
        <f t="shared" si="21"/>
        <v>10.994975999999999</v>
      </c>
      <c r="G170" s="12">
        <f t="shared" si="22"/>
        <v>14.394036195555554</v>
      </c>
      <c r="H170" s="12">
        <f t="shared" si="23"/>
        <v>14.394036195555554</v>
      </c>
      <c r="I170" s="1" t="str">
        <f t="shared" si="24"/>
        <v>No</v>
      </c>
      <c r="J170" s="1" t="str">
        <f t="shared" si="25"/>
        <v>Si</v>
      </c>
      <c r="K170" s="1" t="str">
        <f t="shared" si="26"/>
        <v/>
      </c>
    </row>
    <row r="171" spans="1:11" x14ac:dyDescent="0.3">
      <c r="A171" s="1">
        <v>3</v>
      </c>
      <c r="B171" s="1">
        <v>0</v>
      </c>
      <c r="C171" s="12">
        <f t="shared" si="18"/>
        <v>-1.65</v>
      </c>
      <c r="D171" s="12">
        <f t="shared" si="19"/>
        <v>-1.875</v>
      </c>
      <c r="E171" s="12">
        <f t="shared" si="20"/>
        <v>11.120074666666666</v>
      </c>
      <c r="F171" s="12">
        <f t="shared" si="21"/>
        <v>11.120074666666666</v>
      </c>
      <c r="G171" s="12">
        <f t="shared" si="22"/>
        <v>14.570291626666666</v>
      </c>
      <c r="H171" s="12">
        <f t="shared" si="23"/>
        <v>14.570291626666666</v>
      </c>
      <c r="I171" s="1" t="str">
        <f t="shared" si="24"/>
        <v>No</v>
      </c>
      <c r="J171" s="1" t="str">
        <f t="shared" si="25"/>
        <v>Si</v>
      </c>
      <c r="K171" s="1" t="str">
        <f t="shared" si="26"/>
        <v/>
      </c>
    </row>
    <row r="172" spans="1:11" x14ac:dyDescent="0.3">
      <c r="A172" s="1">
        <v>3</v>
      </c>
      <c r="B172" s="1">
        <v>1</v>
      </c>
      <c r="C172" s="12">
        <f t="shared" si="18"/>
        <v>-1.65</v>
      </c>
      <c r="D172" s="12">
        <f t="shared" si="19"/>
        <v>-1.8</v>
      </c>
      <c r="E172" s="12">
        <f t="shared" si="20"/>
        <v>11.117586574222221</v>
      </c>
      <c r="F172" s="12">
        <f t="shared" si="21"/>
        <v>11.117586574222221</v>
      </c>
      <c r="G172" s="12">
        <f t="shared" si="22"/>
        <v>14.56678727111111</v>
      </c>
      <c r="H172" s="12">
        <f t="shared" si="23"/>
        <v>14.56678727111111</v>
      </c>
      <c r="I172" s="1" t="str">
        <f t="shared" si="24"/>
        <v>No</v>
      </c>
      <c r="J172" s="1" t="str">
        <f t="shared" si="25"/>
        <v>Si</v>
      </c>
      <c r="K172" s="1" t="str">
        <f t="shared" si="26"/>
        <v/>
      </c>
    </row>
    <row r="173" spans="1:11" x14ac:dyDescent="0.3">
      <c r="A173" s="1">
        <v>3</v>
      </c>
      <c r="B173" s="1">
        <v>2</v>
      </c>
      <c r="C173" s="12">
        <f t="shared" si="18"/>
        <v>-1.65</v>
      </c>
      <c r="D173" s="12">
        <f t="shared" si="19"/>
        <v>-1.7250000000000001</v>
      </c>
      <c r="E173" s="12">
        <f t="shared" si="20"/>
        <v>11.115098481777776</v>
      </c>
      <c r="F173" s="12">
        <f t="shared" si="21"/>
        <v>11.115098481777776</v>
      </c>
      <c r="G173" s="12">
        <f t="shared" si="22"/>
        <v>14.563282915555554</v>
      </c>
      <c r="H173" s="12">
        <f t="shared" si="23"/>
        <v>14.563282915555554</v>
      </c>
      <c r="I173" s="1" t="str">
        <f t="shared" si="24"/>
        <v>No</v>
      </c>
      <c r="J173" s="1" t="str">
        <f t="shared" si="25"/>
        <v>Si</v>
      </c>
      <c r="K173" s="1" t="str">
        <f t="shared" si="26"/>
        <v/>
      </c>
    </row>
    <row r="174" spans="1:11" x14ac:dyDescent="0.3">
      <c r="A174" s="1">
        <v>3</v>
      </c>
      <c r="B174" s="1">
        <v>3</v>
      </c>
      <c r="C174" s="12">
        <f t="shared" si="18"/>
        <v>-1.65</v>
      </c>
      <c r="D174" s="12">
        <f t="shared" si="19"/>
        <v>-1.65</v>
      </c>
      <c r="E174" s="12">
        <f t="shared" si="20"/>
        <v>11.112610389333332</v>
      </c>
      <c r="F174" s="12">
        <f t="shared" si="21"/>
        <v>11.112610389333332</v>
      </c>
      <c r="G174" s="12">
        <f t="shared" si="22"/>
        <v>14.55977856</v>
      </c>
      <c r="H174" s="12">
        <f t="shared" si="23"/>
        <v>14.55977856</v>
      </c>
      <c r="I174" s="1" t="str">
        <f t="shared" si="24"/>
        <v>No</v>
      </c>
      <c r="J174" s="1" t="str">
        <f t="shared" si="25"/>
        <v>Si</v>
      </c>
      <c r="K174" s="1" t="str">
        <f t="shared" si="26"/>
        <v/>
      </c>
    </row>
    <row r="175" spans="1:11" x14ac:dyDescent="0.3">
      <c r="A175" s="1">
        <v>3</v>
      </c>
      <c r="B175" s="1">
        <v>4</v>
      </c>
      <c r="C175" s="12">
        <f t="shared" si="18"/>
        <v>-1.65</v>
      </c>
      <c r="D175" s="12">
        <f t="shared" si="19"/>
        <v>-1.575</v>
      </c>
      <c r="E175" s="12">
        <f t="shared" si="20"/>
        <v>11.110122296888887</v>
      </c>
      <c r="F175" s="12">
        <f t="shared" si="21"/>
        <v>11.110122296888887</v>
      </c>
      <c r="G175" s="12">
        <f t="shared" si="22"/>
        <v>14.556274204444444</v>
      </c>
      <c r="H175" s="12">
        <f t="shared" si="23"/>
        <v>14.556274204444444</v>
      </c>
      <c r="I175" s="1" t="str">
        <f t="shared" si="24"/>
        <v>No</v>
      </c>
      <c r="J175" s="1" t="str">
        <f t="shared" si="25"/>
        <v>Si</v>
      </c>
      <c r="K175" s="1" t="str">
        <f t="shared" si="26"/>
        <v/>
      </c>
    </row>
    <row r="176" spans="1:11" x14ac:dyDescent="0.3">
      <c r="A176" s="1">
        <v>3</v>
      </c>
      <c r="B176" s="1">
        <v>5</v>
      </c>
      <c r="C176" s="12">
        <f t="shared" si="18"/>
        <v>-1.65</v>
      </c>
      <c r="D176" s="12">
        <f t="shared" si="19"/>
        <v>-1.5</v>
      </c>
      <c r="E176" s="12">
        <f t="shared" si="20"/>
        <v>11.107634204444443</v>
      </c>
      <c r="F176" s="12">
        <f t="shared" si="21"/>
        <v>11.107634204444443</v>
      </c>
      <c r="G176" s="12">
        <f t="shared" si="22"/>
        <v>14.552769848888888</v>
      </c>
      <c r="H176" s="12">
        <f t="shared" si="23"/>
        <v>14.552769848888888</v>
      </c>
      <c r="I176" s="1" t="str">
        <f t="shared" si="24"/>
        <v>No</v>
      </c>
      <c r="J176" s="1" t="str">
        <f t="shared" si="25"/>
        <v>Si</v>
      </c>
      <c r="K176" s="1" t="str">
        <f t="shared" si="26"/>
        <v/>
      </c>
    </row>
    <row r="177" spans="1:11" x14ac:dyDescent="0.3">
      <c r="A177" s="1">
        <v>3</v>
      </c>
      <c r="B177" s="1">
        <v>6</v>
      </c>
      <c r="C177" s="12">
        <f t="shared" si="18"/>
        <v>-1.65</v>
      </c>
      <c r="D177" s="12">
        <f t="shared" si="19"/>
        <v>-1.425</v>
      </c>
      <c r="E177" s="12">
        <f t="shared" si="20"/>
        <v>11.105146111999998</v>
      </c>
      <c r="F177" s="12">
        <f t="shared" si="21"/>
        <v>11.105146111999998</v>
      </c>
      <c r="G177" s="12">
        <f t="shared" si="22"/>
        <v>14.549265493333333</v>
      </c>
      <c r="H177" s="12">
        <f t="shared" si="23"/>
        <v>14.549265493333333</v>
      </c>
      <c r="I177" s="1" t="str">
        <f t="shared" si="24"/>
        <v>No</v>
      </c>
      <c r="J177" s="1" t="str">
        <f t="shared" si="25"/>
        <v>Si</v>
      </c>
      <c r="K177" s="1" t="str">
        <f t="shared" si="26"/>
        <v/>
      </c>
    </row>
    <row r="178" spans="1:11" x14ac:dyDescent="0.3">
      <c r="A178" s="1">
        <v>3</v>
      </c>
      <c r="B178" s="1">
        <v>7</v>
      </c>
      <c r="C178" s="12">
        <f t="shared" si="18"/>
        <v>-1.65</v>
      </c>
      <c r="D178" s="12">
        <f t="shared" si="19"/>
        <v>-1.35</v>
      </c>
      <c r="E178" s="12">
        <f t="shared" si="20"/>
        <v>11.102658019555555</v>
      </c>
      <c r="F178" s="12">
        <f t="shared" si="21"/>
        <v>11.102658019555555</v>
      </c>
      <c r="G178" s="12">
        <f t="shared" si="22"/>
        <v>14.545761137777777</v>
      </c>
      <c r="H178" s="12">
        <f t="shared" si="23"/>
        <v>14.545761137777777</v>
      </c>
      <c r="I178" s="1" t="str">
        <f t="shared" si="24"/>
        <v>No</v>
      </c>
      <c r="J178" s="1" t="str">
        <f t="shared" si="25"/>
        <v>Si</v>
      </c>
      <c r="K178" s="1" t="str">
        <f t="shared" si="26"/>
        <v/>
      </c>
    </row>
    <row r="179" spans="1:11" x14ac:dyDescent="0.3">
      <c r="A179" s="1">
        <v>3</v>
      </c>
      <c r="B179" s="1">
        <v>8</v>
      </c>
      <c r="C179" s="12">
        <f t="shared" si="18"/>
        <v>-1.65</v>
      </c>
      <c r="D179" s="12">
        <f t="shared" si="19"/>
        <v>-1.2749999999999999</v>
      </c>
      <c r="E179" s="12">
        <f t="shared" si="20"/>
        <v>11.100169927111111</v>
      </c>
      <c r="F179" s="12">
        <f t="shared" si="21"/>
        <v>11.100169927111111</v>
      </c>
      <c r="G179" s="12">
        <f t="shared" si="22"/>
        <v>14.542256782222221</v>
      </c>
      <c r="H179" s="12">
        <f t="shared" si="23"/>
        <v>14.542256782222221</v>
      </c>
      <c r="I179" s="1" t="str">
        <f t="shared" si="24"/>
        <v>No</v>
      </c>
      <c r="J179" s="1" t="str">
        <f t="shared" si="25"/>
        <v>Si</v>
      </c>
      <c r="K179" s="1" t="str">
        <f t="shared" si="26"/>
        <v/>
      </c>
    </row>
    <row r="180" spans="1:11" x14ac:dyDescent="0.3">
      <c r="A180" s="1">
        <v>3</v>
      </c>
      <c r="B180" s="1">
        <v>9</v>
      </c>
      <c r="C180" s="12">
        <f t="shared" si="18"/>
        <v>-1.65</v>
      </c>
      <c r="D180" s="12">
        <f t="shared" si="19"/>
        <v>-1.2</v>
      </c>
      <c r="E180" s="12">
        <f t="shared" si="20"/>
        <v>11.097681834666666</v>
      </c>
      <c r="F180" s="12">
        <f t="shared" si="21"/>
        <v>11.097681834666666</v>
      </c>
      <c r="G180" s="12">
        <f t="shared" si="22"/>
        <v>14.538752426666665</v>
      </c>
      <c r="H180" s="12">
        <f t="shared" si="23"/>
        <v>14.538752426666665</v>
      </c>
      <c r="I180" s="1" t="str">
        <f t="shared" si="24"/>
        <v>No</v>
      </c>
      <c r="J180" s="1" t="str">
        <f t="shared" si="25"/>
        <v>Si</v>
      </c>
      <c r="K180" s="1" t="str">
        <f t="shared" si="26"/>
        <v/>
      </c>
    </row>
    <row r="181" spans="1:11" x14ac:dyDescent="0.3">
      <c r="A181" s="1">
        <v>3</v>
      </c>
      <c r="B181" s="1">
        <v>10</v>
      </c>
      <c r="C181" s="12">
        <f t="shared" si="18"/>
        <v>-1.65</v>
      </c>
      <c r="D181" s="12">
        <f t="shared" si="19"/>
        <v>-1.125</v>
      </c>
      <c r="E181" s="12">
        <f t="shared" si="20"/>
        <v>11.095193742222222</v>
      </c>
      <c r="F181" s="12">
        <f t="shared" si="21"/>
        <v>11.095193742222222</v>
      </c>
      <c r="G181" s="12">
        <f t="shared" si="22"/>
        <v>14.535248071111111</v>
      </c>
      <c r="H181" s="12">
        <f t="shared" si="23"/>
        <v>14.535248071111111</v>
      </c>
      <c r="I181" s="1" t="str">
        <f t="shared" si="24"/>
        <v>No</v>
      </c>
      <c r="J181" s="1" t="str">
        <f t="shared" si="25"/>
        <v>Si</v>
      </c>
      <c r="K181" s="1" t="str">
        <f t="shared" si="26"/>
        <v/>
      </c>
    </row>
    <row r="182" spans="1:11" x14ac:dyDescent="0.3">
      <c r="A182" s="1">
        <v>3</v>
      </c>
      <c r="B182" s="1">
        <v>11</v>
      </c>
      <c r="C182" s="12">
        <f t="shared" si="18"/>
        <v>-1.65</v>
      </c>
      <c r="D182" s="12">
        <f t="shared" si="19"/>
        <v>-1.05</v>
      </c>
      <c r="E182" s="12">
        <f t="shared" si="20"/>
        <v>11.092705649777777</v>
      </c>
      <c r="F182" s="12">
        <f t="shared" si="21"/>
        <v>11.092705649777777</v>
      </c>
      <c r="G182" s="12">
        <f t="shared" si="22"/>
        <v>14.531743715555555</v>
      </c>
      <c r="H182" s="12">
        <f t="shared" si="23"/>
        <v>14.531743715555555</v>
      </c>
      <c r="I182" s="1" t="str">
        <f t="shared" si="24"/>
        <v>No</v>
      </c>
      <c r="J182" s="1" t="str">
        <f t="shared" si="25"/>
        <v>Si</v>
      </c>
      <c r="K182" s="1" t="str">
        <f t="shared" si="26"/>
        <v/>
      </c>
    </row>
    <row r="183" spans="1:11" x14ac:dyDescent="0.3">
      <c r="A183" s="1">
        <v>3</v>
      </c>
      <c r="B183" s="1">
        <v>12</v>
      </c>
      <c r="C183" s="12">
        <f t="shared" si="18"/>
        <v>-1.65</v>
      </c>
      <c r="D183" s="12">
        <f t="shared" si="19"/>
        <v>-0.97499999999999998</v>
      </c>
      <c r="E183" s="12">
        <f t="shared" si="20"/>
        <v>11.090217557333332</v>
      </c>
      <c r="F183" s="12">
        <f t="shared" si="21"/>
        <v>11.090217557333332</v>
      </c>
      <c r="G183" s="12">
        <f t="shared" si="22"/>
        <v>14.528239359999999</v>
      </c>
      <c r="H183" s="12">
        <f t="shared" si="23"/>
        <v>14.528239359999999</v>
      </c>
      <c r="I183" s="1" t="str">
        <f t="shared" si="24"/>
        <v>No</v>
      </c>
      <c r="J183" s="1" t="str">
        <f t="shared" si="25"/>
        <v>Si</v>
      </c>
      <c r="K183" s="1" t="str">
        <f t="shared" si="26"/>
        <v/>
      </c>
    </row>
    <row r="184" spans="1:11" x14ac:dyDescent="0.3">
      <c r="A184" s="1">
        <v>3</v>
      </c>
      <c r="B184" s="1">
        <v>13</v>
      </c>
      <c r="C184" s="12">
        <f t="shared" si="18"/>
        <v>-1.65</v>
      </c>
      <c r="D184" s="12">
        <f t="shared" si="19"/>
        <v>-0.9</v>
      </c>
      <c r="E184" s="12">
        <f t="shared" si="20"/>
        <v>11.087729464888888</v>
      </c>
      <c r="F184" s="12">
        <f t="shared" si="21"/>
        <v>11.087729464888888</v>
      </c>
      <c r="G184" s="12">
        <f t="shared" si="22"/>
        <v>14.524735004444445</v>
      </c>
      <c r="H184" s="12">
        <f t="shared" si="23"/>
        <v>14.524735004444445</v>
      </c>
      <c r="I184" s="1" t="str">
        <f t="shared" si="24"/>
        <v>No</v>
      </c>
      <c r="J184" s="1" t="str">
        <f t="shared" si="25"/>
        <v>Si</v>
      </c>
      <c r="K184" s="1" t="str">
        <f t="shared" si="26"/>
        <v/>
      </c>
    </row>
    <row r="185" spans="1:11" x14ac:dyDescent="0.3">
      <c r="A185" s="1">
        <v>3</v>
      </c>
      <c r="B185" s="1">
        <v>14</v>
      </c>
      <c r="C185" s="12">
        <f t="shared" si="18"/>
        <v>-1.65</v>
      </c>
      <c r="D185" s="12">
        <f t="shared" si="19"/>
        <v>-0.82499999999999996</v>
      </c>
      <c r="E185" s="12">
        <f t="shared" si="20"/>
        <v>11.085241372444443</v>
      </c>
      <c r="F185" s="12">
        <f t="shared" si="21"/>
        <v>11.085241372444443</v>
      </c>
      <c r="G185" s="12">
        <f t="shared" si="22"/>
        <v>14.521230648888888</v>
      </c>
      <c r="H185" s="12">
        <f t="shared" si="23"/>
        <v>14.521230648888888</v>
      </c>
      <c r="I185" s="1" t="str">
        <f t="shared" si="24"/>
        <v>No</v>
      </c>
      <c r="J185" s="1" t="str">
        <f t="shared" si="25"/>
        <v>Si</v>
      </c>
      <c r="K185" s="1" t="str">
        <f t="shared" si="26"/>
        <v/>
      </c>
    </row>
    <row r="186" spans="1:11" x14ac:dyDescent="0.3">
      <c r="A186" s="1">
        <v>3</v>
      </c>
      <c r="B186" s="1">
        <v>15</v>
      </c>
      <c r="C186" s="12">
        <f t="shared" si="18"/>
        <v>-1.65</v>
      </c>
      <c r="D186" s="12">
        <f t="shared" si="19"/>
        <v>-0.75</v>
      </c>
      <c r="E186" s="12">
        <f t="shared" si="20"/>
        <v>11.082753279999999</v>
      </c>
      <c r="F186" s="12">
        <f t="shared" si="21"/>
        <v>11.082753279999999</v>
      </c>
      <c r="G186" s="12">
        <f t="shared" si="22"/>
        <v>14.517726293333332</v>
      </c>
      <c r="H186" s="12">
        <f t="shared" si="23"/>
        <v>14.517726293333332</v>
      </c>
      <c r="I186" s="1" t="str">
        <f t="shared" si="24"/>
        <v>No</v>
      </c>
      <c r="J186" s="1" t="str">
        <f t="shared" si="25"/>
        <v>Si</v>
      </c>
      <c r="K186" s="1" t="str">
        <f t="shared" si="26"/>
        <v/>
      </c>
    </row>
    <row r="187" spans="1:11" x14ac:dyDescent="0.3">
      <c r="A187" s="1">
        <v>3</v>
      </c>
      <c r="B187" s="1">
        <v>16</v>
      </c>
      <c r="C187" s="12">
        <f t="shared" si="18"/>
        <v>-1.65</v>
      </c>
      <c r="D187" s="12">
        <f t="shared" si="19"/>
        <v>-0.67500000000000004</v>
      </c>
      <c r="E187" s="12">
        <f t="shared" si="20"/>
        <v>11.080265187555554</v>
      </c>
      <c r="F187" s="12">
        <f t="shared" si="21"/>
        <v>11.080265187555554</v>
      </c>
      <c r="G187" s="12">
        <f t="shared" si="22"/>
        <v>14.514221937777776</v>
      </c>
      <c r="H187" s="12">
        <f t="shared" si="23"/>
        <v>14.514221937777776</v>
      </c>
      <c r="I187" s="1" t="str">
        <f t="shared" si="24"/>
        <v>No</v>
      </c>
      <c r="J187" s="1" t="str">
        <f t="shared" si="25"/>
        <v>Si</v>
      </c>
      <c r="K187" s="1" t="str">
        <f t="shared" si="26"/>
        <v/>
      </c>
    </row>
    <row r="188" spans="1:11" x14ac:dyDescent="0.3">
      <c r="A188" s="1">
        <v>3</v>
      </c>
      <c r="B188" s="1">
        <v>17</v>
      </c>
      <c r="C188" s="12">
        <f t="shared" si="18"/>
        <v>-1.65</v>
      </c>
      <c r="D188" s="12">
        <f t="shared" si="19"/>
        <v>-0.60000000000000009</v>
      </c>
      <c r="E188" s="12">
        <f t="shared" si="20"/>
        <v>11.077777095111109</v>
      </c>
      <c r="F188" s="12">
        <f t="shared" si="21"/>
        <v>11.077777095111109</v>
      </c>
      <c r="G188" s="12">
        <f t="shared" si="22"/>
        <v>14.510717582222222</v>
      </c>
      <c r="H188" s="12">
        <f t="shared" si="23"/>
        <v>14.510717582222222</v>
      </c>
      <c r="I188" s="1" t="str">
        <f t="shared" si="24"/>
        <v>No</v>
      </c>
      <c r="J188" s="1" t="str">
        <f t="shared" si="25"/>
        <v>Si</v>
      </c>
      <c r="K188" s="1" t="str">
        <f t="shared" si="26"/>
        <v/>
      </c>
    </row>
    <row r="189" spans="1:11" x14ac:dyDescent="0.3">
      <c r="A189" s="1">
        <v>3</v>
      </c>
      <c r="B189" s="1">
        <v>18</v>
      </c>
      <c r="C189" s="12">
        <f t="shared" si="18"/>
        <v>-1.65</v>
      </c>
      <c r="D189" s="12">
        <f t="shared" si="19"/>
        <v>-0.52499999999999991</v>
      </c>
      <c r="E189" s="12">
        <f t="shared" si="20"/>
        <v>11.075289002666665</v>
      </c>
      <c r="F189" s="12">
        <f t="shared" si="21"/>
        <v>11.075289002666665</v>
      </c>
      <c r="G189" s="12">
        <f t="shared" si="22"/>
        <v>14.507213226666666</v>
      </c>
      <c r="H189" s="12">
        <f t="shared" si="23"/>
        <v>14.507213226666666</v>
      </c>
      <c r="I189" s="1" t="str">
        <f t="shared" si="24"/>
        <v>No</v>
      </c>
      <c r="J189" s="1" t="str">
        <f t="shared" si="25"/>
        <v>Si</v>
      </c>
      <c r="K189" s="1" t="str">
        <f t="shared" si="26"/>
        <v/>
      </c>
    </row>
    <row r="190" spans="1:11" x14ac:dyDescent="0.3">
      <c r="A190" s="1">
        <v>3</v>
      </c>
      <c r="B190" s="1">
        <v>19</v>
      </c>
      <c r="C190" s="12">
        <f t="shared" si="18"/>
        <v>-1.65</v>
      </c>
      <c r="D190" s="12">
        <f t="shared" si="19"/>
        <v>-0.44999999999999996</v>
      </c>
      <c r="E190" s="12">
        <f t="shared" si="20"/>
        <v>11.072800910222222</v>
      </c>
      <c r="F190" s="12">
        <f t="shared" si="21"/>
        <v>11.072800910222222</v>
      </c>
      <c r="G190" s="12">
        <f t="shared" si="22"/>
        <v>14.50370887111111</v>
      </c>
      <c r="H190" s="12">
        <f t="shared" si="23"/>
        <v>14.50370887111111</v>
      </c>
      <c r="I190" s="1" t="str">
        <f t="shared" si="24"/>
        <v>No</v>
      </c>
      <c r="J190" s="1" t="str">
        <f t="shared" si="25"/>
        <v>Si</v>
      </c>
      <c r="K190" s="1" t="str">
        <f t="shared" si="26"/>
        <v/>
      </c>
    </row>
    <row r="191" spans="1:11" x14ac:dyDescent="0.3">
      <c r="A191" s="1">
        <v>3</v>
      </c>
      <c r="B191" s="1">
        <v>20</v>
      </c>
      <c r="C191" s="12">
        <f t="shared" si="18"/>
        <v>-1.65</v>
      </c>
      <c r="D191" s="12">
        <f t="shared" si="19"/>
        <v>-0.375</v>
      </c>
      <c r="E191" s="12">
        <f t="shared" si="20"/>
        <v>11.070312817777777</v>
      </c>
      <c r="F191" s="12">
        <f t="shared" si="21"/>
        <v>11.070312817777777</v>
      </c>
      <c r="G191" s="12">
        <f t="shared" si="22"/>
        <v>14.500204515555556</v>
      </c>
      <c r="H191" s="12">
        <f t="shared" si="23"/>
        <v>14.500204515555556</v>
      </c>
      <c r="I191" s="1" t="str">
        <f t="shared" si="24"/>
        <v>No</v>
      </c>
      <c r="J191" s="1" t="str">
        <f t="shared" si="25"/>
        <v>Si</v>
      </c>
      <c r="K191" s="1" t="str">
        <f t="shared" si="26"/>
        <v/>
      </c>
    </row>
    <row r="192" spans="1:11" x14ac:dyDescent="0.3">
      <c r="A192" s="1">
        <v>3</v>
      </c>
      <c r="B192" s="1">
        <v>21</v>
      </c>
      <c r="C192" s="12">
        <f t="shared" si="18"/>
        <v>-1.65</v>
      </c>
      <c r="D192" s="12">
        <f t="shared" si="19"/>
        <v>-0.30000000000000004</v>
      </c>
      <c r="E192" s="12">
        <f t="shared" si="20"/>
        <v>11.067824725333333</v>
      </c>
      <c r="F192" s="12">
        <f t="shared" si="21"/>
        <v>11.067824725333333</v>
      </c>
      <c r="G192" s="12">
        <f t="shared" si="22"/>
        <v>14.49670016</v>
      </c>
      <c r="H192" s="12">
        <f t="shared" si="23"/>
        <v>14.49670016</v>
      </c>
      <c r="I192" s="1" t="str">
        <f t="shared" si="24"/>
        <v>No</v>
      </c>
      <c r="J192" s="1" t="str">
        <f t="shared" si="25"/>
        <v>Si</v>
      </c>
      <c r="K192" s="1" t="str">
        <f t="shared" si="26"/>
        <v/>
      </c>
    </row>
    <row r="193" spans="1:11" x14ac:dyDescent="0.3">
      <c r="A193" s="1">
        <v>3</v>
      </c>
      <c r="B193" s="1">
        <v>22</v>
      </c>
      <c r="C193" s="12">
        <f t="shared" si="18"/>
        <v>-1.65</v>
      </c>
      <c r="D193" s="12">
        <f t="shared" si="19"/>
        <v>-0.22500000000000009</v>
      </c>
      <c r="E193" s="12">
        <f t="shared" si="20"/>
        <v>11.065336632888888</v>
      </c>
      <c r="F193" s="12">
        <f t="shared" si="21"/>
        <v>11.065336632888888</v>
      </c>
      <c r="G193" s="12">
        <f t="shared" si="22"/>
        <v>14.493195804444444</v>
      </c>
      <c r="H193" s="12">
        <f t="shared" si="23"/>
        <v>14.493195804444444</v>
      </c>
      <c r="I193" s="1" t="str">
        <f t="shared" si="24"/>
        <v>No</v>
      </c>
      <c r="J193" s="1" t="str">
        <f t="shared" si="25"/>
        <v>Si</v>
      </c>
      <c r="K193" s="1" t="str">
        <f t="shared" si="26"/>
        <v/>
      </c>
    </row>
    <row r="194" spans="1:11" x14ac:dyDescent="0.3">
      <c r="A194" s="1">
        <v>3</v>
      </c>
      <c r="B194" s="1">
        <v>23</v>
      </c>
      <c r="C194" s="12">
        <f t="shared" si="18"/>
        <v>-1.65</v>
      </c>
      <c r="D194" s="12">
        <f t="shared" si="19"/>
        <v>-0.14999999999999991</v>
      </c>
      <c r="E194" s="12">
        <f t="shared" si="20"/>
        <v>11.062848540444444</v>
      </c>
      <c r="F194" s="12">
        <f t="shared" si="21"/>
        <v>11.062848540444444</v>
      </c>
      <c r="G194" s="12">
        <f t="shared" si="22"/>
        <v>14.489691448888887</v>
      </c>
      <c r="H194" s="12">
        <f t="shared" si="23"/>
        <v>14.489691448888887</v>
      </c>
      <c r="I194" s="1" t="str">
        <f t="shared" si="24"/>
        <v>No</v>
      </c>
      <c r="J194" s="1" t="str">
        <f t="shared" si="25"/>
        <v>Si</v>
      </c>
      <c r="K194" s="1" t="str">
        <f t="shared" si="26"/>
        <v/>
      </c>
    </row>
    <row r="195" spans="1:11" x14ac:dyDescent="0.3">
      <c r="A195" s="1">
        <v>3</v>
      </c>
      <c r="B195" s="1">
        <v>24</v>
      </c>
      <c r="C195" s="12">
        <f t="shared" si="18"/>
        <v>-1.65</v>
      </c>
      <c r="D195" s="12">
        <f t="shared" si="19"/>
        <v>-7.4999999999999956E-2</v>
      </c>
      <c r="E195" s="12">
        <f t="shared" si="20"/>
        <v>11.060360447999999</v>
      </c>
      <c r="F195" s="12">
        <f t="shared" si="21"/>
        <v>11.060360447999999</v>
      </c>
      <c r="G195" s="12">
        <f t="shared" si="22"/>
        <v>14.486187093333333</v>
      </c>
      <c r="H195" s="12">
        <f t="shared" si="23"/>
        <v>14.486187093333333</v>
      </c>
      <c r="I195" s="1" t="str">
        <f t="shared" si="24"/>
        <v>No</v>
      </c>
      <c r="J195" s="1" t="str">
        <f t="shared" si="25"/>
        <v>Si</v>
      </c>
      <c r="K195" s="1" t="str">
        <f t="shared" si="26"/>
        <v/>
      </c>
    </row>
    <row r="196" spans="1:11" x14ac:dyDescent="0.3">
      <c r="A196" s="1">
        <v>3</v>
      </c>
      <c r="B196" s="1">
        <v>25</v>
      </c>
      <c r="C196" s="12">
        <f t="shared" si="18"/>
        <v>-1.65</v>
      </c>
      <c r="D196" s="12">
        <f t="shared" si="19"/>
        <v>0</v>
      </c>
      <c r="E196" s="12">
        <f t="shared" si="20"/>
        <v>11.057872355555554</v>
      </c>
      <c r="F196" s="12">
        <f t="shared" si="21"/>
        <v>11.057872355555554</v>
      </c>
      <c r="G196" s="12">
        <f t="shared" si="22"/>
        <v>14.482682737777777</v>
      </c>
      <c r="H196" s="12">
        <f t="shared" si="23"/>
        <v>14.482682737777777</v>
      </c>
      <c r="I196" s="1" t="str">
        <f t="shared" si="24"/>
        <v>No</v>
      </c>
      <c r="J196" s="1" t="str">
        <f t="shared" si="25"/>
        <v>Si</v>
      </c>
      <c r="K196" s="1" t="str">
        <f t="shared" si="26"/>
        <v/>
      </c>
    </row>
    <row r="197" spans="1:11" x14ac:dyDescent="0.3">
      <c r="A197" s="1">
        <v>3</v>
      </c>
      <c r="B197" s="1">
        <v>26</v>
      </c>
      <c r="C197" s="12">
        <f t="shared" si="18"/>
        <v>-1.65</v>
      </c>
      <c r="D197" s="12">
        <f t="shared" si="19"/>
        <v>7.4999999999999956E-2</v>
      </c>
      <c r="E197" s="12">
        <f t="shared" si="20"/>
        <v>11.05538426311111</v>
      </c>
      <c r="F197" s="12">
        <f t="shared" si="21"/>
        <v>11.05538426311111</v>
      </c>
      <c r="G197" s="12">
        <f t="shared" si="22"/>
        <v>14.479178382222221</v>
      </c>
      <c r="H197" s="12">
        <f t="shared" si="23"/>
        <v>14.479178382222221</v>
      </c>
      <c r="I197" s="1" t="str">
        <f t="shared" si="24"/>
        <v>No</v>
      </c>
      <c r="J197" s="1" t="str">
        <f t="shared" si="25"/>
        <v>Si</v>
      </c>
      <c r="K197" s="1" t="str">
        <f t="shared" si="26"/>
        <v/>
      </c>
    </row>
    <row r="198" spans="1:11" x14ac:dyDescent="0.3">
      <c r="A198" s="1">
        <v>3</v>
      </c>
      <c r="B198" s="1">
        <v>27</v>
      </c>
      <c r="C198" s="12">
        <f t="shared" si="18"/>
        <v>-1.65</v>
      </c>
      <c r="D198" s="12">
        <f t="shared" si="19"/>
        <v>0.14999999999999991</v>
      </c>
      <c r="E198" s="12">
        <f t="shared" si="20"/>
        <v>11.052896170666665</v>
      </c>
      <c r="F198" s="12">
        <f t="shared" si="21"/>
        <v>11.052896170666665</v>
      </c>
      <c r="G198" s="12">
        <f t="shared" si="22"/>
        <v>14.475674026666667</v>
      </c>
      <c r="H198" s="12">
        <f t="shared" si="23"/>
        <v>14.475674026666667</v>
      </c>
      <c r="I198" s="1" t="str">
        <f t="shared" si="24"/>
        <v>No</v>
      </c>
      <c r="J198" s="1" t="str">
        <f t="shared" si="25"/>
        <v>Si</v>
      </c>
      <c r="K198" s="1" t="str">
        <f t="shared" si="26"/>
        <v/>
      </c>
    </row>
    <row r="199" spans="1:11" x14ac:dyDescent="0.3">
      <c r="A199" s="1">
        <v>3</v>
      </c>
      <c r="B199" s="1">
        <v>28</v>
      </c>
      <c r="C199" s="12">
        <f t="shared" si="18"/>
        <v>-1.65</v>
      </c>
      <c r="D199" s="12">
        <f t="shared" si="19"/>
        <v>0.22500000000000009</v>
      </c>
      <c r="E199" s="12">
        <f t="shared" si="20"/>
        <v>11.050408078222221</v>
      </c>
      <c r="F199" s="12">
        <f t="shared" si="21"/>
        <v>11.050408078222221</v>
      </c>
      <c r="G199" s="12">
        <f t="shared" si="22"/>
        <v>14.472169671111111</v>
      </c>
      <c r="H199" s="12">
        <f t="shared" si="23"/>
        <v>14.472169671111111</v>
      </c>
      <c r="I199" s="1" t="str">
        <f t="shared" si="24"/>
        <v>No</v>
      </c>
      <c r="J199" s="1" t="str">
        <f t="shared" si="25"/>
        <v>Si</v>
      </c>
      <c r="K199" s="1" t="str">
        <f t="shared" si="26"/>
        <v/>
      </c>
    </row>
    <row r="200" spans="1:11" x14ac:dyDescent="0.3">
      <c r="A200" s="1">
        <v>3</v>
      </c>
      <c r="B200" s="1">
        <v>29</v>
      </c>
      <c r="C200" s="12">
        <f t="shared" si="18"/>
        <v>-1.65</v>
      </c>
      <c r="D200" s="12">
        <f t="shared" si="19"/>
        <v>0.29999999999999982</v>
      </c>
      <c r="E200" s="12">
        <f t="shared" si="20"/>
        <v>11.047919985777776</v>
      </c>
      <c r="F200" s="12">
        <f t="shared" si="21"/>
        <v>11.047919985777776</v>
      </c>
      <c r="G200" s="12">
        <f t="shared" si="22"/>
        <v>14.468665315555555</v>
      </c>
      <c r="H200" s="12">
        <f t="shared" si="23"/>
        <v>14.468665315555555</v>
      </c>
      <c r="I200" s="1" t="str">
        <f t="shared" si="24"/>
        <v>No</v>
      </c>
      <c r="J200" s="1" t="str">
        <f t="shared" si="25"/>
        <v>Si</v>
      </c>
      <c r="K200" s="1" t="str">
        <f t="shared" si="26"/>
        <v/>
      </c>
    </row>
    <row r="201" spans="1:11" x14ac:dyDescent="0.3">
      <c r="A201" s="1">
        <v>3</v>
      </c>
      <c r="B201" s="1">
        <v>30</v>
      </c>
      <c r="C201" s="12">
        <f t="shared" si="18"/>
        <v>-1.65</v>
      </c>
      <c r="D201" s="12">
        <f t="shared" si="19"/>
        <v>0.375</v>
      </c>
      <c r="E201" s="12">
        <f t="shared" si="20"/>
        <v>11.045431893333332</v>
      </c>
      <c r="F201" s="12">
        <f t="shared" si="21"/>
        <v>11.045431893333332</v>
      </c>
      <c r="G201" s="12">
        <f t="shared" si="22"/>
        <v>14.465160959999999</v>
      </c>
      <c r="H201" s="12">
        <f t="shared" si="23"/>
        <v>14.465160959999999</v>
      </c>
      <c r="I201" s="1" t="str">
        <f t="shared" si="24"/>
        <v>No</v>
      </c>
      <c r="J201" s="1" t="str">
        <f t="shared" si="25"/>
        <v>Si</v>
      </c>
      <c r="K201" s="1" t="str">
        <f t="shared" si="26"/>
        <v/>
      </c>
    </row>
    <row r="202" spans="1:11" x14ac:dyDescent="0.3">
      <c r="A202" s="1">
        <v>3</v>
      </c>
      <c r="B202" s="1">
        <v>31</v>
      </c>
      <c r="C202" s="12">
        <f t="shared" si="18"/>
        <v>-1.65</v>
      </c>
      <c r="D202" s="12">
        <f t="shared" si="19"/>
        <v>0.45000000000000018</v>
      </c>
      <c r="E202" s="12">
        <f t="shared" si="20"/>
        <v>11.042943800888887</v>
      </c>
      <c r="F202" s="12">
        <f t="shared" si="21"/>
        <v>11.042943800888887</v>
      </c>
      <c r="G202" s="12">
        <f t="shared" si="22"/>
        <v>14.461656604444444</v>
      </c>
      <c r="H202" s="12">
        <f t="shared" si="23"/>
        <v>14.461656604444444</v>
      </c>
      <c r="I202" s="1" t="str">
        <f t="shared" si="24"/>
        <v>No</v>
      </c>
      <c r="J202" s="1" t="str">
        <f t="shared" si="25"/>
        <v>Si</v>
      </c>
      <c r="K202" s="1" t="str">
        <f t="shared" si="26"/>
        <v/>
      </c>
    </row>
    <row r="203" spans="1:11" x14ac:dyDescent="0.3">
      <c r="A203" s="1">
        <v>3</v>
      </c>
      <c r="B203" s="1">
        <v>32</v>
      </c>
      <c r="C203" s="12">
        <f t="shared" si="18"/>
        <v>-1.65</v>
      </c>
      <c r="D203" s="12">
        <f t="shared" si="19"/>
        <v>0.52499999999999991</v>
      </c>
      <c r="E203" s="12">
        <f t="shared" si="20"/>
        <v>11.040455708444444</v>
      </c>
      <c r="F203" s="12">
        <f t="shared" si="21"/>
        <v>11.040455708444444</v>
      </c>
      <c r="G203" s="12">
        <f t="shared" si="22"/>
        <v>14.458152248888888</v>
      </c>
      <c r="H203" s="12">
        <f t="shared" si="23"/>
        <v>14.458152248888888</v>
      </c>
      <c r="I203" s="1" t="str">
        <f t="shared" si="24"/>
        <v>No</v>
      </c>
      <c r="J203" s="1" t="str">
        <f t="shared" si="25"/>
        <v>Si</v>
      </c>
      <c r="K203" s="1" t="str">
        <f t="shared" si="26"/>
        <v/>
      </c>
    </row>
    <row r="204" spans="1:11" x14ac:dyDescent="0.3">
      <c r="A204" s="1">
        <v>3</v>
      </c>
      <c r="B204" s="1">
        <v>33</v>
      </c>
      <c r="C204" s="12">
        <f t="shared" si="18"/>
        <v>-1.65</v>
      </c>
      <c r="D204" s="12">
        <f t="shared" si="19"/>
        <v>0.60000000000000009</v>
      </c>
      <c r="E204" s="12">
        <f t="shared" si="20"/>
        <v>11.037967616</v>
      </c>
      <c r="F204" s="12">
        <f t="shared" si="21"/>
        <v>11.037967616</v>
      </c>
      <c r="G204" s="12">
        <f t="shared" si="22"/>
        <v>14.454647893333332</v>
      </c>
      <c r="H204" s="12">
        <f t="shared" si="23"/>
        <v>14.454647893333332</v>
      </c>
      <c r="I204" s="1" t="str">
        <f t="shared" si="24"/>
        <v>No</v>
      </c>
      <c r="J204" s="1" t="str">
        <f t="shared" si="25"/>
        <v>Si</v>
      </c>
      <c r="K204" s="1" t="str">
        <f t="shared" si="26"/>
        <v/>
      </c>
    </row>
    <row r="205" spans="1:11" x14ac:dyDescent="0.3">
      <c r="A205" s="1">
        <v>3</v>
      </c>
      <c r="B205" s="1">
        <v>34</v>
      </c>
      <c r="C205" s="12">
        <f t="shared" si="18"/>
        <v>-1.65</v>
      </c>
      <c r="D205" s="12">
        <f t="shared" si="19"/>
        <v>0.67499999999999982</v>
      </c>
      <c r="E205" s="12">
        <f t="shared" si="20"/>
        <v>11.035479523555555</v>
      </c>
      <c r="F205" s="12">
        <f t="shared" si="21"/>
        <v>11.035479523555555</v>
      </c>
      <c r="G205" s="12">
        <f t="shared" si="22"/>
        <v>14.451143537777778</v>
      </c>
      <c r="H205" s="12">
        <f t="shared" si="23"/>
        <v>14.451143537777778</v>
      </c>
      <c r="I205" s="1" t="str">
        <f t="shared" si="24"/>
        <v>No</v>
      </c>
      <c r="J205" s="1" t="str">
        <f t="shared" si="25"/>
        <v>Si</v>
      </c>
      <c r="K205" s="1" t="str">
        <f t="shared" si="26"/>
        <v/>
      </c>
    </row>
    <row r="206" spans="1:11" x14ac:dyDescent="0.3">
      <c r="A206" s="1">
        <v>3</v>
      </c>
      <c r="B206" s="1">
        <v>35</v>
      </c>
      <c r="C206" s="12">
        <f t="shared" si="18"/>
        <v>-1.65</v>
      </c>
      <c r="D206" s="12">
        <f t="shared" si="19"/>
        <v>0.75</v>
      </c>
      <c r="E206" s="12">
        <f t="shared" si="20"/>
        <v>11.03299143111111</v>
      </c>
      <c r="F206" s="12">
        <f t="shared" si="21"/>
        <v>11.03299143111111</v>
      </c>
      <c r="G206" s="12">
        <f t="shared" si="22"/>
        <v>14.447639182222222</v>
      </c>
      <c r="H206" s="12">
        <f t="shared" si="23"/>
        <v>14.447639182222222</v>
      </c>
      <c r="I206" s="1" t="str">
        <f t="shared" si="24"/>
        <v>No</v>
      </c>
      <c r="J206" s="1" t="str">
        <f t="shared" si="25"/>
        <v>Si</v>
      </c>
      <c r="K206" s="1" t="str">
        <f t="shared" si="26"/>
        <v/>
      </c>
    </row>
    <row r="207" spans="1:11" x14ac:dyDescent="0.3">
      <c r="A207" s="1">
        <v>3</v>
      </c>
      <c r="B207" s="1">
        <v>36</v>
      </c>
      <c r="C207" s="12">
        <f t="shared" si="18"/>
        <v>-1.65</v>
      </c>
      <c r="D207" s="12">
        <f t="shared" si="19"/>
        <v>0.82500000000000018</v>
      </c>
      <c r="E207" s="12">
        <f t="shared" si="20"/>
        <v>11.030503338666666</v>
      </c>
      <c r="F207" s="12">
        <f t="shared" si="21"/>
        <v>11.030503338666666</v>
      </c>
      <c r="G207" s="12">
        <f t="shared" si="22"/>
        <v>14.444134826666666</v>
      </c>
      <c r="H207" s="12">
        <f t="shared" si="23"/>
        <v>14.444134826666666</v>
      </c>
      <c r="I207" s="1" t="str">
        <f t="shared" si="24"/>
        <v>No</v>
      </c>
      <c r="J207" s="1" t="str">
        <f t="shared" si="25"/>
        <v>Si</v>
      </c>
      <c r="K207" s="1" t="str">
        <f t="shared" si="26"/>
        <v/>
      </c>
    </row>
    <row r="208" spans="1:11" x14ac:dyDescent="0.3">
      <c r="A208" s="1">
        <v>3</v>
      </c>
      <c r="B208" s="1">
        <v>37</v>
      </c>
      <c r="C208" s="12">
        <f t="shared" si="18"/>
        <v>-1.65</v>
      </c>
      <c r="D208" s="12">
        <f t="shared" si="19"/>
        <v>0.89999999999999991</v>
      </c>
      <c r="E208" s="12">
        <f t="shared" si="20"/>
        <v>11.028015246222221</v>
      </c>
      <c r="F208" s="12">
        <f t="shared" si="21"/>
        <v>11.028015246222221</v>
      </c>
      <c r="G208" s="12">
        <f t="shared" si="22"/>
        <v>14.44063047111111</v>
      </c>
      <c r="H208" s="12">
        <f t="shared" si="23"/>
        <v>14.44063047111111</v>
      </c>
      <c r="I208" s="1" t="str">
        <f t="shared" si="24"/>
        <v>No</v>
      </c>
      <c r="J208" s="1" t="str">
        <f t="shared" si="25"/>
        <v>Si</v>
      </c>
      <c r="K208" s="1" t="str">
        <f t="shared" si="26"/>
        <v/>
      </c>
    </row>
    <row r="209" spans="1:11" x14ac:dyDescent="0.3">
      <c r="A209" s="1">
        <v>3</v>
      </c>
      <c r="B209" s="1">
        <v>38</v>
      </c>
      <c r="C209" s="12">
        <f t="shared" si="18"/>
        <v>-1.65</v>
      </c>
      <c r="D209" s="12">
        <f t="shared" si="19"/>
        <v>0.97500000000000009</v>
      </c>
      <c r="E209" s="12">
        <f t="shared" si="20"/>
        <v>11.025527153777777</v>
      </c>
      <c r="F209" s="12">
        <f t="shared" si="21"/>
        <v>11.025527153777777</v>
      </c>
      <c r="G209" s="12">
        <f t="shared" si="22"/>
        <v>14.437126115555555</v>
      </c>
      <c r="H209" s="12">
        <f t="shared" si="23"/>
        <v>14.437126115555555</v>
      </c>
      <c r="I209" s="1" t="str">
        <f t="shared" si="24"/>
        <v>No</v>
      </c>
      <c r="J209" s="1" t="str">
        <f t="shared" si="25"/>
        <v>Si</v>
      </c>
      <c r="K209" s="1" t="str">
        <f t="shared" si="26"/>
        <v/>
      </c>
    </row>
    <row r="210" spans="1:11" x14ac:dyDescent="0.3">
      <c r="A210" s="1">
        <v>3</v>
      </c>
      <c r="B210" s="1">
        <v>39</v>
      </c>
      <c r="C210" s="12">
        <f t="shared" ref="C210:C273" si="27">IF(OR(A210&gt;inp_n_div_x,B210&gt;inp_n_div_y),"",-inp_bx/2+A210*inp_bx/inp_n_div_x)</f>
        <v>-1.65</v>
      </c>
      <c r="D210" s="12">
        <f t="shared" ref="D210:D273" si="28">IF(C210="","",-inp_by/2+B210*inp_by/inp_n_div_y)</f>
        <v>1.0499999999999998</v>
      </c>
      <c r="E210" s="12">
        <f t="shared" ref="E210:E273" si="29">IF(C210="","",res_srv_p_tot/geo_area+res_srv_mx_tot/geo_ix*D210+res_srv_my_tot/geo_iy*C210)</f>
        <v>11.023039061333332</v>
      </c>
      <c r="F210" s="12">
        <f t="shared" ref="F210:F273" si="30">IF(E210="","",MAX(0,E210))</f>
        <v>11.023039061333332</v>
      </c>
      <c r="G210" s="12">
        <f t="shared" ref="G210:G273" si="31">IF(C210="","",res_u_p_tot/geo_area+res_u_mx_tot/geo_ix*D210+res_u_my_tot/geo_iy*C210)</f>
        <v>14.433621759999999</v>
      </c>
      <c r="H210" s="12">
        <f t="shared" ref="H210:H273" si="32">IF(G210="","",MAX(0,G210))</f>
        <v>14.433621759999999</v>
      </c>
      <c r="I210" s="1" t="str">
        <f t="shared" ref="I210:I273" si="33">IF(C210="","",IF(AND(C210&gt;=inp_xc-inp_cx/2,C210&lt;=inp_xc+inp_cx/2,D210&gt;=inp_yc-inp_cy/2,D210&lt;=inp_yc+inp_cy/2),"Si","No"))</f>
        <v>No</v>
      </c>
      <c r="J210" s="1" t="str">
        <f t="shared" ref="J210:J273" si="34">IF(C210="","","Si")</f>
        <v>Si</v>
      </c>
      <c r="K210" s="1" t="str">
        <f t="shared" ref="K210:K273" si="35">IF(OR(E210&lt;0,G210&lt;0),"Presion negativa","")</f>
        <v/>
      </c>
    </row>
    <row r="211" spans="1:11" x14ac:dyDescent="0.3">
      <c r="A211" s="1">
        <v>3</v>
      </c>
      <c r="B211" s="1">
        <v>40</v>
      </c>
      <c r="C211" s="12">
        <f t="shared" si="27"/>
        <v>-1.65</v>
      </c>
      <c r="D211" s="12">
        <f t="shared" si="28"/>
        <v>1.125</v>
      </c>
      <c r="E211" s="12">
        <f t="shared" si="29"/>
        <v>11.020550968888887</v>
      </c>
      <c r="F211" s="12">
        <f t="shared" si="30"/>
        <v>11.020550968888887</v>
      </c>
      <c r="G211" s="12">
        <f t="shared" si="31"/>
        <v>14.430117404444443</v>
      </c>
      <c r="H211" s="12">
        <f t="shared" si="32"/>
        <v>14.430117404444443</v>
      </c>
      <c r="I211" s="1" t="str">
        <f t="shared" si="33"/>
        <v>No</v>
      </c>
      <c r="J211" s="1" t="str">
        <f t="shared" si="34"/>
        <v>Si</v>
      </c>
      <c r="K211" s="1" t="str">
        <f t="shared" si="35"/>
        <v/>
      </c>
    </row>
    <row r="212" spans="1:11" x14ac:dyDescent="0.3">
      <c r="A212" s="1">
        <v>3</v>
      </c>
      <c r="B212" s="1">
        <v>41</v>
      </c>
      <c r="C212" s="12">
        <f t="shared" si="27"/>
        <v>-1.65</v>
      </c>
      <c r="D212" s="12">
        <f t="shared" si="28"/>
        <v>1.2000000000000002</v>
      </c>
      <c r="E212" s="12">
        <f t="shared" si="29"/>
        <v>11.018062876444443</v>
      </c>
      <c r="F212" s="12">
        <f t="shared" si="30"/>
        <v>11.018062876444443</v>
      </c>
      <c r="G212" s="12">
        <f t="shared" si="31"/>
        <v>14.426613048888889</v>
      </c>
      <c r="H212" s="12">
        <f t="shared" si="32"/>
        <v>14.426613048888889</v>
      </c>
      <c r="I212" s="1" t="str">
        <f t="shared" si="33"/>
        <v>No</v>
      </c>
      <c r="J212" s="1" t="str">
        <f t="shared" si="34"/>
        <v>Si</v>
      </c>
      <c r="K212" s="1" t="str">
        <f t="shared" si="35"/>
        <v/>
      </c>
    </row>
    <row r="213" spans="1:11" x14ac:dyDescent="0.3">
      <c r="A213" s="1">
        <v>3</v>
      </c>
      <c r="B213" s="1">
        <v>42</v>
      </c>
      <c r="C213" s="12">
        <f t="shared" si="27"/>
        <v>-1.65</v>
      </c>
      <c r="D213" s="12">
        <f t="shared" si="28"/>
        <v>1.2749999999999999</v>
      </c>
      <c r="E213" s="12">
        <f t="shared" si="29"/>
        <v>11.015574783999998</v>
      </c>
      <c r="F213" s="12">
        <f t="shared" si="30"/>
        <v>11.015574783999998</v>
      </c>
      <c r="G213" s="12">
        <f t="shared" si="31"/>
        <v>14.423108693333333</v>
      </c>
      <c r="H213" s="12">
        <f t="shared" si="32"/>
        <v>14.423108693333333</v>
      </c>
      <c r="I213" s="1" t="str">
        <f t="shared" si="33"/>
        <v>No</v>
      </c>
      <c r="J213" s="1" t="str">
        <f t="shared" si="34"/>
        <v>Si</v>
      </c>
      <c r="K213" s="1" t="str">
        <f t="shared" si="35"/>
        <v/>
      </c>
    </row>
    <row r="214" spans="1:11" x14ac:dyDescent="0.3">
      <c r="A214" s="1">
        <v>3</v>
      </c>
      <c r="B214" s="1">
        <v>43</v>
      </c>
      <c r="C214" s="12">
        <f t="shared" si="27"/>
        <v>-1.65</v>
      </c>
      <c r="D214" s="12">
        <f t="shared" si="28"/>
        <v>1.35</v>
      </c>
      <c r="E214" s="12">
        <f t="shared" si="29"/>
        <v>11.013086691555554</v>
      </c>
      <c r="F214" s="12">
        <f t="shared" si="30"/>
        <v>11.013086691555554</v>
      </c>
      <c r="G214" s="12">
        <f t="shared" si="31"/>
        <v>14.419604337777777</v>
      </c>
      <c r="H214" s="12">
        <f t="shared" si="32"/>
        <v>14.419604337777777</v>
      </c>
      <c r="I214" s="1" t="str">
        <f t="shared" si="33"/>
        <v>No</v>
      </c>
      <c r="J214" s="1" t="str">
        <f t="shared" si="34"/>
        <v>Si</v>
      </c>
      <c r="K214" s="1" t="str">
        <f t="shared" si="35"/>
        <v/>
      </c>
    </row>
    <row r="215" spans="1:11" x14ac:dyDescent="0.3">
      <c r="A215" s="1">
        <v>3</v>
      </c>
      <c r="B215" s="1">
        <v>44</v>
      </c>
      <c r="C215" s="12">
        <f t="shared" si="27"/>
        <v>-1.65</v>
      </c>
      <c r="D215" s="12">
        <f t="shared" si="28"/>
        <v>1.4249999999999998</v>
      </c>
      <c r="E215" s="12">
        <f t="shared" si="29"/>
        <v>11.010598599111111</v>
      </c>
      <c r="F215" s="12">
        <f t="shared" si="30"/>
        <v>11.010598599111111</v>
      </c>
      <c r="G215" s="12">
        <f t="shared" si="31"/>
        <v>14.416099982222221</v>
      </c>
      <c r="H215" s="12">
        <f t="shared" si="32"/>
        <v>14.416099982222221</v>
      </c>
      <c r="I215" s="1" t="str">
        <f t="shared" si="33"/>
        <v>No</v>
      </c>
      <c r="J215" s="1" t="str">
        <f t="shared" si="34"/>
        <v>Si</v>
      </c>
      <c r="K215" s="1" t="str">
        <f t="shared" si="35"/>
        <v/>
      </c>
    </row>
    <row r="216" spans="1:11" x14ac:dyDescent="0.3">
      <c r="A216" s="1">
        <v>3</v>
      </c>
      <c r="B216" s="1">
        <v>45</v>
      </c>
      <c r="C216" s="12">
        <f t="shared" si="27"/>
        <v>-1.65</v>
      </c>
      <c r="D216" s="12">
        <f t="shared" si="28"/>
        <v>1.5</v>
      </c>
      <c r="E216" s="12">
        <f t="shared" si="29"/>
        <v>11.008110506666666</v>
      </c>
      <c r="F216" s="12">
        <f t="shared" si="30"/>
        <v>11.008110506666666</v>
      </c>
      <c r="G216" s="12">
        <f t="shared" si="31"/>
        <v>14.412595626666667</v>
      </c>
      <c r="H216" s="12">
        <f t="shared" si="32"/>
        <v>14.412595626666667</v>
      </c>
      <c r="I216" s="1" t="str">
        <f t="shared" si="33"/>
        <v>No</v>
      </c>
      <c r="J216" s="1" t="str">
        <f t="shared" si="34"/>
        <v>Si</v>
      </c>
      <c r="K216" s="1" t="str">
        <f t="shared" si="35"/>
        <v/>
      </c>
    </row>
    <row r="217" spans="1:11" x14ac:dyDescent="0.3">
      <c r="A217" s="1">
        <v>3</v>
      </c>
      <c r="B217" s="1">
        <v>46</v>
      </c>
      <c r="C217" s="12">
        <f t="shared" si="27"/>
        <v>-1.65</v>
      </c>
      <c r="D217" s="12">
        <f t="shared" si="28"/>
        <v>1.5750000000000002</v>
      </c>
      <c r="E217" s="12">
        <f t="shared" si="29"/>
        <v>11.005622414222222</v>
      </c>
      <c r="F217" s="12">
        <f t="shared" si="30"/>
        <v>11.005622414222222</v>
      </c>
      <c r="G217" s="12">
        <f t="shared" si="31"/>
        <v>14.409091271111111</v>
      </c>
      <c r="H217" s="12">
        <f t="shared" si="32"/>
        <v>14.409091271111111</v>
      </c>
      <c r="I217" s="1" t="str">
        <f t="shared" si="33"/>
        <v>No</v>
      </c>
      <c r="J217" s="1" t="str">
        <f t="shared" si="34"/>
        <v>Si</v>
      </c>
      <c r="K217" s="1" t="str">
        <f t="shared" si="35"/>
        <v/>
      </c>
    </row>
    <row r="218" spans="1:11" x14ac:dyDescent="0.3">
      <c r="A218" s="1">
        <v>3</v>
      </c>
      <c r="B218" s="1">
        <v>47</v>
      </c>
      <c r="C218" s="12">
        <f t="shared" si="27"/>
        <v>-1.65</v>
      </c>
      <c r="D218" s="12">
        <f t="shared" si="28"/>
        <v>1.65</v>
      </c>
      <c r="E218" s="12">
        <f t="shared" si="29"/>
        <v>11.003134321777777</v>
      </c>
      <c r="F218" s="12">
        <f t="shared" si="30"/>
        <v>11.003134321777777</v>
      </c>
      <c r="G218" s="12">
        <f t="shared" si="31"/>
        <v>14.405586915555554</v>
      </c>
      <c r="H218" s="12">
        <f t="shared" si="32"/>
        <v>14.405586915555554</v>
      </c>
      <c r="I218" s="1" t="str">
        <f t="shared" si="33"/>
        <v>No</v>
      </c>
      <c r="J218" s="1" t="str">
        <f t="shared" si="34"/>
        <v>Si</v>
      </c>
      <c r="K218" s="1" t="str">
        <f t="shared" si="35"/>
        <v/>
      </c>
    </row>
    <row r="219" spans="1:11" x14ac:dyDescent="0.3">
      <c r="A219" s="1">
        <v>3</v>
      </c>
      <c r="B219" s="1">
        <v>48</v>
      </c>
      <c r="C219" s="12">
        <f t="shared" si="27"/>
        <v>-1.65</v>
      </c>
      <c r="D219" s="12">
        <f t="shared" si="28"/>
        <v>1.7250000000000001</v>
      </c>
      <c r="E219" s="12">
        <f t="shared" si="29"/>
        <v>11.000646229333332</v>
      </c>
      <c r="F219" s="12">
        <f t="shared" si="30"/>
        <v>11.000646229333332</v>
      </c>
      <c r="G219" s="12">
        <f t="shared" si="31"/>
        <v>14.40208256</v>
      </c>
      <c r="H219" s="12">
        <f t="shared" si="32"/>
        <v>14.40208256</v>
      </c>
      <c r="I219" s="1" t="str">
        <f t="shared" si="33"/>
        <v>No</v>
      </c>
      <c r="J219" s="1" t="str">
        <f t="shared" si="34"/>
        <v>Si</v>
      </c>
      <c r="K219" s="1" t="str">
        <f t="shared" si="35"/>
        <v/>
      </c>
    </row>
    <row r="220" spans="1:11" x14ac:dyDescent="0.3">
      <c r="A220" s="1">
        <v>3</v>
      </c>
      <c r="B220" s="1">
        <v>49</v>
      </c>
      <c r="C220" s="12">
        <f t="shared" si="27"/>
        <v>-1.65</v>
      </c>
      <c r="D220" s="12">
        <f t="shared" si="28"/>
        <v>1.7999999999999998</v>
      </c>
      <c r="E220" s="12">
        <f t="shared" si="29"/>
        <v>10.998158136888888</v>
      </c>
      <c r="F220" s="12">
        <f t="shared" si="30"/>
        <v>10.998158136888888</v>
      </c>
      <c r="G220" s="12">
        <f t="shared" si="31"/>
        <v>14.398578204444444</v>
      </c>
      <c r="H220" s="12">
        <f t="shared" si="32"/>
        <v>14.398578204444444</v>
      </c>
      <c r="I220" s="1" t="str">
        <f t="shared" si="33"/>
        <v>No</v>
      </c>
      <c r="J220" s="1" t="str">
        <f t="shared" si="34"/>
        <v>Si</v>
      </c>
      <c r="K220" s="1" t="str">
        <f t="shared" si="35"/>
        <v/>
      </c>
    </row>
    <row r="221" spans="1:11" x14ac:dyDescent="0.3">
      <c r="A221" s="1">
        <v>3</v>
      </c>
      <c r="B221" s="1">
        <v>50</v>
      </c>
      <c r="C221" s="12">
        <f t="shared" si="27"/>
        <v>-1.65</v>
      </c>
      <c r="D221" s="12">
        <f t="shared" si="28"/>
        <v>1.875</v>
      </c>
      <c r="E221" s="12">
        <f t="shared" si="29"/>
        <v>10.995670044444443</v>
      </c>
      <c r="F221" s="12">
        <f t="shared" si="30"/>
        <v>10.995670044444443</v>
      </c>
      <c r="G221" s="12">
        <f t="shared" si="31"/>
        <v>14.395073848888888</v>
      </c>
      <c r="H221" s="12">
        <f t="shared" si="32"/>
        <v>14.395073848888888</v>
      </c>
      <c r="I221" s="1" t="str">
        <f t="shared" si="33"/>
        <v>No</v>
      </c>
      <c r="J221" s="1" t="str">
        <f t="shared" si="34"/>
        <v>Si</v>
      </c>
      <c r="K221" s="1" t="str">
        <f t="shared" si="35"/>
        <v/>
      </c>
    </row>
    <row r="222" spans="1:11" x14ac:dyDescent="0.3">
      <c r="A222" s="1">
        <v>4</v>
      </c>
      <c r="B222" s="1">
        <v>0</v>
      </c>
      <c r="C222" s="12">
        <f t="shared" si="27"/>
        <v>-1.575</v>
      </c>
      <c r="D222" s="12">
        <f t="shared" si="28"/>
        <v>-1.875</v>
      </c>
      <c r="E222" s="12">
        <f t="shared" si="29"/>
        <v>11.12076871111111</v>
      </c>
      <c r="F222" s="12">
        <f t="shared" si="30"/>
        <v>11.12076871111111</v>
      </c>
      <c r="G222" s="12">
        <f t="shared" si="31"/>
        <v>14.571329279999999</v>
      </c>
      <c r="H222" s="12">
        <f t="shared" si="32"/>
        <v>14.571329279999999</v>
      </c>
      <c r="I222" s="1" t="str">
        <f t="shared" si="33"/>
        <v>No</v>
      </c>
      <c r="J222" s="1" t="str">
        <f t="shared" si="34"/>
        <v>Si</v>
      </c>
      <c r="K222" s="1" t="str">
        <f t="shared" si="35"/>
        <v/>
      </c>
    </row>
    <row r="223" spans="1:11" x14ac:dyDescent="0.3">
      <c r="A223" s="1">
        <v>4</v>
      </c>
      <c r="B223" s="1">
        <v>1</v>
      </c>
      <c r="C223" s="12">
        <f t="shared" si="27"/>
        <v>-1.575</v>
      </c>
      <c r="D223" s="12">
        <f t="shared" si="28"/>
        <v>-1.8</v>
      </c>
      <c r="E223" s="12">
        <f t="shared" si="29"/>
        <v>11.118280618666665</v>
      </c>
      <c r="F223" s="12">
        <f t="shared" si="30"/>
        <v>11.118280618666665</v>
      </c>
      <c r="G223" s="12">
        <f t="shared" si="31"/>
        <v>14.567824924444443</v>
      </c>
      <c r="H223" s="12">
        <f t="shared" si="32"/>
        <v>14.567824924444443</v>
      </c>
      <c r="I223" s="1" t="str">
        <f t="shared" si="33"/>
        <v>No</v>
      </c>
      <c r="J223" s="1" t="str">
        <f t="shared" si="34"/>
        <v>Si</v>
      </c>
      <c r="K223" s="1" t="str">
        <f t="shared" si="35"/>
        <v/>
      </c>
    </row>
    <row r="224" spans="1:11" x14ac:dyDescent="0.3">
      <c r="A224" s="1">
        <v>4</v>
      </c>
      <c r="B224" s="1">
        <v>2</v>
      </c>
      <c r="C224" s="12">
        <f t="shared" si="27"/>
        <v>-1.575</v>
      </c>
      <c r="D224" s="12">
        <f t="shared" si="28"/>
        <v>-1.7250000000000001</v>
      </c>
      <c r="E224" s="12">
        <f t="shared" si="29"/>
        <v>11.11579252622222</v>
      </c>
      <c r="F224" s="12">
        <f t="shared" si="30"/>
        <v>11.11579252622222</v>
      </c>
      <c r="G224" s="12">
        <f t="shared" si="31"/>
        <v>14.564320568888887</v>
      </c>
      <c r="H224" s="12">
        <f t="shared" si="32"/>
        <v>14.564320568888887</v>
      </c>
      <c r="I224" s="1" t="str">
        <f t="shared" si="33"/>
        <v>No</v>
      </c>
      <c r="J224" s="1" t="str">
        <f t="shared" si="34"/>
        <v>Si</v>
      </c>
      <c r="K224" s="1" t="str">
        <f t="shared" si="35"/>
        <v/>
      </c>
    </row>
    <row r="225" spans="1:11" x14ac:dyDescent="0.3">
      <c r="A225" s="1">
        <v>4</v>
      </c>
      <c r="B225" s="1">
        <v>3</v>
      </c>
      <c r="C225" s="12">
        <f t="shared" si="27"/>
        <v>-1.575</v>
      </c>
      <c r="D225" s="12">
        <f t="shared" si="28"/>
        <v>-1.65</v>
      </c>
      <c r="E225" s="12">
        <f t="shared" si="29"/>
        <v>11.113304433777776</v>
      </c>
      <c r="F225" s="12">
        <f t="shared" si="30"/>
        <v>11.113304433777776</v>
      </c>
      <c r="G225" s="12">
        <f t="shared" si="31"/>
        <v>14.560816213333332</v>
      </c>
      <c r="H225" s="12">
        <f t="shared" si="32"/>
        <v>14.560816213333332</v>
      </c>
      <c r="I225" s="1" t="str">
        <f t="shared" si="33"/>
        <v>No</v>
      </c>
      <c r="J225" s="1" t="str">
        <f t="shared" si="34"/>
        <v>Si</v>
      </c>
      <c r="K225" s="1" t="str">
        <f t="shared" si="35"/>
        <v/>
      </c>
    </row>
    <row r="226" spans="1:11" x14ac:dyDescent="0.3">
      <c r="A226" s="1">
        <v>4</v>
      </c>
      <c r="B226" s="1">
        <v>4</v>
      </c>
      <c r="C226" s="12">
        <f t="shared" si="27"/>
        <v>-1.575</v>
      </c>
      <c r="D226" s="12">
        <f t="shared" si="28"/>
        <v>-1.575</v>
      </c>
      <c r="E226" s="12">
        <f t="shared" si="29"/>
        <v>11.110816341333331</v>
      </c>
      <c r="F226" s="12">
        <f t="shared" si="30"/>
        <v>11.110816341333331</v>
      </c>
      <c r="G226" s="12">
        <f t="shared" si="31"/>
        <v>14.557311857777776</v>
      </c>
      <c r="H226" s="12">
        <f t="shared" si="32"/>
        <v>14.557311857777776</v>
      </c>
      <c r="I226" s="1" t="str">
        <f t="shared" si="33"/>
        <v>No</v>
      </c>
      <c r="J226" s="1" t="str">
        <f t="shared" si="34"/>
        <v>Si</v>
      </c>
      <c r="K226" s="1" t="str">
        <f t="shared" si="35"/>
        <v/>
      </c>
    </row>
    <row r="227" spans="1:11" x14ac:dyDescent="0.3">
      <c r="A227" s="1">
        <v>4</v>
      </c>
      <c r="B227" s="1">
        <v>5</v>
      </c>
      <c r="C227" s="12">
        <f t="shared" si="27"/>
        <v>-1.575</v>
      </c>
      <c r="D227" s="12">
        <f t="shared" si="28"/>
        <v>-1.5</v>
      </c>
      <c r="E227" s="12">
        <f t="shared" si="29"/>
        <v>11.108328248888887</v>
      </c>
      <c r="F227" s="12">
        <f t="shared" si="30"/>
        <v>11.108328248888887</v>
      </c>
      <c r="G227" s="12">
        <f t="shared" si="31"/>
        <v>14.55380750222222</v>
      </c>
      <c r="H227" s="12">
        <f t="shared" si="32"/>
        <v>14.55380750222222</v>
      </c>
      <c r="I227" s="1" t="str">
        <f t="shared" si="33"/>
        <v>No</v>
      </c>
      <c r="J227" s="1" t="str">
        <f t="shared" si="34"/>
        <v>Si</v>
      </c>
      <c r="K227" s="1" t="str">
        <f t="shared" si="35"/>
        <v/>
      </c>
    </row>
    <row r="228" spans="1:11" x14ac:dyDescent="0.3">
      <c r="A228" s="1">
        <v>4</v>
      </c>
      <c r="B228" s="1">
        <v>6</v>
      </c>
      <c r="C228" s="12">
        <f t="shared" si="27"/>
        <v>-1.575</v>
      </c>
      <c r="D228" s="12">
        <f t="shared" si="28"/>
        <v>-1.425</v>
      </c>
      <c r="E228" s="12">
        <f t="shared" si="29"/>
        <v>11.105840156444442</v>
      </c>
      <c r="F228" s="12">
        <f t="shared" si="30"/>
        <v>11.105840156444442</v>
      </c>
      <c r="G228" s="12">
        <f t="shared" si="31"/>
        <v>14.550303146666666</v>
      </c>
      <c r="H228" s="12">
        <f t="shared" si="32"/>
        <v>14.550303146666666</v>
      </c>
      <c r="I228" s="1" t="str">
        <f t="shared" si="33"/>
        <v>No</v>
      </c>
      <c r="J228" s="1" t="str">
        <f t="shared" si="34"/>
        <v>Si</v>
      </c>
      <c r="K228" s="1" t="str">
        <f t="shared" si="35"/>
        <v/>
      </c>
    </row>
    <row r="229" spans="1:11" x14ac:dyDescent="0.3">
      <c r="A229" s="1">
        <v>4</v>
      </c>
      <c r="B229" s="1">
        <v>7</v>
      </c>
      <c r="C229" s="12">
        <f t="shared" si="27"/>
        <v>-1.575</v>
      </c>
      <c r="D229" s="12">
        <f t="shared" si="28"/>
        <v>-1.35</v>
      </c>
      <c r="E229" s="12">
        <f t="shared" si="29"/>
        <v>11.103352063999999</v>
      </c>
      <c r="F229" s="12">
        <f t="shared" si="30"/>
        <v>11.103352063999999</v>
      </c>
      <c r="G229" s="12">
        <f t="shared" si="31"/>
        <v>14.54679879111111</v>
      </c>
      <c r="H229" s="12">
        <f t="shared" si="32"/>
        <v>14.54679879111111</v>
      </c>
      <c r="I229" s="1" t="str">
        <f t="shared" si="33"/>
        <v>No</v>
      </c>
      <c r="J229" s="1" t="str">
        <f t="shared" si="34"/>
        <v>Si</v>
      </c>
      <c r="K229" s="1" t="str">
        <f t="shared" si="35"/>
        <v/>
      </c>
    </row>
    <row r="230" spans="1:11" x14ac:dyDescent="0.3">
      <c r="A230" s="1">
        <v>4</v>
      </c>
      <c r="B230" s="1">
        <v>8</v>
      </c>
      <c r="C230" s="12">
        <f t="shared" si="27"/>
        <v>-1.575</v>
      </c>
      <c r="D230" s="12">
        <f t="shared" si="28"/>
        <v>-1.2749999999999999</v>
      </c>
      <c r="E230" s="12">
        <f t="shared" si="29"/>
        <v>11.100863971555555</v>
      </c>
      <c r="F230" s="12">
        <f t="shared" si="30"/>
        <v>11.100863971555555</v>
      </c>
      <c r="G230" s="12">
        <f t="shared" si="31"/>
        <v>14.543294435555554</v>
      </c>
      <c r="H230" s="12">
        <f t="shared" si="32"/>
        <v>14.543294435555554</v>
      </c>
      <c r="I230" s="1" t="str">
        <f t="shared" si="33"/>
        <v>No</v>
      </c>
      <c r="J230" s="1" t="str">
        <f t="shared" si="34"/>
        <v>Si</v>
      </c>
      <c r="K230" s="1" t="str">
        <f t="shared" si="35"/>
        <v/>
      </c>
    </row>
    <row r="231" spans="1:11" x14ac:dyDescent="0.3">
      <c r="A231" s="1">
        <v>4</v>
      </c>
      <c r="B231" s="1">
        <v>9</v>
      </c>
      <c r="C231" s="12">
        <f t="shared" si="27"/>
        <v>-1.575</v>
      </c>
      <c r="D231" s="12">
        <f t="shared" si="28"/>
        <v>-1.2</v>
      </c>
      <c r="E231" s="12">
        <f t="shared" si="29"/>
        <v>11.09837587911111</v>
      </c>
      <c r="F231" s="12">
        <f t="shared" si="30"/>
        <v>11.09837587911111</v>
      </c>
      <c r="G231" s="12">
        <f t="shared" si="31"/>
        <v>14.539790079999998</v>
      </c>
      <c r="H231" s="12">
        <f t="shared" si="32"/>
        <v>14.539790079999998</v>
      </c>
      <c r="I231" s="1" t="str">
        <f t="shared" si="33"/>
        <v>No</v>
      </c>
      <c r="J231" s="1" t="str">
        <f t="shared" si="34"/>
        <v>Si</v>
      </c>
      <c r="K231" s="1" t="str">
        <f t="shared" si="35"/>
        <v/>
      </c>
    </row>
    <row r="232" spans="1:11" x14ac:dyDescent="0.3">
      <c r="A232" s="1">
        <v>4</v>
      </c>
      <c r="B232" s="1">
        <v>10</v>
      </c>
      <c r="C232" s="12">
        <f t="shared" si="27"/>
        <v>-1.575</v>
      </c>
      <c r="D232" s="12">
        <f t="shared" si="28"/>
        <v>-1.125</v>
      </c>
      <c r="E232" s="12">
        <f t="shared" si="29"/>
        <v>11.095887786666665</v>
      </c>
      <c r="F232" s="12">
        <f t="shared" si="30"/>
        <v>11.095887786666665</v>
      </c>
      <c r="G232" s="12">
        <f t="shared" si="31"/>
        <v>14.536285724444443</v>
      </c>
      <c r="H232" s="12">
        <f t="shared" si="32"/>
        <v>14.536285724444443</v>
      </c>
      <c r="I232" s="1" t="str">
        <f t="shared" si="33"/>
        <v>No</v>
      </c>
      <c r="J232" s="1" t="str">
        <f t="shared" si="34"/>
        <v>Si</v>
      </c>
      <c r="K232" s="1" t="str">
        <f t="shared" si="35"/>
        <v/>
      </c>
    </row>
    <row r="233" spans="1:11" x14ac:dyDescent="0.3">
      <c r="A233" s="1">
        <v>4</v>
      </c>
      <c r="B233" s="1">
        <v>11</v>
      </c>
      <c r="C233" s="12">
        <f t="shared" si="27"/>
        <v>-1.575</v>
      </c>
      <c r="D233" s="12">
        <f t="shared" si="28"/>
        <v>-1.05</v>
      </c>
      <c r="E233" s="12">
        <f t="shared" si="29"/>
        <v>11.093399694222221</v>
      </c>
      <c r="F233" s="12">
        <f t="shared" si="30"/>
        <v>11.093399694222221</v>
      </c>
      <c r="G233" s="12">
        <f t="shared" si="31"/>
        <v>14.532781368888887</v>
      </c>
      <c r="H233" s="12">
        <f t="shared" si="32"/>
        <v>14.532781368888887</v>
      </c>
      <c r="I233" s="1" t="str">
        <f t="shared" si="33"/>
        <v>No</v>
      </c>
      <c r="J233" s="1" t="str">
        <f t="shared" si="34"/>
        <v>Si</v>
      </c>
      <c r="K233" s="1" t="str">
        <f t="shared" si="35"/>
        <v/>
      </c>
    </row>
    <row r="234" spans="1:11" x14ac:dyDescent="0.3">
      <c r="A234" s="1">
        <v>4</v>
      </c>
      <c r="B234" s="1">
        <v>12</v>
      </c>
      <c r="C234" s="12">
        <f t="shared" si="27"/>
        <v>-1.575</v>
      </c>
      <c r="D234" s="12">
        <f t="shared" si="28"/>
        <v>-0.97499999999999998</v>
      </c>
      <c r="E234" s="12">
        <f t="shared" si="29"/>
        <v>11.090911601777776</v>
      </c>
      <c r="F234" s="12">
        <f t="shared" si="30"/>
        <v>11.090911601777776</v>
      </c>
      <c r="G234" s="12">
        <f t="shared" si="31"/>
        <v>14.529277013333331</v>
      </c>
      <c r="H234" s="12">
        <f t="shared" si="32"/>
        <v>14.529277013333331</v>
      </c>
      <c r="I234" s="1" t="str">
        <f t="shared" si="33"/>
        <v>No</v>
      </c>
      <c r="J234" s="1" t="str">
        <f t="shared" si="34"/>
        <v>Si</v>
      </c>
      <c r="K234" s="1" t="str">
        <f t="shared" si="35"/>
        <v/>
      </c>
    </row>
    <row r="235" spans="1:11" x14ac:dyDescent="0.3">
      <c r="A235" s="1">
        <v>4</v>
      </c>
      <c r="B235" s="1">
        <v>13</v>
      </c>
      <c r="C235" s="12">
        <f t="shared" si="27"/>
        <v>-1.575</v>
      </c>
      <c r="D235" s="12">
        <f t="shared" si="28"/>
        <v>-0.9</v>
      </c>
      <c r="E235" s="12">
        <f t="shared" si="29"/>
        <v>11.088423509333332</v>
      </c>
      <c r="F235" s="12">
        <f t="shared" si="30"/>
        <v>11.088423509333332</v>
      </c>
      <c r="G235" s="12">
        <f t="shared" si="31"/>
        <v>14.525772657777777</v>
      </c>
      <c r="H235" s="12">
        <f t="shared" si="32"/>
        <v>14.525772657777777</v>
      </c>
      <c r="I235" s="1" t="str">
        <f t="shared" si="33"/>
        <v>No</v>
      </c>
      <c r="J235" s="1" t="str">
        <f t="shared" si="34"/>
        <v>Si</v>
      </c>
      <c r="K235" s="1" t="str">
        <f t="shared" si="35"/>
        <v/>
      </c>
    </row>
    <row r="236" spans="1:11" x14ac:dyDescent="0.3">
      <c r="A236" s="1">
        <v>4</v>
      </c>
      <c r="B236" s="1">
        <v>14</v>
      </c>
      <c r="C236" s="12">
        <f t="shared" si="27"/>
        <v>-1.575</v>
      </c>
      <c r="D236" s="12">
        <f t="shared" si="28"/>
        <v>-0.82499999999999996</v>
      </c>
      <c r="E236" s="12">
        <f t="shared" si="29"/>
        <v>11.085935416888887</v>
      </c>
      <c r="F236" s="12">
        <f t="shared" si="30"/>
        <v>11.085935416888887</v>
      </c>
      <c r="G236" s="12">
        <f t="shared" si="31"/>
        <v>14.522268302222221</v>
      </c>
      <c r="H236" s="12">
        <f t="shared" si="32"/>
        <v>14.522268302222221</v>
      </c>
      <c r="I236" s="1" t="str">
        <f t="shared" si="33"/>
        <v>No</v>
      </c>
      <c r="J236" s="1" t="str">
        <f t="shared" si="34"/>
        <v>Si</v>
      </c>
      <c r="K236" s="1" t="str">
        <f t="shared" si="35"/>
        <v/>
      </c>
    </row>
    <row r="237" spans="1:11" x14ac:dyDescent="0.3">
      <c r="A237" s="1">
        <v>4</v>
      </c>
      <c r="B237" s="1">
        <v>15</v>
      </c>
      <c r="C237" s="12">
        <f t="shared" si="27"/>
        <v>-1.575</v>
      </c>
      <c r="D237" s="12">
        <f t="shared" si="28"/>
        <v>-0.75</v>
      </c>
      <c r="E237" s="12">
        <f t="shared" si="29"/>
        <v>11.083447324444442</v>
      </c>
      <c r="F237" s="12">
        <f t="shared" si="30"/>
        <v>11.083447324444442</v>
      </c>
      <c r="G237" s="12">
        <f t="shared" si="31"/>
        <v>14.518763946666665</v>
      </c>
      <c r="H237" s="12">
        <f t="shared" si="32"/>
        <v>14.518763946666665</v>
      </c>
      <c r="I237" s="1" t="str">
        <f t="shared" si="33"/>
        <v>No</v>
      </c>
      <c r="J237" s="1" t="str">
        <f t="shared" si="34"/>
        <v>Si</v>
      </c>
      <c r="K237" s="1" t="str">
        <f t="shared" si="35"/>
        <v/>
      </c>
    </row>
    <row r="238" spans="1:11" x14ac:dyDescent="0.3">
      <c r="A238" s="1">
        <v>4</v>
      </c>
      <c r="B238" s="1">
        <v>16</v>
      </c>
      <c r="C238" s="12">
        <f t="shared" si="27"/>
        <v>-1.575</v>
      </c>
      <c r="D238" s="12">
        <f t="shared" si="28"/>
        <v>-0.67500000000000004</v>
      </c>
      <c r="E238" s="12">
        <f t="shared" si="29"/>
        <v>11.080959231999998</v>
      </c>
      <c r="F238" s="12">
        <f t="shared" si="30"/>
        <v>11.080959231999998</v>
      </c>
      <c r="G238" s="12">
        <f t="shared" si="31"/>
        <v>14.515259591111109</v>
      </c>
      <c r="H238" s="12">
        <f t="shared" si="32"/>
        <v>14.515259591111109</v>
      </c>
      <c r="I238" s="1" t="str">
        <f t="shared" si="33"/>
        <v>No</v>
      </c>
      <c r="J238" s="1" t="str">
        <f t="shared" si="34"/>
        <v>Si</v>
      </c>
      <c r="K238" s="1" t="str">
        <f t="shared" si="35"/>
        <v/>
      </c>
    </row>
    <row r="239" spans="1:11" x14ac:dyDescent="0.3">
      <c r="A239" s="1">
        <v>4</v>
      </c>
      <c r="B239" s="1">
        <v>17</v>
      </c>
      <c r="C239" s="12">
        <f t="shared" si="27"/>
        <v>-1.575</v>
      </c>
      <c r="D239" s="12">
        <f t="shared" si="28"/>
        <v>-0.60000000000000009</v>
      </c>
      <c r="E239" s="12">
        <f t="shared" si="29"/>
        <v>11.078471139555553</v>
      </c>
      <c r="F239" s="12">
        <f t="shared" si="30"/>
        <v>11.078471139555553</v>
      </c>
      <c r="G239" s="12">
        <f t="shared" si="31"/>
        <v>14.511755235555555</v>
      </c>
      <c r="H239" s="12">
        <f t="shared" si="32"/>
        <v>14.511755235555555</v>
      </c>
      <c r="I239" s="1" t="str">
        <f t="shared" si="33"/>
        <v>No</v>
      </c>
      <c r="J239" s="1" t="str">
        <f t="shared" si="34"/>
        <v>Si</v>
      </c>
      <c r="K239" s="1" t="str">
        <f t="shared" si="35"/>
        <v/>
      </c>
    </row>
    <row r="240" spans="1:11" x14ac:dyDescent="0.3">
      <c r="A240" s="1">
        <v>4</v>
      </c>
      <c r="B240" s="1">
        <v>18</v>
      </c>
      <c r="C240" s="12">
        <f t="shared" si="27"/>
        <v>-1.575</v>
      </c>
      <c r="D240" s="12">
        <f t="shared" si="28"/>
        <v>-0.52499999999999991</v>
      </c>
      <c r="E240" s="12">
        <f t="shared" si="29"/>
        <v>11.075983047111109</v>
      </c>
      <c r="F240" s="12">
        <f t="shared" si="30"/>
        <v>11.075983047111109</v>
      </c>
      <c r="G240" s="12">
        <f t="shared" si="31"/>
        <v>14.508250879999999</v>
      </c>
      <c r="H240" s="12">
        <f t="shared" si="32"/>
        <v>14.508250879999999</v>
      </c>
      <c r="I240" s="1" t="str">
        <f t="shared" si="33"/>
        <v>No</v>
      </c>
      <c r="J240" s="1" t="str">
        <f t="shared" si="34"/>
        <v>Si</v>
      </c>
      <c r="K240" s="1" t="str">
        <f t="shared" si="35"/>
        <v/>
      </c>
    </row>
    <row r="241" spans="1:11" x14ac:dyDescent="0.3">
      <c r="A241" s="1">
        <v>4</v>
      </c>
      <c r="B241" s="1">
        <v>19</v>
      </c>
      <c r="C241" s="12">
        <f t="shared" si="27"/>
        <v>-1.575</v>
      </c>
      <c r="D241" s="12">
        <f t="shared" si="28"/>
        <v>-0.44999999999999996</v>
      </c>
      <c r="E241" s="12">
        <f t="shared" si="29"/>
        <v>11.073494954666666</v>
      </c>
      <c r="F241" s="12">
        <f t="shared" si="30"/>
        <v>11.073494954666666</v>
      </c>
      <c r="G241" s="12">
        <f t="shared" si="31"/>
        <v>14.504746524444442</v>
      </c>
      <c r="H241" s="12">
        <f t="shared" si="32"/>
        <v>14.504746524444442</v>
      </c>
      <c r="I241" s="1" t="str">
        <f t="shared" si="33"/>
        <v>No</v>
      </c>
      <c r="J241" s="1" t="str">
        <f t="shared" si="34"/>
        <v>Si</v>
      </c>
      <c r="K241" s="1" t="str">
        <f t="shared" si="35"/>
        <v/>
      </c>
    </row>
    <row r="242" spans="1:11" x14ac:dyDescent="0.3">
      <c r="A242" s="1">
        <v>4</v>
      </c>
      <c r="B242" s="1">
        <v>20</v>
      </c>
      <c r="C242" s="12">
        <f t="shared" si="27"/>
        <v>-1.575</v>
      </c>
      <c r="D242" s="12">
        <f t="shared" si="28"/>
        <v>-0.375</v>
      </c>
      <c r="E242" s="12">
        <f t="shared" si="29"/>
        <v>11.071006862222221</v>
      </c>
      <c r="F242" s="12">
        <f t="shared" si="30"/>
        <v>11.071006862222221</v>
      </c>
      <c r="G242" s="12">
        <f t="shared" si="31"/>
        <v>14.501242168888888</v>
      </c>
      <c r="H242" s="12">
        <f t="shared" si="32"/>
        <v>14.501242168888888</v>
      </c>
      <c r="I242" s="1" t="str">
        <f t="shared" si="33"/>
        <v>No</v>
      </c>
      <c r="J242" s="1" t="str">
        <f t="shared" si="34"/>
        <v>Si</v>
      </c>
      <c r="K242" s="1" t="str">
        <f t="shared" si="35"/>
        <v/>
      </c>
    </row>
    <row r="243" spans="1:11" x14ac:dyDescent="0.3">
      <c r="A243" s="1">
        <v>4</v>
      </c>
      <c r="B243" s="1">
        <v>21</v>
      </c>
      <c r="C243" s="12">
        <f t="shared" si="27"/>
        <v>-1.575</v>
      </c>
      <c r="D243" s="12">
        <f t="shared" si="28"/>
        <v>-0.30000000000000004</v>
      </c>
      <c r="E243" s="12">
        <f t="shared" si="29"/>
        <v>11.068518769777777</v>
      </c>
      <c r="F243" s="12">
        <f t="shared" si="30"/>
        <v>11.068518769777777</v>
      </c>
      <c r="G243" s="12">
        <f t="shared" si="31"/>
        <v>14.497737813333332</v>
      </c>
      <c r="H243" s="12">
        <f t="shared" si="32"/>
        <v>14.497737813333332</v>
      </c>
      <c r="I243" s="1" t="str">
        <f t="shared" si="33"/>
        <v>No</v>
      </c>
      <c r="J243" s="1" t="str">
        <f t="shared" si="34"/>
        <v>Si</v>
      </c>
      <c r="K243" s="1" t="str">
        <f t="shared" si="35"/>
        <v/>
      </c>
    </row>
    <row r="244" spans="1:11" x14ac:dyDescent="0.3">
      <c r="A244" s="1">
        <v>4</v>
      </c>
      <c r="B244" s="1">
        <v>22</v>
      </c>
      <c r="C244" s="12">
        <f t="shared" si="27"/>
        <v>-1.575</v>
      </c>
      <c r="D244" s="12">
        <f t="shared" si="28"/>
        <v>-0.22500000000000009</v>
      </c>
      <c r="E244" s="12">
        <f t="shared" si="29"/>
        <v>11.066030677333332</v>
      </c>
      <c r="F244" s="12">
        <f t="shared" si="30"/>
        <v>11.066030677333332</v>
      </c>
      <c r="G244" s="12">
        <f t="shared" si="31"/>
        <v>14.494233457777776</v>
      </c>
      <c r="H244" s="12">
        <f t="shared" si="32"/>
        <v>14.494233457777776</v>
      </c>
      <c r="I244" s="1" t="str">
        <f t="shared" si="33"/>
        <v>No</v>
      </c>
      <c r="J244" s="1" t="str">
        <f t="shared" si="34"/>
        <v>Si</v>
      </c>
      <c r="K244" s="1" t="str">
        <f t="shared" si="35"/>
        <v/>
      </c>
    </row>
    <row r="245" spans="1:11" x14ac:dyDescent="0.3">
      <c r="A245" s="1">
        <v>4</v>
      </c>
      <c r="B245" s="1">
        <v>23</v>
      </c>
      <c r="C245" s="12">
        <f t="shared" si="27"/>
        <v>-1.575</v>
      </c>
      <c r="D245" s="12">
        <f t="shared" si="28"/>
        <v>-0.14999999999999991</v>
      </c>
      <c r="E245" s="12">
        <f t="shared" si="29"/>
        <v>11.063542584888888</v>
      </c>
      <c r="F245" s="12">
        <f t="shared" si="30"/>
        <v>11.063542584888888</v>
      </c>
      <c r="G245" s="12">
        <f t="shared" si="31"/>
        <v>14.49072910222222</v>
      </c>
      <c r="H245" s="12">
        <f t="shared" si="32"/>
        <v>14.49072910222222</v>
      </c>
      <c r="I245" s="1" t="str">
        <f t="shared" si="33"/>
        <v>No</v>
      </c>
      <c r="J245" s="1" t="str">
        <f t="shared" si="34"/>
        <v>Si</v>
      </c>
      <c r="K245" s="1" t="str">
        <f t="shared" si="35"/>
        <v/>
      </c>
    </row>
    <row r="246" spans="1:11" x14ac:dyDescent="0.3">
      <c r="A246" s="1">
        <v>4</v>
      </c>
      <c r="B246" s="1">
        <v>24</v>
      </c>
      <c r="C246" s="12">
        <f t="shared" si="27"/>
        <v>-1.575</v>
      </c>
      <c r="D246" s="12">
        <f t="shared" si="28"/>
        <v>-7.4999999999999956E-2</v>
      </c>
      <c r="E246" s="12">
        <f t="shared" si="29"/>
        <v>11.061054492444443</v>
      </c>
      <c r="F246" s="12">
        <f t="shared" si="30"/>
        <v>11.061054492444443</v>
      </c>
      <c r="G246" s="12">
        <f t="shared" si="31"/>
        <v>14.487224746666666</v>
      </c>
      <c r="H246" s="12">
        <f t="shared" si="32"/>
        <v>14.487224746666666</v>
      </c>
      <c r="I246" s="1" t="str">
        <f t="shared" si="33"/>
        <v>No</v>
      </c>
      <c r="J246" s="1" t="str">
        <f t="shared" si="34"/>
        <v>Si</v>
      </c>
      <c r="K246" s="1" t="str">
        <f t="shared" si="35"/>
        <v/>
      </c>
    </row>
    <row r="247" spans="1:11" x14ac:dyDescent="0.3">
      <c r="A247" s="1">
        <v>4</v>
      </c>
      <c r="B247" s="1">
        <v>25</v>
      </c>
      <c r="C247" s="12">
        <f t="shared" si="27"/>
        <v>-1.575</v>
      </c>
      <c r="D247" s="12">
        <f t="shared" si="28"/>
        <v>0</v>
      </c>
      <c r="E247" s="12">
        <f t="shared" si="29"/>
        <v>11.058566399999998</v>
      </c>
      <c r="F247" s="12">
        <f t="shared" si="30"/>
        <v>11.058566399999998</v>
      </c>
      <c r="G247" s="12">
        <f t="shared" si="31"/>
        <v>14.48372039111111</v>
      </c>
      <c r="H247" s="12">
        <f t="shared" si="32"/>
        <v>14.48372039111111</v>
      </c>
      <c r="I247" s="1" t="str">
        <f t="shared" si="33"/>
        <v>No</v>
      </c>
      <c r="J247" s="1" t="str">
        <f t="shared" si="34"/>
        <v>Si</v>
      </c>
      <c r="K247" s="1" t="str">
        <f t="shared" si="35"/>
        <v/>
      </c>
    </row>
    <row r="248" spans="1:11" x14ac:dyDescent="0.3">
      <c r="A248" s="1">
        <v>4</v>
      </c>
      <c r="B248" s="1">
        <v>26</v>
      </c>
      <c r="C248" s="12">
        <f t="shared" si="27"/>
        <v>-1.575</v>
      </c>
      <c r="D248" s="12">
        <f t="shared" si="28"/>
        <v>7.4999999999999956E-2</v>
      </c>
      <c r="E248" s="12">
        <f t="shared" si="29"/>
        <v>11.056078307555554</v>
      </c>
      <c r="F248" s="12">
        <f t="shared" si="30"/>
        <v>11.056078307555554</v>
      </c>
      <c r="G248" s="12">
        <f t="shared" si="31"/>
        <v>14.480216035555554</v>
      </c>
      <c r="H248" s="12">
        <f t="shared" si="32"/>
        <v>14.480216035555554</v>
      </c>
      <c r="I248" s="1" t="str">
        <f t="shared" si="33"/>
        <v>No</v>
      </c>
      <c r="J248" s="1" t="str">
        <f t="shared" si="34"/>
        <v>Si</v>
      </c>
      <c r="K248" s="1" t="str">
        <f t="shared" si="35"/>
        <v/>
      </c>
    </row>
    <row r="249" spans="1:11" x14ac:dyDescent="0.3">
      <c r="A249" s="1">
        <v>4</v>
      </c>
      <c r="B249" s="1">
        <v>27</v>
      </c>
      <c r="C249" s="12">
        <f t="shared" si="27"/>
        <v>-1.575</v>
      </c>
      <c r="D249" s="12">
        <f t="shared" si="28"/>
        <v>0.14999999999999991</v>
      </c>
      <c r="E249" s="12">
        <f t="shared" si="29"/>
        <v>11.053590215111109</v>
      </c>
      <c r="F249" s="12">
        <f t="shared" si="30"/>
        <v>11.053590215111109</v>
      </c>
      <c r="G249" s="12">
        <f t="shared" si="31"/>
        <v>14.476711679999999</v>
      </c>
      <c r="H249" s="12">
        <f t="shared" si="32"/>
        <v>14.476711679999999</v>
      </c>
      <c r="I249" s="1" t="str">
        <f t="shared" si="33"/>
        <v>No</v>
      </c>
      <c r="J249" s="1" t="str">
        <f t="shared" si="34"/>
        <v>Si</v>
      </c>
      <c r="K249" s="1" t="str">
        <f t="shared" si="35"/>
        <v/>
      </c>
    </row>
    <row r="250" spans="1:11" x14ac:dyDescent="0.3">
      <c r="A250" s="1">
        <v>4</v>
      </c>
      <c r="B250" s="1">
        <v>28</v>
      </c>
      <c r="C250" s="12">
        <f t="shared" si="27"/>
        <v>-1.575</v>
      </c>
      <c r="D250" s="12">
        <f t="shared" si="28"/>
        <v>0.22500000000000009</v>
      </c>
      <c r="E250" s="12">
        <f t="shared" si="29"/>
        <v>11.051102122666665</v>
      </c>
      <c r="F250" s="12">
        <f t="shared" si="30"/>
        <v>11.051102122666665</v>
      </c>
      <c r="G250" s="12">
        <f t="shared" si="31"/>
        <v>14.473207324444443</v>
      </c>
      <c r="H250" s="12">
        <f t="shared" si="32"/>
        <v>14.473207324444443</v>
      </c>
      <c r="I250" s="1" t="str">
        <f t="shared" si="33"/>
        <v>No</v>
      </c>
      <c r="J250" s="1" t="str">
        <f t="shared" si="34"/>
        <v>Si</v>
      </c>
      <c r="K250" s="1" t="str">
        <f t="shared" si="35"/>
        <v/>
      </c>
    </row>
    <row r="251" spans="1:11" x14ac:dyDescent="0.3">
      <c r="A251" s="1">
        <v>4</v>
      </c>
      <c r="B251" s="1">
        <v>29</v>
      </c>
      <c r="C251" s="12">
        <f t="shared" si="27"/>
        <v>-1.575</v>
      </c>
      <c r="D251" s="12">
        <f t="shared" si="28"/>
        <v>0.29999999999999982</v>
      </c>
      <c r="E251" s="12">
        <f t="shared" si="29"/>
        <v>11.04861403022222</v>
      </c>
      <c r="F251" s="12">
        <f t="shared" si="30"/>
        <v>11.04861403022222</v>
      </c>
      <c r="G251" s="12">
        <f t="shared" si="31"/>
        <v>14.469702968888887</v>
      </c>
      <c r="H251" s="12">
        <f t="shared" si="32"/>
        <v>14.469702968888887</v>
      </c>
      <c r="I251" s="1" t="str">
        <f t="shared" si="33"/>
        <v>No</v>
      </c>
      <c r="J251" s="1" t="str">
        <f t="shared" si="34"/>
        <v>Si</v>
      </c>
      <c r="K251" s="1" t="str">
        <f t="shared" si="35"/>
        <v/>
      </c>
    </row>
    <row r="252" spans="1:11" x14ac:dyDescent="0.3">
      <c r="A252" s="1">
        <v>4</v>
      </c>
      <c r="B252" s="1">
        <v>30</v>
      </c>
      <c r="C252" s="12">
        <f t="shared" si="27"/>
        <v>-1.575</v>
      </c>
      <c r="D252" s="12">
        <f t="shared" si="28"/>
        <v>0.375</v>
      </c>
      <c r="E252" s="12">
        <f t="shared" si="29"/>
        <v>11.046125937777775</v>
      </c>
      <c r="F252" s="12">
        <f t="shared" si="30"/>
        <v>11.046125937777775</v>
      </c>
      <c r="G252" s="12">
        <f t="shared" si="31"/>
        <v>14.466198613333331</v>
      </c>
      <c r="H252" s="12">
        <f t="shared" si="32"/>
        <v>14.466198613333331</v>
      </c>
      <c r="I252" s="1" t="str">
        <f t="shared" si="33"/>
        <v>No</v>
      </c>
      <c r="J252" s="1" t="str">
        <f t="shared" si="34"/>
        <v>Si</v>
      </c>
      <c r="K252" s="1" t="str">
        <f t="shared" si="35"/>
        <v/>
      </c>
    </row>
    <row r="253" spans="1:11" x14ac:dyDescent="0.3">
      <c r="A253" s="1">
        <v>4</v>
      </c>
      <c r="B253" s="1">
        <v>31</v>
      </c>
      <c r="C253" s="12">
        <f t="shared" si="27"/>
        <v>-1.575</v>
      </c>
      <c r="D253" s="12">
        <f t="shared" si="28"/>
        <v>0.45000000000000018</v>
      </c>
      <c r="E253" s="12">
        <f t="shared" si="29"/>
        <v>11.043637845333331</v>
      </c>
      <c r="F253" s="12">
        <f t="shared" si="30"/>
        <v>11.043637845333331</v>
      </c>
      <c r="G253" s="12">
        <f t="shared" si="31"/>
        <v>14.462694257777777</v>
      </c>
      <c r="H253" s="12">
        <f t="shared" si="32"/>
        <v>14.462694257777777</v>
      </c>
      <c r="I253" s="1" t="str">
        <f t="shared" si="33"/>
        <v>No</v>
      </c>
      <c r="J253" s="1" t="str">
        <f t="shared" si="34"/>
        <v>Si</v>
      </c>
      <c r="K253" s="1" t="str">
        <f t="shared" si="35"/>
        <v/>
      </c>
    </row>
    <row r="254" spans="1:11" x14ac:dyDescent="0.3">
      <c r="A254" s="1">
        <v>4</v>
      </c>
      <c r="B254" s="1">
        <v>32</v>
      </c>
      <c r="C254" s="12">
        <f t="shared" si="27"/>
        <v>-1.575</v>
      </c>
      <c r="D254" s="12">
        <f t="shared" si="28"/>
        <v>0.52499999999999991</v>
      </c>
      <c r="E254" s="12">
        <f t="shared" si="29"/>
        <v>11.041149752888888</v>
      </c>
      <c r="F254" s="12">
        <f t="shared" si="30"/>
        <v>11.041149752888888</v>
      </c>
      <c r="G254" s="12">
        <f t="shared" si="31"/>
        <v>14.459189902222221</v>
      </c>
      <c r="H254" s="12">
        <f t="shared" si="32"/>
        <v>14.459189902222221</v>
      </c>
      <c r="I254" s="1" t="str">
        <f t="shared" si="33"/>
        <v>No</v>
      </c>
      <c r="J254" s="1" t="str">
        <f t="shared" si="34"/>
        <v>Si</v>
      </c>
      <c r="K254" s="1" t="str">
        <f t="shared" si="35"/>
        <v/>
      </c>
    </row>
    <row r="255" spans="1:11" x14ac:dyDescent="0.3">
      <c r="A255" s="1">
        <v>4</v>
      </c>
      <c r="B255" s="1">
        <v>33</v>
      </c>
      <c r="C255" s="12">
        <f t="shared" si="27"/>
        <v>-1.575</v>
      </c>
      <c r="D255" s="12">
        <f t="shared" si="28"/>
        <v>0.60000000000000009</v>
      </c>
      <c r="E255" s="12">
        <f t="shared" si="29"/>
        <v>11.038661660444443</v>
      </c>
      <c r="F255" s="12">
        <f t="shared" si="30"/>
        <v>11.038661660444443</v>
      </c>
      <c r="G255" s="12">
        <f t="shared" si="31"/>
        <v>14.455685546666665</v>
      </c>
      <c r="H255" s="12">
        <f t="shared" si="32"/>
        <v>14.455685546666665</v>
      </c>
      <c r="I255" s="1" t="str">
        <f t="shared" si="33"/>
        <v>No</v>
      </c>
      <c r="J255" s="1" t="str">
        <f t="shared" si="34"/>
        <v>Si</v>
      </c>
      <c r="K255" s="1" t="str">
        <f t="shared" si="35"/>
        <v/>
      </c>
    </row>
    <row r="256" spans="1:11" x14ac:dyDescent="0.3">
      <c r="A256" s="1">
        <v>4</v>
      </c>
      <c r="B256" s="1">
        <v>34</v>
      </c>
      <c r="C256" s="12">
        <f t="shared" si="27"/>
        <v>-1.575</v>
      </c>
      <c r="D256" s="12">
        <f t="shared" si="28"/>
        <v>0.67499999999999982</v>
      </c>
      <c r="E256" s="12">
        <f t="shared" si="29"/>
        <v>11.036173567999999</v>
      </c>
      <c r="F256" s="12">
        <f t="shared" si="30"/>
        <v>11.036173567999999</v>
      </c>
      <c r="G256" s="12">
        <f t="shared" si="31"/>
        <v>14.45218119111111</v>
      </c>
      <c r="H256" s="12">
        <f t="shared" si="32"/>
        <v>14.45218119111111</v>
      </c>
      <c r="I256" s="1" t="str">
        <f t="shared" si="33"/>
        <v>No</v>
      </c>
      <c r="J256" s="1" t="str">
        <f t="shared" si="34"/>
        <v>Si</v>
      </c>
      <c r="K256" s="1" t="str">
        <f t="shared" si="35"/>
        <v/>
      </c>
    </row>
    <row r="257" spans="1:11" x14ac:dyDescent="0.3">
      <c r="A257" s="1">
        <v>4</v>
      </c>
      <c r="B257" s="1">
        <v>35</v>
      </c>
      <c r="C257" s="12">
        <f t="shared" si="27"/>
        <v>-1.575</v>
      </c>
      <c r="D257" s="12">
        <f t="shared" si="28"/>
        <v>0.75</v>
      </c>
      <c r="E257" s="12">
        <f t="shared" si="29"/>
        <v>11.033685475555554</v>
      </c>
      <c r="F257" s="12">
        <f t="shared" si="30"/>
        <v>11.033685475555554</v>
      </c>
      <c r="G257" s="12">
        <f t="shared" si="31"/>
        <v>14.448676835555554</v>
      </c>
      <c r="H257" s="12">
        <f t="shared" si="32"/>
        <v>14.448676835555554</v>
      </c>
      <c r="I257" s="1" t="str">
        <f t="shared" si="33"/>
        <v>No</v>
      </c>
      <c r="J257" s="1" t="str">
        <f t="shared" si="34"/>
        <v>Si</v>
      </c>
      <c r="K257" s="1" t="str">
        <f t="shared" si="35"/>
        <v/>
      </c>
    </row>
    <row r="258" spans="1:11" x14ac:dyDescent="0.3">
      <c r="A258" s="1">
        <v>4</v>
      </c>
      <c r="B258" s="1">
        <v>36</v>
      </c>
      <c r="C258" s="12">
        <f t="shared" si="27"/>
        <v>-1.575</v>
      </c>
      <c r="D258" s="12">
        <f t="shared" si="28"/>
        <v>0.82500000000000018</v>
      </c>
      <c r="E258" s="12">
        <f t="shared" si="29"/>
        <v>11.03119738311111</v>
      </c>
      <c r="F258" s="12">
        <f t="shared" si="30"/>
        <v>11.03119738311111</v>
      </c>
      <c r="G258" s="12">
        <f t="shared" si="31"/>
        <v>14.445172479999998</v>
      </c>
      <c r="H258" s="12">
        <f t="shared" si="32"/>
        <v>14.445172479999998</v>
      </c>
      <c r="I258" s="1" t="str">
        <f t="shared" si="33"/>
        <v>No</v>
      </c>
      <c r="J258" s="1" t="str">
        <f t="shared" si="34"/>
        <v>Si</v>
      </c>
      <c r="K258" s="1" t="str">
        <f t="shared" si="35"/>
        <v/>
      </c>
    </row>
    <row r="259" spans="1:11" x14ac:dyDescent="0.3">
      <c r="A259" s="1">
        <v>4</v>
      </c>
      <c r="B259" s="1">
        <v>37</v>
      </c>
      <c r="C259" s="12">
        <f t="shared" si="27"/>
        <v>-1.575</v>
      </c>
      <c r="D259" s="12">
        <f t="shared" si="28"/>
        <v>0.89999999999999991</v>
      </c>
      <c r="E259" s="12">
        <f t="shared" si="29"/>
        <v>11.028709290666665</v>
      </c>
      <c r="F259" s="12">
        <f t="shared" si="30"/>
        <v>11.028709290666665</v>
      </c>
      <c r="G259" s="12">
        <f t="shared" si="31"/>
        <v>14.441668124444442</v>
      </c>
      <c r="H259" s="12">
        <f t="shared" si="32"/>
        <v>14.441668124444442</v>
      </c>
      <c r="I259" s="1" t="str">
        <f t="shared" si="33"/>
        <v>No</v>
      </c>
      <c r="J259" s="1" t="str">
        <f t="shared" si="34"/>
        <v>Si</v>
      </c>
      <c r="K259" s="1" t="str">
        <f t="shared" si="35"/>
        <v/>
      </c>
    </row>
    <row r="260" spans="1:11" x14ac:dyDescent="0.3">
      <c r="A260" s="1">
        <v>4</v>
      </c>
      <c r="B260" s="1">
        <v>38</v>
      </c>
      <c r="C260" s="12">
        <f t="shared" si="27"/>
        <v>-1.575</v>
      </c>
      <c r="D260" s="12">
        <f t="shared" si="28"/>
        <v>0.97500000000000009</v>
      </c>
      <c r="E260" s="12">
        <f t="shared" si="29"/>
        <v>11.02622119822222</v>
      </c>
      <c r="F260" s="12">
        <f t="shared" si="30"/>
        <v>11.02622119822222</v>
      </c>
      <c r="G260" s="12">
        <f t="shared" si="31"/>
        <v>14.438163768888888</v>
      </c>
      <c r="H260" s="12">
        <f t="shared" si="32"/>
        <v>14.438163768888888</v>
      </c>
      <c r="I260" s="1" t="str">
        <f t="shared" si="33"/>
        <v>No</v>
      </c>
      <c r="J260" s="1" t="str">
        <f t="shared" si="34"/>
        <v>Si</v>
      </c>
      <c r="K260" s="1" t="str">
        <f t="shared" si="35"/>
        <v/>
      </c>
    </row>
    <row r="261" spans="1:11" x14ac:dyDescent="0.3">
      <c r="A261" s="1">
        <v>4</v>
      </c>
      <c r="B261" s="1">
        <v>39</v>
      </c>
      <c r="C261" s="12">
        <f t="shared" si="27"/>
        <v>-1.575</v>
      </c>
      <c r="D261" s="12">
        <f t="shared" si="28"/>
        <v>1.0499999999999998</v>
      </c>
      <c r="E261" s="12">
        <f t="shared" si="29"/>
        <v>11.023733105777776</v>
      </c>
      <c r="F261" s="12">
        <f t="shared" si="30"/>
        <v>11.023733105777776</v>
      </c>
      <c r="G261" s="12">
        <f t="shared" si="31"/>
        <v>14.434659413333332</v>
      </c>
      <c r="H261" s="12">
        <f t="shared" si="32"/>
        <v>14.434659413333332</v>
      </c>
      <c r="I261" s="1" t="str">
        <f t="shared" si="33"/>
        <v>No</v>
      </c>
      <c r="J261" s="1" t="str">
        <f t="shared" si="34"/>
        <v>Si</v>
      </c>
      <c r="K261" s="1" t="str">
        <f t="shared" si="35"/>
        <v/>
      </c>
    </row>
    <row r="262" spans="1:11" x14ac:dyDescent="0.3">
      <c r="A262" s="1">
        <v>4</v>
      </c>
      <c r="B262" s="1">
        <v>40</v>
      </c>
      <c r="C262" s="12">
        <f t="shared" si="27"/>
        <v>-1.575</v>
      </c>
      <c r="D262" s="12">
        <f t="shared" si="28"/>
        <v>1.125</v>
      </c>
      <c r="E262" s="12">
        <f t="shared" si="29"/>
        <v>11.021245013333331</v>
      </c>
      <c r="F262" s="12">
        <f t="shared" si="30"/>
        <v>11.021245013333331</v>
      </c>
      <c r="G262" s="12">
        <f t="shared" si="31"/>
        <v>14.431155057777776</v>
      </c>
      <c r="H262" s="12">
        <f t="shared" si="32"/>
        <v>14.431155057777776</v>
      </c>
      <c r="I262" s="1" t="str">
        <f t="shared" si="33"/>
        <v>No</v>
      </c>
      <c r="J262" s="1" t="str">
        <f t="shared" si="34"/>
        <v>Si</v>
      </c>
      <c r="K262" s="1" t="str">
        <f t="shared" si="35"/>
        <v/>
      </c>
    </row>
    <row r="263" spans="1:11" x14ac:dyDescent="0.3">
      <c r="A263" s="1">
        <v>4</v>
      </c>
      <c r="B263" s="1">
        <v>41</v>
      </c>
      <c r="C263" s="12">
        <f t="shared" si="27"/>
        <v>-1.575</v>
      </c>
      <c r="D263" s="12">
        <f t="shared" si="28"/>
        <v>1.2000000000000002</v>
      </c>
      <c r="E263" s="12">
        <f t="shared" si="29"/>
        <v>11.018756920888887</v>
      </c>
      <c r="F263" s="12">
        <f t="shared" si="30"/>
        <v>11.018756920888887</v>
      </c>
      <c r="G263" s="12">
        <f t="shared" si="31"/>
        <v>14.427650702222222</v>
      </c>
      <c r="H263" s="12">
        <f t="shared" si="32"/>
        <v>14.427650702222222</v>
      </c>
      <c r="I263" s="1" t="str">
        <f t="shared" si="33"/>
        <v>No</v>
      </c>
      <c r="J263" s="1" t="str">
        <f t="shared" si="34"/>
        <v>Si</v>
      </c>
      <c r="K263" s="1" t="str">
        <f t="shared" si="35"/>
        <v/>
      </c>
    </row>
    <row r="264" spans="1:11" x14ac:dyDescent="0.3">
      <c r="A264" s="1">
        <v>4</v>
      </c>
      <c r="B264" s="1">
        <v>42</v>
      </c>
      <c r="C264" s="12">
        <f t="shared" si="27"/>
        <v>-1.575</v>
      </c>
      <c r="D264" s="12">
        <f t="shared" si="28"/>
        <v>1.2749999999999999</v>
      </c>
      <c r="E264" s="12">
        <f t="shared" si="29"/>
        <v>11.016268828444442</v>
      </c>
      <c r="F264" s="12">
        <f t="shared" si="30"/>
        <v>11.016268828444442</v>
      </c>
      <c r="G264" s="12">
        <f t="shared" si="31"/>
        <v>14.424146346666666</v>
      </c>
      <c r="H264" s="12">
        <f t="shared" si="32"/>
        <v>14.424146346666666</v>
      </c>
      <c r="I264" s="1" t="str">
        <f t="shared" si="33"/>
        <v>No</v>
      </c>
      <c r="J264" s="1" t="str">
        <f t="shared" si="34"/>
        <v>Si</v>
      </c>
      <c r="K264" s="1" t="str">
        <f t="shared" si="35"/>
        <v/>
      </c>
    </row>
    <row r="265" spans="1:11" x14ac:dyDescent="0.3">
      <c r="A265" s="1">
        <v>4</v>
      </c>
      <c r="B265" s="1">
        <v>43</v>
      </c>
      <c r="C265" s="12">
        <f t="shared" si="27"/>
        <v>-1.575</v>
      </c>
      <c r="D265" s="12">
        <f t="shared" si="28"/>
        <v>1.35</v>
      </c>
      <c r="E265" s="12">
        <f t="shared" si="29"/>
        <v>11.013780735999998</v>
      </c>
      <c r="F265" s="12">
        <f t="shared" si="30"/>
        <v>11.013780735999998</v>
      </c>
      <c r="G265" s="12">
        <f t="shared" si="31"/>
        <v>14.420641991111109</v>
      </c>
      <c r="H265" s="12">
        <f t="shared" si="32"/>
        <v>14.420641991111109</v>
      </c>
      <c r="I265" s="1" t="str">
        <f t="shared" si="33"/>
        <v>No</v>
      </c>
      <c r="J265" s="1" t="str">
        <f t="shared" si="34"/>
        <v>Si</v>
      </c>
      <c r="K265" s="1" t="str">
        <f t="shared" si="35"/>
        <v/>
      </c>
    </row>
    <row r="266" spans="1:11" x14ac:dyDescent="0.3">
      <c r="A266" s="1">
        <v>4</v>
      </c>
      <c r="B266" s="1">
        <v>44</v>
      </c>
      <c r="C266" s="12">
        <f t="shared" si="27"/>
        <v>-1.575</v>
      </c>
      <c r="D266" s="12">
        <f t="shared" si="28"/>
        <v>1.4249999999999998</v>
      </c>
      <c r="E266" s="12">
        <f t="shared" si="29"/>
        <v>11.011292643555555</v>
      </c>
      <c r="F266" s="12">
        <f t="shared" si="30"/>
        <v>11.011292643555555</v>
      </c>
      <c r="G266" s="12">
        <f t="shared" si="31"/>
        <v>14.417137635555553</v>
      </c>
      <c r="H266" s="12">
        <f t="shared" si="32"/>
        <v>14.417137635555553</v>
      </c>
      <c r="I266" s="1" t="str">
        <f t="shared" si="33"/>
        <v>No</v>
      </c>
      <c r="J266" s="1" t="str">
        <f t="shared" si="34"/>
        <v>Si</v>
      </c>
      <c r="K266" s="1" t="str">
        <f t="shared" si="35"/>
        <v/>
      </c>
    </row>
    <row r="267" spans="1:11" x14ac:dyDescent="0.3">
      <c r="A267" s="1">
        <v>4</v>
      </c>
      <c r="B267" s="1">
        <v>45</v>
      </c>
      <c r="C267" s="12">
        <f t="shared" si="27"/>
        <v>-1.575</v>
      </c>
      <c r="D267" s="12">
        <f t="shared" si="28"/>
        <v>1.5</v>
      </c>
      <c r="E267" s="12">
        <f t="shared" si="29"/>
        <v>11.00880455111111</v>
      </c>
      <c r="F267" s="12">
        <f t="shared" si="30"/>
        <v>11.00880455111111</v>
      </c>
      <c r="G267" s="12">
        <f t="shared" si="31"/>
        <v>14.413633279999999</v>
      </c>
      <c r="H267" s="12">
        <f t="shared" si="32"/>
        <v>14.413633279999999</v>
      </c>
      <c r="I267" s="1" t="str">
        <f t="shared" si="33"/>
        <v>No</v>
      </c>
      <c r="J267" s="1" t="str">
        <f t="shared" si="34"/>
        <v>Si</v>
      </c>
      <c r="K267" s="1" t="str">
        <f t="shared" si="35"/>
        <v/>
      </c>
    </row>
    <row r="268" spans="1:11" x14ac:dyDescent="0.3">
      <c r="A268" s="1">
        <v>4</v>
      </c>
      <c r="B268" s="1">
        <v>46</v>
      </c>
      <c r="C268" s="12">
        <f t="shared" si="27"/>
        <v>-1.575</v>
      </c>
      <c r="D268" s="12">
        <f t="shared" si="28"/>
        <v>1.5750000000000002</v>
      </c>
      <c r="E268" s="12">
        <f t="shared" si="29"/>
        <v>11.006316458666666</v>
      </c>
      <c r="F268" s="12">
        <f t="shared" si="30"/>
        <v>11.006316458666666</v>
      </c>
      <c r="G268" s="12">
        <f t="shared" si="31"/>
        <v>14.410128924444443</v>
      </c>
      <c r="H268" s="12">
        <f t="shared" si="32"/>
        <v>14.410128924444443</v>
      </c>
      <c r="I268" s="1" t="str">
        <f t="shared" si="33"/>
        <v>No</v>
      </c>
      <c r="J268" s="1" t="str">
        <f t="shared" si="34"/>
        <v>Si</v>
      </c>
      <c r="K268" s="1" t="str">
        <f t="shared" si="35"/>
        <v/>
      </c>
    </row>
    <row r="269" spans="1:11" x14ac:dyDescent="0.3">
      <c r="A269" s="1">
        <v>4</v>
      </c>
      <c r="B269" s="1">
        <v>47</v>
      </c>
      <c r="C269" s="12">
        <f t="shared" si="27"/>
        <v>-1.575</v>
      </c>
      <c r="D269" s="12">
        <f t="shared" si="28"/>
        <v>1.65</v>
      </c>
      <c r="E269" s="12">
        <f t="shared" si="29"/>
        <v>11.003828366222221</v>
      </c>
      <c r="F269" s="12">
        <f t="shared" si="30"/>
        <v>11.003828366222221</v>
      </c>
      <c r="G269" s="12">
        <f t="shared" si="31"/>
        <v>14.406624568888887</v>
      </c>
      <c r="H269" s="12">
        <f t="shared" si="32"/>
        <v>14.406624568888887</v>
      </c>
      <c r="I269" s="1" t="str">
        <f t="shared" si="33"/>
        <v>No</v>
      </c>
      <c r="J269" s="1" t="str">
        <f t="shared" si="34"/>
        <v>Si</v>
      </c>
      <c r="K269" s="1" t="str">
        <f t="shared" si="35"/>
        <v/>
      </c>
    </row>
    <row r="270" spans="1:11" x14ac:dyDescent="0.3">
      <c r="A270" s="1">
        <v>4</v>
      </c>
      <c r="B270" s="1">
        <v>48</v>
      </c>
      <c r="C270" s="12">
        <f t="shared" si="27"/>
        <v>-1.575</v>
      </c>
      <c r="D270" s="12">
        <f t="shared" si="28"/>
        <v>1.7250000000000001</v>
      </c>
      <c r="E270" s="12">
        <f t="shared" si="29"/>
        <v>11.001340273777776</v>
      </c>
      <c r="F270" s="12">
        <f t="shared" si="30"/>
        <v>11.001340273777776</v>
      </c>
      <c r="G270" s="12">
        <f t="shared" si="31"/>
        <v>14.403120213333333</v>
      </c>
      <c r="H270" s="12">
        <f t="shared" si="32"/>
        <v>14.403120213333333</v>
      </c>
      <c r="I270" s="1" t="str">
        <f t="shared" si="33"/>
        <v>No</v>
      </c>
      <c r="J270" s="1" t="str">
        <f t="shared" si="34"/>
        <v>Si</v>
      </c>
      <c r="K270" s="1" t="str">
        <f t="shared" si="35"/>
        <v/>
      </c>
    </row>
    <row r="271" spans="1:11" x14ac:dyDescent="0.3">
      <c r="A271" s="1">
        <v>4</v>
      </c>
      <c r="B271" s="1">
        <v>49</v>
      </c>
      <c r="C271" s="12">
        <f t="shared" si="27"/>
        <v>-1.575</v>
      </c>
      <c r="D271" s="12">
        <f t="shared" si="28"/>
        <v>1.7999999999999998</v>
      </c>
      <c r="E271" s="12">
        <f t="shared" si="29"/>
        <v>10.998852181333332</v>
      </c>
      <c r="F271" s="12">
        <f t="shared" si="30"/>
        <v>10.998852181333332</v>
      </c>
      <c r="G271" s="12">
        <f t="shared" si="31"/>
        <v>14.399615857777777</v>
      </c>
      <c r="H271" s="12">
        <f t="shared" si="32"/>
        <v>14.399615857777777</v>
      </c>
      <c r="I271" s="1" t="str">
        <f t="shared" si="33"/>
        <v>No</v>
      </c>
      <c r="J271" s="1" t="str">
        <f t="shared" si="34"/>
        <v>Si</v>
      </c>
      <c r="K271" s="1" t="str">
        <f t="shared" si="35"/>
        <v/>
      </c>
    </row>
    <row r="272" spans="1:11" x14ac:dyDescent="0.3">
      <c r="A272" s="1">
        <v>4</v>
      </c>
      <c r="B272" s="1">
        <v>50</v>
      </c>
      <c r="C272" s="12">
        <f t="shared" si="27"/>
        <v>-1.575</v>
      </c>
      <c r="D272" s="12">
        <f t="shared" si="28"/>
        <v>1.875</v>
      </c>
      <c r="E272" s="12">
        <f t="shared" si="29"/>
        <v>10.996364088888887</v>
      </c>
      <c r="F272" s="12">
        <f t="shared" si="30"/>
        <v>10.996364088888887</v>
      </c>
      <c r="G272" s="12">
        <f t="shared" si="31"/>
        <v>14.396111502222221</v>
      </c>
      <c r="H272" s="12">
        <f t="shared" si="32"/>
        <v>14.396111502222221</v>
      </c>
      <c r="I272" s="1" t="str">
        <f t="shared" si="33"/>
        <v>No</v>
      </c>
      <c r="J272" s="1" t="str">
        <f t="shared" si="34"/>
        <v>Si</v>
      </c>
      <c r="K272" s="1" t="str">
        <f t="shared" si="35"/>
        <v/>
      </c>
    </row>
    <row r="273" spans="1:11" x14ac:dyDescent="0.3">
      <c r="A273" s="1">
        <v>5</v>
      </c>
      <c r="B273" s="1">
        <v>0</v>
      </c>
      <c r="C273" s="12">
        <f t="shared" si="27"/>
        <v>-1.5</v>
      </c>
      <c r="D273" s="12">
        <f t="shared" si="28"/>
        <v>-1.875</v>
      </c>
      <c r="E273" s="12">
        <f t="shared" si="29"/>
        <v>11.121462755555555</v>
      </c>
      <c r="F273" s="12">
        <f t="shared" si="30"/>
        <v>11.121462755555555</v>
      </c>
      <c r="G273" s="12">
        <f t="shared" si="31"/>
        <v>14.572366933333333</v>
      </c>
      <c r="H273" s="12">
        <f t="shared" si="32"/>
        <v>14.572366933333333</v>
      </c>
      <c r="I273" s="1" t="str">
        <f t="shared" si="33"/>
        <v>No</v>
      </c>
      <c r="J273" s="1" t="str">
        <f t="shared" si="34"/>
        <v>Si</v>
      </c>
      <c r="K273" s="1" t="str">
        <f t="shared" si="35"/>
        <v/>
      </c>
    </row>
    <row r="274" spans="1:11" x14ac:dyDescent="0.3">
      <c r="A274" s="1">
        <v>5</v>
      </c>
      <c r="B274" s="1">
        <v>1</v>
      </c>
      <c r="C274" s="12">
        <f t="shared" ref="C274:C337" si="36">IF(OR(A274&gt;inp_n_div_x,B274&gt;inp_n_div_y),"",-inp_bx/2+A274*inp_bx/inp_n_div_x)</f>
        <v>-1.5</v>
      </c>
      <c r="D274" s="12">
        <f t="shared" ref="D274:D337" si="37">IF(C274="","",-inp_by/2+B274*inp_by/inp_n_div_y)</f>
        <v>-1.8</v>
      </c>
      <c r="E274" s="12">
        <f t="shared" ref="E274:E337" si="38">IF(C274="","",res_srv_p_tot/geo_area+res_srv_mx_tot/geo_ix*D274+res_srv_my_tot/geo_iy*C274)</f>
        <v>11.118974663111111</v>
      </c>
      <c r="F274" s="12">
        <f t="shared" ref="F274:F337" si="39">IF(E274="","",MAX(0,E274))</f>
        <v>11.118974663111111</v>
      </c>
      <c r="G274" s="12">
        <f t="shared" ref="G274:G337" si="40">IF(C274="","",res_u_p_tot/geo_area+res_u_mx_tot/geo_ix*D274+res_u_my_tot/geo_iy*C274)</f>
        <v>14.568862577777777</v>
      </c>
      <c r="H274" s="12">
        <f t="shared" ref="H274:H337" si="41">IF(G274="","",MAX(0,G274))</f>
        <v>14.568862577777777</v>
      </c>
      <c r="I274" s="1" t="str">
        <f t="shared" ref="I274:I337" si="42">IF(C274="","",IF(AND(C274&gt;=inp_xc-inp_cx/2,C274&lt;=inp_xc+inp_cx/2,D274&gt;=inp_yc-inp_cy/2,D274&lt;=inp_yc+inp_cy/2),"Si","No"))</f>
        <v>No</v>
      </c>
      <c r="J274" s="1" t="str">
        <f t="shared" ref="J274:J337" si="43">IF(C274="","","Si")</f>
        <v>Si</v>
      </c>
      <c r="K274" s="1" t="str">
        <f t="shared" ref="K274:K337" si="44">IF(OR(E274&lt;0,G274&lt;0),"Presion negativa","")</f>
        <v/>
      </c>
    </row>
    <row r="275" spans="1:11" x14ac:dyDescent="0.3">
      <c r="A275" s="1">
        <v>5</v>
      </c>
      <c r="B275" s="1">
        <v>2</v>
      </c>
      <c r="C275" s="12">
        <f t="shared" si="36"/>
        <v>-1.5</v>
      </c>
      <c r="D275" s="12">
        <f t="shared" si="37"/>
        <v>-1.7250000000000001</v>
      </c>
      <c r="E275" s="12">
        <f t="shared" si="38"/>
        <v>11.116486570666666</v>
      </c>
      <c r="F275" s="12">
        <f t="shared" si="39"/>
        <v>11.116486570666666</v>
      </c>
      <c r="G275" s="12">
        <f t="shared" si="40"/>
        <v>14.565358222222221</v>
      </c>
      <c r="H275" s="12">
        <f t="shared" si="41"/>
        <v>14.565358222222221</v>
      </c>
      <c r="I275" s="1" t="str">
        <f t="shared" si="42"/>
        <v>No</v>
      </c>
      <c r="J275" s="1" t="str">
        <f t="shared" si="43"/>
        <v>Si</v>
      </c>
      <c r="K275" s="1" t="str">
        <f t="shared" si="44"/>
        <v/>
      </c>
    </row>
    <row r="276" spans="1:11" x14ac:dyDescent="0.3">
      <c r="A276" s="1">
        <v>5</v>
      </c>
      <c r="B276" s="1">
        <v>3</v>
      </c>
      <c r="C276" s="12">
        <f t="shared" si="36"/>
        <v>-1.5</v>
      </c>
      <c r="D276" s="12">
        <f t="shared" si="37"/>
        <v>-1.65</v>
      </c>
      <c r="E276" s="12">
        <f t="shared" si="38"/>
        <v>11.113998478222221</v>
      </c>
      <c r="F276" s="12">
        <f t="shared" si="39"/>
        <v>11.113998478222221</v>
      </c>
      <c r="G276" s="12">
        <f t="shared" si="40"/>
        <v>14.561853866666667</v>
      </c>
      <c r="H276" s="12">
        <f t="shared" si="41"/>
        <v>14.561853866666667</v>
      </c>
      <c r="I276" s="1" t="str">
        <f t="shared" si="42"/>
        <v>No</v>
      </c>
      <c r="J276" s="1" t="str">
        <f t="shared" si="43"/>
        <v>Si</v>
      </c>
      <c r="K276" s="1" t="str">
        <f t="shared" si="44"/>
        <v/>
      </c>
    </row>
    <row r="277" spans="1:11" x14ac:dyDescent="0.3">
      <c r="A277" s="1">
        <v>5</v>
      </c>
      <c r="B277" s="1">
        <v>4</v>
      </c>
      <c r="C277" s="12">
        <f t="shared" si="36"/>
        <v>-1.5</v>
      </c>
      <c r="D277" s="12">
        <f t="shared" si="37"/>
        <v>-1.575</v>
      </c>
      <c r="E277" s="12">
        <f t="shared" si="38"/>
        <v>11.111510385777777</v>
      </c>
      <c r="F277" s="12">
        <f t="shared" si="39"/>
        <v>11.111510385777777</v>
      </c>
      <c r="G277" s="12">
        <f t="shared" si="40"/>
        <v>14.558349511111111</v>
      </c>
      <c r="H277" s="12">
        <f t="shared" si="41"/>
        <v>14.558349511111111</v>
      </c>
      <c r="I277" s="1" t="str">
        <f t="shared" si="42"/>
        <v>No</v>
      </c>
      <c r="J277" s="1" t="str">
        <f t="shared" si="43"/>
        <v>Si</v>
      </c>
      <c r="K277" s="1" t="str">
        <f t="shared" si="44"/>
        <v/>
      </c>
    </row>
    <row r="278" spans="1:11" x14ac:dyDescent="0.3">
      <c r="A278" s="1">
        <v>5</v>
      </c>
      <c r="B278" s="1">
        <v>5</v>
      </c>
      <c r="C278" s="12">
        <f t="shared" si="36"/>
        <v>-1.5</v>
      </c>
      <c r="D278" s="12">
        <f t="shared" si="37"/>
        <v>-1.5</v>
      </c>
      <c r="E278" s="12">
        <f t="shared" si="38"/>
        <v>11.109022293333332</v>
      </c>
      <c r="F278" s="12">
        <f t="shared" si="39"/>
        <v>11.109022293333332</v>
      </c>
      <c r="G278" s="12">
        <f t="shared" si="40"/>
        <v>14.554845155555554</v>
      </c>
      <c r="H278" s="12">
        <f t="shared" si="41"/>
        <v>14.554845155555554</v>
      </c>
      <c r="I278" s="1" t="str">
        <f t="shared" si="42"/>
        <v>No</v>
      </c>
      <c r="J278" s="1" t="str">
        <f t="shared" si="43"/>
        <v>Si</v>
      </c>
      <c r="K278" s="1" t="str">
        <f t="shared" si="44"/>
        <v/>
      </c>
    </row>
    <row r="279" spans="1:11" x14ac:dyDescent="0.3">
      <c r="A279" s="1">
        <v>5</v>
      </c>
      <c r="B279" s="1">
        <v>6</v>
      </c>
      <c r="C279" s="12">
        <f t="shared" si="36"/>
        <v>-1.5</v>
      </c>
      <c r="D279" s="12">
        <f t="shared" si="37"/>
        <v>-1.425</v>
      </c>
      <c r="E279" s="12">
        <f t="shared" si="38"/>
        <v>11.106534200888888</v>
      </c>
      <c r="F279" s="12">
        <f t="shared" si="39"/>
        <v>11.106534200888888</v>
      </c>
      <c r="G279" s="12">
        <f t="shared" si="40"/>
        <v>14.5513408</v>
      </c>
      <c r="H279" s="12">
        <f t="shared" si="41"/>
        <v>14.5513408</v>
      </c>
      <c r="I279" s="1" t="str">
        <f t="shared" si="42"/>
        <v>No</v>
      </c>
      <c r="J279" s="1" t="str">
        <f t="shared" si="43"/>
        <v>Si</v>
      </c>
      <c r="K279" s="1" t="str">
        <f t="shared" si="44"/>
        <v/>
      </c>
    </row>
    <row r="280" spans="1:11" x14ac:dyDescent="0.3">
      <c r="A280" s="1">
        <v>5</v>
      </c>
      <c r="B280" s="1">
        <v>7</v>
      </c>
      <c r="C280" s="12">
        <f t="shared" si="36"/>
        <v>-1.5</v>
      </c>
      <c r="D280" s="12">
        <f t="shared" si="37"/>
        <v>-1.35</v>
      </c>
      <c r="E280" s="12">
        <f t="shared" si="38"/>
        <v>11.104046108444445</v>
      </c>
      <c r="F280" s="12">
        <f t="shared" si="39"/>
        <v>11.104046108444445</v>
      </c>
      <c r="G280" s="12">
        <f t="shared" si="40"/>
        <v>14.547836444444444</v>
      </c>
      <c r="H280" s="12">
        <f t="shared" si="41"/>
        <v>14.547836444444444</v>
      </c>
      <c r="I280" s="1" t="str">
        <f t="shared" si="42"/>
        <v>No</v>
      </c>
      <c r="J280" s="1" t="str">
        <f t="shared" si="43"/>
        <v>Si</v>
      </c>
      <c r="K280" s="1" t="str">
        <f t="shared" si="44"/>
        <v/>
      </c>
    </row>
    <row r="281" spans="1:11" x14ac:dyDescent="0.3">
      <c r="A281" s="1">
        <v>5</v>
      </c>
      <c r="B281" s="1">
        <v>8</v>
      </c>
      <c r="C281" s="12">
        <f t="shared" si="36"/>
        <v>-1.5</v>
      </c>
      <c r="D281" s="12">
        <f t="shared" si="37"/>
        <v>-1.2749999999999999</v>
      </c>
      <c r="E281" s="12">
        <f t="shared" si="38"/>
        <v>11.101558016</v>
      </c>
      <c r="F281" s="12">
        <f t="shared" si="39"/>
        <v>11.101558016</v>
      </c>
      <c r="G281" s="12">
        <f t="shared" si="40"/>
        <v>14.544332088888888</v>
      </c>
      <c r="H281" s="12">
        <f t="shared" si="41"/>
        <v>14.544332088888888</v>
      </c>
      <c r="I281" s="1" t="str">
        <f t="shared" si="42"/>
        <v>No</v>
      </c>
      <c r="J281" s="1" t="str">
        <f t="shared" si="43"/>
        <v>Si</v>
      </c>
      <c r="K281" s="1" t="str">
        <f t="shared" si="44"/>
        <v/>
      </c>
    </row>
    <row r="282" spans="1:11" x14ac:dyDescent="0.3">
      <c r="A282" s="1">
        <v>5</v>
      </c>
      <c r="B282" s="1">
        <v>9</v>
      </c>
      <c r="C282" s="12">
        <f t="shared" si="36"/>
        <v>-1.5</v>
      </c>
      <c r="D282" s="12">
        <f t="shared" si="37"/>
        <v>-1.2</v>
      </c>
      <c r="E282" s="12">
        <f t="shared" si="38"/>
        <v>11.099069923555556</v>
      </c>
      <c r="F282" s="12">
        <f t="shared" si="39"/>
        <v>11.099069923555556</v>
      </c>
      <c r="G282" s="12">
        <f t="shared" si="40"/>
        <v>14.540827733333332</v>
      </c>
      <c r="H282" s="12">
        <f t="shared" si="41"/>
        <v>14.540827733333332</v>
      </c>
      <c r="I282" s="1" t="str">
        <f t="shared" si="42"/>
        <v>No</v>
      </c>
      <c r="J282" s="1" t="str">
        <f t="shared" si="43"/>
        <v>Si</v>
      </c>
      <c r="K282" s="1" t="str">
        <f t="shared" si="44"/>
        <v/>
      </c>
    </row>
    <row r="283" spans="1:11" x14ac:dyDescent="0.3">
      <c r="A283" s="1">
        <v>5</v>
      </c>
      <c r="B283" s="1">
        <v>10</v>
      </c>
      <c r="C283" s="12">
        <f t="shared" si="36"/>
        <v>-1.5</v>
      </c>
      <c r="D283" s="12">
        <f t="shared" si="37"/>
        <v>-1.125</v>
      </c>
      <c r="E283" s="12">
        <f t="shared" si="38"/>
        <v>11.096581831111111</v>
      </c>
      <c r="F283" s="12">
        <f t="shared" si="39"/>
        <v>11.096581831111111</v>
      </c>
      <c r="G283" s="12">
        <f t="shared" si="40"/>
        <v>14.537323377777778</v>
      </c>
      <c r="H283" s="12">
        <f t="shared" si="41"/>
        <v>14.537323377777778</v>
      </c>
      <c r="I283" s="1" t="str">
        <f t="shared" si="42"/>
        <v>No</v>
      </c>
      <c r="J283" s="1" t="str">
        <f t="shared" si="43"/>
        <v>Si</v>
      </c>
      <c r="K283" s="1" t="str">
        <f t="shared" si="44"/>
        <v/>
      </c>
    </row>
    <row r="284" spans="1:11" x14ac:dyDescent="0.3">
      <c r="A284" s="1">
        <v>5</v>
      </c>
      <c r="B284" s="1">
        <v>11</v>
      </c>
      <c r="C284" s="12">
        <f t="shared" si="36"/>
        <v>-1.5</v>
      </c>
      <c r="D284" s="12">
        <f t="shared" si="37"/>
        <v>-1.05</v>
      </c>
      <c r="E284" s="12">
        <f t="shared" si="38"/>
        <v>11.094093738666666</v>
      </c>
      <c r="F284" s="12">
        <f t="shared" si="39"/>
        <v>11.094093738666666</v>
      </c>
      <c r="G284" s="12">
        <f t="shared" si="40"/>
        <v>14.533819022222222</v>
      </c>
      <c r="H284" s="12">
        <f t="shared" si="41"/>
        <v>14.533819022222222</v>
      </c>
      <c r="I284" s="1" t="str">
        <f t="shared" si="42"/>
        <v>No</v>
      </c>
      <c r="J284" s="1" t="str">
        <f t="shared" si="43"/>
        <v>Si</v>
      </c>
      <c r="K284" s="1" t="str">
        <f t="shared" si="44"/>
        <v/>
      </c>
    </row>
    <row r="285" spans="1:11" x14ac:dyDescent="0.3">
      <c r="A285" s="1">
        <v>5</v>
      </c>
      <c r="B285" s="1">
        <v>12</v>
      </c>
      <c r="C285" s="12">
        <f t="shared" si="36"/>
        <v>-1.5</v>
      </c>
      <c r="D285" s="12">
        <f t="shared" si="37"/>
        <v>-0.97499999999999998</v>
      </c>
      <c r="E285" s="12">
        <f t="shared" si="38"/>
        <v>11.091605646222222</v>
      </c>
      <c r="F285" s="12">
        <f t="shared" si="39"/>
        <v>11.091605646222222</v>
      </c>
      <c r="G285" s="12">
        <f t="shared" si="40"/>
        <v>14.530314666666666</v>
      </c>
      <c r="H285" s="12">
        <f t="shared" si="41"/>
        <v>14.530314666666666</v>
      </c>
      <c r="I285" s="1" t="str">
        <f t="shared" si="42"/>
        <v>No</v>
      </c>
      <c r="J285" s="1" t="str">
        <f t="shared" si="43"/>
        <v>Si</v>
      </c>
      <c r="K285" s="1" t="str">
        <f t="shared" si="44"/>
        <v/>
      </c>
    </row>
    <row r="286" spans="1:11" x14ac:dyDescent="0.3">
      <c r="A286" s="1">
        <v>5</v>
      </c>
      <c r="B286" s="1">
        <v>13</v>
      </c>
      <c r="C286" s="12">
        <f t="shared" si="36"/>
        <v>-1.5</v>
      </c>
      <c r="D286" s="12">
        <f t="shared" si="37"/>
        <v>-0.9</v>
      </c>
      <c r="E286" s="12">
        <f t="shared" si="38"/>
        <v>11.089117553777777</v>
      </c>
      <c r="F286" s="12">
        <f t="shared" si="39"/>
        <v>11.089117553777777</v>
      </c>
      <c r="G286" s="12">
        <f t="shared" si="40"/>
        <v>14.526810311111111</v>
      </c>
      <c r="H286" s="12">
        <f t="shared" si="41"/>
        <v>14.526810311111111</v>
      </c>
      <c r="I286" s="1" t="str">
        <f t="shared" si="42"/>
        <v>No</v>
      </c>
      <c r="J286" s="1" t="str">
        <f t="shared" si="43"/>
        <v>Si</v>
      </c>
      <c r="K286" s="1" t="str">
        <f t="shared" si="44"/>
        <v/>
      </c>
    </row>
    <row r="287" spans="1:11" x14ac:dyDescent="0.3">
      <c r="A287" s="1">
        <v>5</v>
      </c>
      <c r="B287" s="1">
        <v>14</v>
      </c>
      <c r="C287" s="12">
        <f t="shared" si="36"/>
        <v>-1.5</v>
      </c>
      <c r="D287" s="12">
        <f t="shared" si="37"/>
        <v>-0.82499999999999996</v>
      </c>
      <c r="E287" s="12">
        <f t="shared" si="38"/>
        <v>11.086629461333333</v>
      </c>
      <c r="F287" s="12">
        <f t="shared" si="39"/>
        <v>11.086629461333333</v>
      </c>
      <c r="G287" s="12">
        <f t="shared" si="40"/>
        <v>14.523305955555555</v>
      </c>
      <c r="H287" s="12">
        <f t="shared" si="41"/>
        <v>14.523305955555555</v>
      </c>
      <c r="I287" s="1" t="str">
        <f t="shared" si="42"/>
        <v>No</v>
      </c>
      <c r="J287" s="1" t="str">
        <f t="shared" si="43"/>
        <v>Si</v>
      </c>
      <c r="K287" s="1" t="str">
        <f t="shared" si="44"/>
        <v/>
      </c>
    </row>
    <row r="288" spans="1:11" x14ac:dyDescent="0.3">
      <c r="A288" s="1">
        <v>5</v>
      </c>
      <c r="B288" s="1">
        <v>15</v>
      </c>
      <c r="C288" s="12">
        <f t="shared" si="36"/>
        <v>-1.5</v>
      </c>
      <c r="D288" s="12">
        <f t="shared" si="37"/>
        <v>-0.75</v>
      </c>
      <c r="E288" s="12">
        <f t="shared" si="38"/>
        <v>11.084141368888888</v>
      </c>
      <c r="F288" s="12">
        <f t="shared" si="39"/>
        <v>11.084141368888888</v>
      </c>
      <c r="G288" s="12">
        <f t="shared" si="40"/>
        <v>14.519801599999999</v>
      </c>
      <c r="H288" s="12">
        <f t="shared" si="41"/>
        <v>14.519801599999999</v>
      </c>
      <c r="I288" s="1" t="str">
        <f t="shared" si="42"/>
        <v>No</v>
      </c>
      <c r="J288" s="1" t="str">
        <f t="shared" si="43"/>
        <v>Si</v>
      </c>
      <c r="K288" s="1" t="str">
        <f t="shared" si="44"/>
        <v/>
      </c>
    </row>
    <row r="289" spans="1:11" x14ac:dyDescent="0.3">
      <c r="A289" s="1">
        <v>5</v>
      </c>
      <c r="B289" s="1">
        <v>16</v>
      </c>
      <c r="C289" s="12">
        <f t="shared" si="36"/>
        <v>-1.5</v>
      </c>
      <c r="D289" s="12">
        <f t="shared" si="37"/>
        <v>-0.67500000000000004</v>
      </c>
      <c r="E289" s="12">
        <f t="shared" si="38"/>
        <v>11.081653276444444</v>
      </c>
      <c r="F289" s="12">
        <f t="shared" si="39"/>
        <v>11.081653276444444</v>
      </c>
      <c r="G289" s="12">
        <f t="shared" si="40"/>
        <v>14.516297244444443</v>
      </c>
      <c r="H289" s="12">
        <f t="shared" si="41"/>
        <v>14.516297244444443</v>
      </c>
      <c r="I289" s="1" t="str">
        <f t="shared" si="42"/>
        <v>No</v>
      </c>
      <c r="J289" s="1" t="str">
        <f t="shared" si="43"/>
        <v>Si</v>
      </c>
      <c r="K289" s="1" t="str">
        <f t="shared" si="44"/>
        <v/>
      </c>
    </row>
    <row r="290" spans="1:11" x14ac:dyDescent="0.3">
      <c r="A290" s="1">
        <v>5</v>
      </c>
      <c r="B290" s="1">
        <v>17</v>
      </c>
      <c r="C290" s="12">
        <f t="shared" si="36"/>
        <v>-1.5</v>
      </c>
      <c r="D290" s="12">
        <f t="shared" si="37"/>
        <v>-0.60000000000000009</v>
      </c>
      <c r="E290" s="12">
        <f t="shared" si="38"/>
        <v>11.079165183999999</v>
      </c>
      <c r="F290" s="12">
        <f t="shared" si="39"/>
        <v>11.079165183999999</v>
      </c>
      <c r="G290" s="12">
        <f t="shared" si="40"/>
        <v>14.512792888888889</v>
      </c>
      <c r="H290" s="12">
        <f t="shared" si="41"/>
        <v>14.512792888888889</v>
      </c>
      <c r="I290" s="1" t="str">
        <f t="shared" si="42"/>
        <v>No</v>
      </c>
      <c r="J290" s="1" t="str">
        <f t="shared" si="43"/>
        <v>Si</v>
      </c>
      <c r="K290" s="1" t="str">
        <f t="shared" si="44"/>
        <v/>
      </c>
    </row>
    <row r="291" spans="1:11" x14ac:dyDescent="0.3">
      <c r="A291" s="1">
        <v>5</v>
      </c>
      <c r="B291" s="1">
        <v>18</v>
      </c>
      <c r="C291" s="12">
        <f t="shared" si="36"/>
        <v>-1.5</v>
      </c>
      <c r="D291" s="12">
        <f t="shared" si="37"/>
        <v>-0.52499999999999991</v>
      </c>
      <c r="E291" s="12">
        <f t="shared" si="38"/>
        <v>11.076677091555554</v>
      </c>
      <c r="F291" s="12">
        <f t="shared" si="39"/>
        <v>11.076677091555554</v>
      </c>
      <c r="G291" s="12">
        <f t="shared" si="40"/>
        <v>14.509288533333333</v>
      </c>
      <c r="H291" s="12">
        <f t="shared" si="41"/>
        <v>14.509288533333333</v>
      </c>
      <c r="I291" s="1" t="str">
        <f t="shared" si="42"/>
        <v>No</v>
      </c>
      <c r="J291" s="1" t="str">
        <f t="shared" si="43"/>
        <v>Si</v>
      </c>
      <c r="K291" s="1" t="str">
        <f t="shared" si="44"/>
        <v/>
      </c>
    </row>
    <row r="292" spans="1:11" x14ac:dyDescent="0.3">
      <c r="A292" s="1">
        <v>5</v>
      </c>
      <c r="B292" s="1">
        <v>19</v>
      </c>
      <c r="C292" s="12">
        <f t="shared" si="36"/>
        <v>-1.5</v>
      </c>
      <c r="D292" s="12">
        <f t="shared" si="37"/>
        <v>-0.44999999999999996</v>
      </c>
      <c r="E292" s="12">
        <f t="shared" si="38"/>
        <v>11.074188999111112</v>
      </c>
      <c r="F292" s="12">
        <f t="shared" si="39"/>
        <v>11.074188999111112</v>
      </c>
      <c r="G292" s="12">
        <f t="shared" si="40"/>
        <v>14.505784177777777</v>
      </c>
      <c r="H292" s="12">
        <f t="shared" si="41"/>
        <v>14.505784177777777</v>
      </c>
      <c r="I292" s="1" t="str">
        <f t="shared" si="42"/>
        <v>No</v>
      </c>
      <c r="J292" s="1" t="str">
        <f t="shared" si="43"/>
        <v>Si</v>
      </c>
      <c r="K292" s="1" t="str">
        <f t="shared" si="44"/>
        <v/>
      </c>
    </row>
    <row r="293" spans="1:11" x14ac:dyDescent="0.3">
      <c r="A293" s="1">
        <v>5</v>
      </c>
      <c r="B293" s="1">
        <v>20</v>
      </c>
      <c r="C293" s="12">
        <f t="shared" si="36"/>
        <v>-1.5</v>
      </c>
      <c r="D293" s="12">
        <f t="shared" si="37"/>
        <v>-0.375</v>
      </c>
      <c r="E293" s="12">
        <f t="shared" si="38"/>
        <v>11.071700906666667</v>
      </c>
      <c r="F293" s="12">
        <f t="shared" si="39"/>
        <v>11.071700906666667</v>
      </c>
      <c r="G293" s="12">
        <f t="shared" si="40"/>
        <v>14.502279822222222</v>
      </c>
      <c r="H293" s="12">
        <f t="shared" si="41"/>
        <v>14.502279822222222</v>
      </c>
      <c r="I293" s="1" t="str">
        <f t="shared" si="42"/>
        <v>No</v>
      </c>
      <c r="J293" s="1" t="str">
        <f t="shared" si="43"/>
        <v>Si</v>
      </c>
      <c r="K293" s="1" t="str">
        <f t="shared" si="44"/>
        <v/>
      </c>
    </row>
    <row r="294" spans="1:11" x14ac:dyDescent="0.3">
      <c r="A294" s="1">
        <v>5</v>
      </c>
      <c r="B294" s="1">
        <v>21</v>
      </c>
      <c r="C294" s="12">
        <f t="shared" si="36"/>
        <v>-1.5</v>
      </c>
      <c r="D294" s="12">
        <f t="shared" si="37"/>
        <v>-0.30000000000000004</v>
      </c>
      <c r="E294" s="12">
        <f t="shared" si="38"/>
        <v>11.069212814222222</v>
      </c>
      <c r="F294" s="12">
        <f t="shared" si="39"/>
        <v>11.069212814222222</v>
      </c>
      <c r="G294" s="12">
        <f t="shared" si="40"/>
        <v>14.498775466666666</v>
      </c>
      <c r="H294" s="12">
        <f t="shared" si="41"/>
        <v>14.498775466666666</v>
      </c>
      <c r="I294" s="1" t="str">
        <f t="shared" si="42"/>
        <v>No</v>
      </c>
      <c r="J294" s="1" t="str">
        <f t="shared" si="43"/>
        <v>Si</v>
      </c>
      <c r="K294" s="1" t="str">
        <f t="shared" si="44"/>
        <v/>
      </c>
    </row>
    <row r="295" spans="1:11" x14ac:dyDescent="0.3">
      <c r="A295" s="1">
        <v>5</v>
      </c>
      <c r="B295" s="1">
        <v>22</v>
      </c>
      <c r="C295" s="12">
        <f t="shared" si="36"/>
        <v>-1.5</v>
      </c>
      <c r="D295" s="12">
        <f t="shared" si="37"/>
        <v>-0.22500000000000009</v>
      </c>
      <c r="E295" s="12">
        <f t="shared" si="38"/>
        <v>11.066724721777778</v>
      </c>
      <c r="F295" s="12">
        <f t="shared" si="39"/>
        <v>11.066724721777778</v>
      </c>
      <c r="G295" s="12">
        <f t="shared" si="40"/>
        <v>14.49527111111111</v>
      </c>
      <c r="H295" s="12">
        <f t="shared" si="41"/>
        <v>14.49527111111111</v>
      </c>
      <c r="I295" s="1" t="str">
        <f t="shared" si="42"/>
        <v>No</v>
      </c>
      <c r="J295" s="1" t="str">
        <f t="shared" si="43"/>
        <v>Si</v>
      </c>
      <c r="K295" s="1" t="str">
        <f t="shared" si="44"/>
        <v/>
      </c>
    </row>
    <row r="296" spans="1:11" x14ac:dyDescent="0.3">
      <c r="A296" s="1">
        <v>5</v>
      </c>
      <c r="B296" s="1">
        <v>23</v>
      </c>
      <c r="C296" s="12">
        <f t="shared" si="36"/>
        <v>-1.5</v>
      </c>
      <c r="D296" s="12">
        <f t="shared" si="37"/>
        <v>-0.14999999999999991</v>
      </c>
      <c r="E296" s="12">
        <f t="shared" si="38"/>
        <v>11.064236629333333</v>
      </c>
      <c r="F296" s="12">
        <f t="shared" si="39"/>
        <v>11.064236629333333</v>
      </c>
      <c r="G296" s="12">
        <f t="shared" si="40"/>
        <v>14.491766755555554</v>
      </c>
      <c r="H296" s="12">
        <f t="shared" si="41"/>
        <v>14.491766755555554</v>
      </c>
      <c r="I296" s="1" t="str">
        <f t="shared" si="42"/>
        <v>No</v>
      </c>
      <c r="J296" s="1" t="str">
        <f t="shared" si="43"/>
        <v>Si</v>
      </c>
      <c r="K296" s="1" t="str">
        <f t="shared" si="44"/>
        <v/>
      </c>
    </row>
    <row r="297" spans="1:11" x14ac:dyDescent="0.3">
      <c r="A297" s="1">
        <v>5</v>
      </c>
      <c r="B297" s="1">
        <v>24</v>
      </c>
      <c r="C297" s="12">
        <f t="shared" si="36"/>
        <v>-1.5</v>
      </c>
      <c r="D297" s="12">
        <f t="shared" si="37"/>
        <v>-7.4999999999999956E-2</v>
      </c>
      <c r="E297" s="12">
        <f t="shared" si="38"/>
        <v>11.061748536888889</v>
      </c>
      <c r="F297" s="12">
        <f t="shared" si="39"/>
        <v>11.061748536888889</v>
      </c>
      <c r="G297" s="12">
        <f t="shared" si="40"/>
        <v>14.4882624</v>
      </c>
      <c r="H297" s="12">
        <f t="shared" si="41"/>
        <v>14.4882624</v>
      </c>
      <c r="I297" s="1" t="str">
        <f t="shared" si="42"/>
        <v>No</v>
      </c>
      <c r="J297" s="1" t="str">
        <f t="shared" si="43"/>
        <v>Si</v>
      </c>
      <c r="K297" s="1" t="str">
        <f t="shared" si="44"/>
        <v/>
      </c>
    </row>
    <row r="298" spans="1:11" x14ac:dyDescent="0.3">
      <c r="A298" s="1">
        <v>5</v>
      </c>
      <c r="B298" s="1">
        <v>25</v>
      </c>
      <c r="C298" s="12">
        <f t="shared" si="36"/>
        <v>-1.5</v>
      </c>
      <c r="D298" s="12">
        <f t="shared" si="37"/>
        <v>0</v>
      </c>
      <c r="E298" s="12">
        <f t="shared" si="38"/>
        <v>11.059260444444444</v>
      </c>
      <c r="F298" s="12">
        <f t="shared" si="39"/>
        <v>11.059260444444444</v>
      </c>
      <c r="G298" s="12">
        <f t="shared" si="40"/>
        <v>14.484758044444444</v>
      </c>
      <c r="H298" s="12">
        <f t="shared" si="41"/>
        <v>14.484758044444444</v>
      </c>
      <c r="I298" s="1" t="str">
        <f t="shared" si="42"/>
        <v>No</v>
      </c>
      <c r="J298" s="1" t="str">
        <f t="shared" si="43"/>
        <v>Si</v>
      </c>
      <c r="K298" s="1" t="str">
        <f t="shared" si="44"/>
        <v/>
      </c>
    </row>
    <row r="299" spans="1:11" x14ac:dyDescent="0.3">
      <c r="A299" s="1">
        <v>5</v>
      </c>
      <c r="B299" s="1">
        <v>26</v>
      </c>
      <c r="C299" s="12">
        <f t="shared" si="36"/>
        <v>-1.5</v>
      </c>
      <c r="D299" s="12">
        <f t="shared" si="37"/>
        <v>7.4999999999999956E-2</v>
      </c>
      <c r="E299" s="12">
        <f t="shared" si="38"/>
        <v>11.056772351999999</v>
      </c>
      <c r="F299" s="12">
        <f t="shared" si="39"/>
        <v>11.056772351999999</v>
      </c>
      <c r="G299" s="12">
        <f t="shared" si="40"/>
        <v>14.481253688888888</v>
      </c>
      <c r="H299" s="12">
        <f t="shared" si="41"/>
        <v>14.481253688888888</v>
      </c>
      <c r="I299" s="1" t="str">
        <f t="shared" si="42"/>
        <v>No</v>
      </c>
      <c r="J299" s="1" t="str">
        <f t="shared" si="43"/>
        <v>Si</v>
      </c>
      <c r="K299" s="1" t="str">
        <f t="shared" si="44"/>
        <v/>
      </c>
    </row>
    <row r="300" spans="1:11" x14ac:dyDescent="0.3">
      <c r="A300" s="1">
        <v>5</v>
      </c>
      <c r="B300" s="1">
        <v>27</v>
      </c>
      <c r="C300" s="12">
        <f t="shared" si="36"/>
        <v>-1.5</v>
      </c>
      <c r="D300" s="12">
        <f t="shared" si="37"/>
        <v>0.14999999999999991</v>
      </c>
      <c r="E300" s="12">
        <f t="shared" si="38"/>
        <v>11.054284259555555</v>
      </c>
      <c r="F300" s="12">
        <f t="shared" si="39"/>
        <v>11.054284259555555</v>
      </c>
      <c r="G300" s="12">
        <f t="shared" si="40"/>
        <v>14.477749333333334</v>
      </c>
      <c r="H300" s="12">
        <f t="shared" si="41"/>
        <v>14.477749333333334</v>
      </c>
      <c r="I300" s="1" t="str">
        <f t="shared" si="42"/>
        <v>No</v>
      </c>
      <c r="J300" s="1" t="str">
        <f t="shared" si="43"/>
        <v>Si</v>
      </c>
      <c r="K300" s="1" t="str">
        <f t="shared" si="44"/>
        <v/>
      </c>
    </row>
    <row r="301" spans="1:11" x14ac:dyDescent="0.3">
      <c r="A301" s="1">
        <v>5</v>
      </c>
      <c r="B301" s="1">
        <v>28</v>
      </c>
      <c r="C301" s="12">
        <f t="shared" si="36"/>
        <v>-1.5</v>
      </c>
      <c r="D301" s="12">
        <f t="shared" si="37"/>
        <v>0.22500000000000009</v>
      </c>
      <c r="E301" s="12">
        <f t="shared" si="38"/>
        <v>11.05179616711111</v>
      </c>
      <c r="F301" s="12">
        <f t="shared" si="39"/>
        <v>11.05179616711111</v>
      </c>
      <c r="G301" s="12">
        <f t="shared" si="40"/>
        <v>14.474244977777778</v>
      </c>
      <c r="H301" s="12">
        <f t="shared" si="41"/>
        <v>14.474244977777778</v>
      </c>
      <c r="I301" s="1" t="str">
        <f t="shared" si="42"/>
        <v>No</v>
      </c>
      <c r="J301" s="1" t="str">
        <f t="shared" si="43"/>
        <v>Si</v>
      </c>
      <c r="K301" s="1" t="str">
        <f t="shared" si="44"/>
        <v/>
      </c>
    </row>
    <row r="302" spans="1:11" x14ac:dyDescent="0.3">
      <c r="A302" s="1">
        <v>5</v>
      </c>
      <c r="B302" s="1">
        <v>29</v>
      </c>
      <c r="C302" s="12">
        <f t="shared" si="36"/>
        <v>-1.5</v>
      </c>
      <c r="D302" s="12">
        <f t="shared" si="37"/>
        <v>0.29999999999999982</v>
      </c>
      <c r="E302" s="12">
        <f t="shared" si="38"/>
        <v>11.049308074666666</v>
      </c>
      <c r="F302" s="12">
        <f t="shared" si="39"/>
        <v>11.049308074666666</v>
      </c>
      <c r="G302" s="12">
        <f t="shared" si="40"/>
        <v>14.470740622222221</v>
      </c>
      <c r="H302" s="12">
        <f t="shared" si="41"/>
        <v>14.470740622222221</v>
      </c>
      <c r="I302" s="1" t="str">
        <f t="shared" si="42"/>
        <v>No</v>
      </c>
      <c r="J302" s="1" t="str">
        <f t="shared" si="43"/>
        <v>Si</v>
      </c>
      <c r="K302" s="1" t="str">
        <f t="shared" si="44"/>
        <v/>
      </c>
    </row>
    <row r="303" spans="1:11" x14ac:dyDescent="0.3">
      <c r="A303" s="1">
        <v>5</v>
      </c>
      <c r="B303" s="1">
        <v>30</v>
      </c>
      <c r="C303" s="12">
        <f t="shared" si="36"/>
        <v>-1.5</v>
      </c>
      <c r="D303" s="12">
        <f t="shared" si="37"/>
        <v>0.375</v>
      </c>
      <c r="E303" s="12">
        <f t="shared" si="38"/>
        <v>11.046819982222221</v>
      </c>
      <c r="F303" s="12">
        <f t="shared" si="39"/>
        <v>11.046819982222221</v>
      </c>
      <c r="G303" s="12">
        <f t="shared" si="40"/>
        <v>14.467236266666665</v>
      </c>
      <c r="H303" s="12">
        <f t="shared" si="41"/>
        <v>14.467236266666665</v>
      </c>
      <c r="I303" s="1" t="str">
        <f t="shared" si="42"/>
        <v>No</v>
      </c>
      <c r="J303" s="1" t="str">
        <f t="shared" si="43"/>
        <v>Si</v>
      </c>
      <c r="K303" s="1" t="str">
        <f t="shared" si="44"/>
        <v/>
      </c>
    </row>
    <row r="304" spans="1:11" x14ac:dyDescent="0.3">
      <c r="A304" s="1">
        <v>5</v>
      </c>
      <c r="B304" s="1">
        <v>31</v>
      </c>
      <c r="C304" s="12">
        <f t="shared" si="36"/>
        <v>-1.5</v>
      </c>
      <c r="D304" s="12">
        <f t="shared" si="37"/>
        <v>0.45000000000000018</v>
      </c>
      <c r="E304" s="12">
        <f t="shared" si="38"/>
        <v>11.044331889777776</v>
      </c>
      <c r="F304" s="12">
        <f t="shared" si="39"/>
        <v>11.044331889777776</v>
      </c>
      <c r="G304" s="12">
        <f t="shared" si="40"/>
        <v>14.463731911111111</v>
      </c>
      <c r="H304" s="12">
        <f t="shared" si="41"/>
        <v>14.463731911111111</v>
      </c>
      <c r="I304" s="1" t="str">
        <f t="shared" si="42"/>
        <v>No</v>
      </c>
      <c r="J304" s="1" t="str">
        <f t="shared" si="43"/>
        <v>Si</v>
      </c>
      <c r="K304" s="1" t="str">
        <f t="shared" si="44"/>
        <v/>
      </c>
    </row>
    <row r="305" spans="1:11" x14ac:dyDescent="0.3">
      <c r="A305" s="1">
        <v>5</v>
      </c>
      <c r="B305" s="1">
        <v>32</v>
      </c>
      <c r="C305" s="12">
        <f t="shared" si="36"/>
        <v>-1.5</v>
      </c>
      <c r="D305" s="12">
        <f t="shared" si="37"/>
        <v>0.52499999999999991</v>
      </c>
      <c r="E305" s="12">
        <f t="shared" si="38"/>
        <v>11.041843797333334</v>
      </c>
      <c r="F305" s="12">
        <f t="shared" si="39"/>
        <v>11.041843797333334</v>
      </c>
      <c r="G305" s="12">
        <f t="shared" si="40"/>
        <v>14.460227555555555</v>
      </c>
      <c r="H305" s="12">
        <f t="shared" si="41"/>
        <v>14.460227555555555</v>
      </c>
      <c r="I305" s="1" t="str">
        <f t="shared" si="42"/>
        <v>No</v>
      </c>
      <c r="J305" s="1" t="str">
        <f t="shared" si="43"/>
        <v>Si</v>
      </c>
      <c r="K305" s="1" t="str">
        <f t="shared" si="44"/>
        <v/>
      </c>
    </row>
    <row r="306" spans="1:11" x14ac:dyDescent="0.3">
      <c r="A306" s="1">
        <v>5</v>
      </c>
      <c r="B306" s="1">
        <v>33</v>
      </c>
      <c r="C306" s="12">
        <f t="shared" si="36"/>
        <v>-1.5</v>
      </c>
      <c r="D306" s="12">
        <f t="shared" si="37"/>
        <v>0.60000000000000009</v>
      </c>
      <c r="E306" s="12">
        <f t="shared" si="38"/>
        <v>11.039355704888889</v>
      </c>
      <c r="F306" s="12">
        <f t="shared" si="39"/>
        <v>11.039355704888889</v>
      </c>
      <c r="G306" s="12">
        <f t="shared" si="40"/>
        <v>14.456723199999999</v>
      </c>
      <c r="H306" s="12">
        <f t="shared" si="41"/>
        <v>14.456723199999999</v>
      </c>
      <c r="I306" s="1" t="str">
        <f t="shared" si="42"/>
        <v>No</v>
      </c>
      <c r="J306" s="1" t="str">
        <f t="shared" si="43"/>
        <v>Si</v>
      </c>
      <c r="K306" s="1" t="str">
        <f t="shared" si="44"/>
        <v/>
      </c>
    </row>
    <row r="307" spans="1:11" x14ac:dyDescent="0.3">
      <c r="A307" s="1">
        <v>5</v>
      </c>
      <c r="B307" s="1">
        <v>34</v>
      </c>
      <c r="C307" s="12">
        <f t="shared" si="36"/>
        <v>-1.5</v>
      </c>
      <c r="D307" s="12">
        <f t="shared" si="37"/>
        <v>0.67499999999999982</v>
      </c>
      <c r="E307" s="12">
        <f t="shared" si="38"/>
        <v>11.036867612444444</v>
      </c>
      <c r="F307" s="12">
        <f t="shared" si="39"/>
        <v>11.036867612444444</v>
      </c>
      <c r="G307" s="12">
        <f t="shared" si="40"/>
        <v>14.453218844444445</v>
      </c>
      <c r="H307" s="12">
        <f t="shared" si="41"/>
        <v>14.453218844444445</v>
      </c>
      <c r="I307" s="1" t="str">
        <f t="shared" si="42"/>
        <v>No</v>
      </c>
      <c r="J307" s="1" t="str">
        <f t="shared" si="43"/>
        <v>Si</v>
      </c>
      <c r="K307" s="1" t="str">
        <f t="shared" si="44"/>
        <v/>
      </c>
    </row>
    <row r="308" spans="1:11" x14ac:dyDescent="0.3">
      <c r="A308" s="1">
        <v>5</v>
      </c>
      <c r="B308" s="1">
        <v>35</v>
      </c>
      <c r="C308" s="12">
        <f t="shared" si="36"/>
        <v>-1.5</v>
      </c>
      <c r="D308" s="12">
        <f t="shared" si="37"/>
        <v>0.75</v>
      </c>
      <c r="E308" s="12">
        <f t="shared" si="38"/>
        <v>11.03437952</v>
      </c>
      <c r="F308" s="12">
        <f t="shared" si="39"/>
        <v>11.03437952</v>
      </c>
      <c r="G308" s="12">
        <f t="shared" si="40"/>
        <v>14.449714488888889</v>
      </c>
      <c r="H308" s="12">
        <f t="shared" si="41"/>
        <v>14.449714488888889</v>
      </c>
      <c r="I308" s="1" t="str">
        <f t="shared" si="42"/>
        <v>No</v>
      </c>
      <c r="J308" s="1" t="str">
        <f t="shared" si="43"/>
        <v>Si</v>
      </c>
      <c r="K308" s="1" t="str">
        <f t="shared" si="44"/>
        <v/>
      </c>
    </row>
    <row r="309" spans="1:11" x14ac:dyDescent="0.3">
      <c r="A309" s="1">
        <v>5</v>
      </c>
      <c r="B309" s="1">
        <v>36</v>
      </c>
      <c r="C309" s="12">
        <f t="shared" si="36"/>
        <v>-1.5</v>
      </c>
      <c r="D309" s="12">
        <f t="shared" si="37"/>
        <v>0.82500000000000018</v>
      </c>
      <c r="E309" s="12">
        <f t="shared" si="38"/>
        <v>11.031891427555555</v>
      </c>
      <c r="F309" s="12">
        <f t="shared" si="39"/>
        <v>11.031891427555555</v>
      </c>
      <c r="G309" s="12">
        <f t="shared" si="40"/>
        <v>14.446210133333333</v>
      </c>
      <c r="H309" s="12">
        <f t="shared" si="41"/>
        <v>14.446210133333333</v>
      </c>
      <c r="I309" s="1" t="str">
        <f t="shared" si="42"/>
        <v>No</v>
      </c>
      <c r="J309" s="1" t="str">
        <f t="shared" si="43"/>
        <v>Si</v>
      </c>
      <c r="K309" s="1" t="str">
        <f t="shared" si="44"/>
        <v/>
      </c>
    </row>
    <row r="310" spans="1:11" x14ac:dyDescent="0.3">
      <c r="A310" s="1">
        <v>5</v>
      </c>
      <c r="B310" s="1">
        <v>37</v>
      </c>
      <c r="C310" s="12">
        <f t="shared" si="36"/>
        <v>-1.5</v>
      </c>
      <c r="D310" s="12">
        <f t="shared" si="37"/>
        <v>0.89999999999999991</v>
      </c>
      <c r="E310" s="12">
        <f t="shared" si="38"/>
        <v>11.029403335111111</v>
      </c>
      <c r="F310" s="12">
        <f t="shared" si="39"/>
        <v>11.029403335111111</v>
      </c>
      <c r="G310" s="12">
        <f t="shared" si="40"/>
        <v>14.442705777777777</v>
      </c>
      <c r="H310" s="12">
        <f t="shared" si="41"/>
        <v>14.442705777777777</v>
      </c>
      <c r="I310" s="1" t="str">
        <f t="shared" si="42"/>
        <v>No</v>
      </c>
      <c r="J310" s="1" t="str">
        <f t="shared" si="43"/>
        <v>Si</v>
      </c>
      <c r="K310" s="1" t="str">
        <f t="shared" si="44"/>
        <v/>
      </c>
    </row>
    <row r="311" spans="1:11" x14ac:dyDescent="0.3">
      <c r="A311" s="1">
        <v>5</v>
      </c>
      <c r="B311" s="1">
        <v>38</v>
      </c>
      <c r="C311" s="12">
        <f t="shared" si="36"/>
        <v>-1.5</v>
      </c>
      <c r="D311" s="12">
        <f t="shared" si="37"/>
        <v>0.97500000000000009</v>
      </c>
      <c r="E311" s="12">
        <f t="shared" si="38"/>
        <v>11.026915242666666</v>
      </c>
      <c r="F311" s="12">
        <f t="shared" si="39"/>
        <v>11.026915242666666</v>
      </c>
      <c r="G311" s="12">
        <f t="shared" si="40"/>
        <v>14.439201422222222</v>
      </c>
      <c r="H311" s="12">
        <f t="shared" si="41"/>
        <v>14.439201422222222</v>
      </c>
      <c r="I311" s="1" t="str">
        <f t="shared" si="42"/>
        <v>No</v>
      </c>
      <c r="J311" s="1" t="str">
        <f t="shared" si="43"/>
        <v>Si</v>
      </c>
      <c r="K311" s="1" t="str">
        <f t="shared" si="44"/>
        <v/>
      </c>
    </row>
    <row r="312" spans="1:11" x14ac:dyDescent="0.3">
      <c r="A312" s="1">
        <v>5</v>
      </c>
      <c r="B312" s="1">
        <v>39</v>
      </c>
      <c r="C312" s="12">
        <f t="shared" si="36"/>
        <v>-1.5</v>
      </c>
      <c r="D312" s="12">
        <f t="shared" si="37"/>
        <v>1.0499999999999998</v>
      </c>
      <c r="E312" s="12">
        <f t="shared" si="38"/>
        <v>11.024427150222222</v>
      </c>
      <c r="F312" s="12">
        <f t="shared" si="39"/>
        <v>11.024427150222222</v>
      </c>
      <c r="G312" s="12">
        <f t="shared" si="40"/>
        <v>14.435697066666666</v>
      </c>
      <c r="H312" s="12">
        <f t="shared" si="41"/>
        <v>14.435697066666666</v>
      </c>
      <c r="I312" s="1" t="str">
        <f t="shared" si="42"/>
        <v>No</v>
      </c>
      <c r="J312" s="1" t="str">
        <f t="shared" si="43"/>
        <v>Si</v>
      </c>
      <c r="K312" s="1" t="str">
        <f t="shared" si="44"/>
        <v/>
      </c>
    </row>
    <row r="313" spans="1:11" x14ac:dyDescent="0.3">
      <c r="A313" s="1">
        <v>5</v>
      </c>
      <c r="B313" s="1">
        <v>40</v>
      </c>
      <c r="C313" s="12">
        <f t="shared" si="36"/>
        <v>-1.5</v>
      </c>
      <c r="D313" s="12">
        <f t="shared" si="37"/>
        <v>1.125</v>
      </c>
      <c r="E313" s="12">
        <f t="shared" si="38"/>
        <v>11.021939057777777</v>
      </c>
      <c r="F313" s="12">
        <f t="shared" si="39"/>
        <v>11.021939057777777</v>
      </c>
      <c r="G313" s="12">
        <f t="shared" si="40"/>
        <v>14.43219271111111</v>
      </c>
      <c r="H313" s="12">
        <f t="shared" si="41"/>
        <v>14.43219271111111</v>
      </c>
      <c r="I313" s="1" t="str">
        <f t="shared" si="42"/>
        <v>No</v>
      </c>
      <c r="J313" s="1" t="str">
        <f t="shared" si="43"/>
        <v>Si</v>
      </c>
      <c r="K313" s="1" t="str">
        <f t="shared" si="44"/>
        <v/>
      </c>
    </row>
    <row r="314" spans="1:11" x14ac:dyDescent="0.3">
      <c r="A314" s="1">
        <v>5</v>
      </c>
      <c r="B314" s="1">
        <v>41</v>
      </c>
      <c r="C314" s="12">
        <f t="shared" si="36"/>
        <v>-1.5</v>
      </c>
      <c r="D314" s="12">
        <f t="shared" si="37"/>
        <v>1.2000000000000002</v>
      </c>
      <c r="E314" s="12">
        <f t="shared" si="38"/>
        <v>11.019450965333332</v>
      </c>
      <c r="F314" s="12">
        <f t="shared" si="39"/>
        <v>11.019450965333332</v>
      </c>
      <c r="G314" s="12">
        <f t="shared" si="40"/>
        <v>14.428688355555556</v>
      </c>
      <c r="H314" s="12">
        <f t="shared" si="41"/>
        <v>14.428688355555556</v>
      </c>
      <c r="I314" s="1" t="str">
        <f t="shared" si="42"/>
        <v>No</v>
      </c>
      <c r="J314" s="1" t="str">
        <f t="shared" si="43"/>
        <v>Si</v>
      </c>
      <c r="K314" s="1" t="str">
        <f t="shared" si="44"/>
        <v/>
      </c>
    </row>
    <row r="315" spans="1:11" x14ac:dyDescent="0.3">
      <c r="A315" s="1">
        <v>5</v>
      </c>
      <c r="B315" s="1">
        <v>42</v>
      </c>
      <c r="C315" s="12">
        <f t="shared" si="36"/>
        <v>-1.5</v>
      </c>
      <c r="D315" s="12">
        <f t="shared" si="37"/>
        <v>1.2749999999999999</v>
      </c>
      <c r="E315" s="12">
        <f t="shared" si="38"/>
        <v>11.016962872888888</v>
      </c>
      <c r="F315" s="12">
        <f t="shared" si="39"/>
        <v>11.016962872888888</v>
      </c>
      <c r="G315" s="12">
        <f t="shared" si="40"/>
        <v>14.425184</v>
      </c>
      <c r="H315" s="12">
        <f t="shared" si="41"/>
        <v>14.425184</v>
      </c>
      <c r="I315" s="1" t="str">
        <f t="shared" si="42"/>
        <v>No</v>
      </c>
      <c r="J315" s="1" t="str">
        <f t="shared" si="43"/>
        <v>Si</v>
      </c>
      <c r="K315" s="1" t="str">
        <f t="shared" si="44"/>
        <v/>
      </c>
    </row>
    <row r="316" spans="1:11" x14ac:dyDescent="0.3">
      <c r="A316" s="1">
        <v>5</v>
      </c>
      <c r="B316" s="1">
        <v>43</v>
      </c>
      <c r="C316" s="12">
        <f t="shared" si="36"/>
        <v>-1.5</v>
      </c>
      <c r="D316" s="12">
        <f t="shared" si="37"/>
        <v>1.35</v>
      </c>
      <c r="E316" s="12">
        <f t="shared" si="38"/>
        <v>11.014474780444443</v>
      </c>
      <c r="F316" s="12">
        <f t="shared" si="39"/>
        <v>11.014474780444443</v>
      </c>
      <c r="G316" s="12">
        <f t="shared" si="40"/>
        <v>14.421679644444444</v>
      </c>
      <c r="H316" s="12">
        <f t="shared" si="41"/>
        <v>14.421679644444444</v>
      </c>
      <c r="I316" s="1" t="str">
        <f t="shared" si="42"/>
        <v>No</v>
      </c>
      <c r="J316" s="1" t="str">
        <f t="shared" si="43"/>
        <v>Si</v>
      </c>
      <c r="K316" s="1" t="str">
        <f t="shared" si="44"/>
        <v/>
      </c>
    </row>
    <row r="317" spans="1:11" x14ac:dyDescent="0.3">
      <c r="A317" s="1">
        <v>5</v>
      </c>
      <c r="B317" s="1">
        <v>44</v>
      </c>
      <c r="C317" s="12">
        <f t="shared" si="36"/>
        <v>-1.5</v>
      </c>
      <c r="D317" s="12">
        <f t="shared" si="37"/>
        <v>1.4249999999999998</v>
      </c>
      <c r="E317" s="12">
        <f t="shared" si="38"/>
        <v>11.011986688</v>
      </c>
      <c r="F317" s="12">
        <f t="shared" si="39"/>
        <v>11.011986688</v>
      </c>
      <c r="G317" s="12">
        <f t="shared" si="40"/>
        <v>14.418175288888888</v>
      </c>
      <c r="H317" s="12">
        <f t="shared" si="41"/>
        <v>14.418175288888888</v>
      </c>
      <c r="I317" s="1" t="str">
        <f t="shared" si="42"/>
        <v>No</v>
      </c>
      <c r="J317" s="1" t="str">
        <f t="shared" si="43"/>
        <v>Si</v>
      </c>
      <c r="K317" s="1" t="str">
        <f t="shared" si="44"/>
        <v/>
      </c>
    </row>
    <row r="318" spans="1:11" x14ac:dyDescent="0.3">
      <c r="A318" s="1">
        <v>5</v>
      </c>
      <c r="B318" s="1">
        <v>45</v>
      </c>
      <c r="C318" s="12">
        <f t="shared" si="36"/>
        <v>-1.5</v>
      </c>
      <c r="D318" s="12">
        <f t="shared" si="37"/>
        <v>1.5</v>
      </c>
      <c r="E318" s="12">
        <f t="shared" si="38"/>
        <v>11.009498595555556</v>
      </c>
      <c r="F318" s="12">
        <f t="shared" si="39"/>
        <v>11.009498595555556</v>
      </c>
      <c r="G318" s="12">
        <f t="shared" si="40"/>
        <v>14.414670933333333</v>
      </c>
      <c r="H318" s="12">
        <f t="shared" si="41"/>
        <v>14.414670933333333</v>
      </c>
      <c r="I318" s="1" t="str">
        <f t="shared" si="42"/>
        <v>No</v>
      </c>
      <c r="J318" s="1" t="str">
        <f t="shared" si="43"/>
        <v>Si</v>
      </c>
      <c r="K318" s="1" t="str">
        <f t="shared" si="44"/>
        <v/>
      </c>
    </row>
    <row r="319" spans="1:11" x14ac:dyDescent="0.3">
      <c r="A319" s="1">
        <v>5</v>
      </c>
      <c r="B319" s="1">
        <v>46</v>
      </c>
      <c r="C319" s="12">
        <f t="shared" si="36"/>
        <v>-1.5</v>
      </c>
      <c r="D319" s="12">
        <f t="shared" si="37"/>
        <v>1.5750000000000002</v>
      </c>
      <c r="E319" s="12">
        <f t="shared" si="38"/>
        <v>11.007010503111111</v>
      </c>
      <c r="F319" s="12">
        <f t="shared" si="39"/>
        <v>11.007010503111111</v>
      </c>
      <c r="G319" s="12">
        <f t="shared" si="40"/>
        <v>14.411166577777777</v>
      </c>
      <c r="H319" s="12">
        <f t="shared" si="41"/>
        <v>14.411166577777777</v>
      </c>
      <c r="I319" s="1" t="str">
        <f t="shared" si="42"/>
        <v>No</v>
      </c>
      <c r="J319" s="1" t="str">
        <f t="shared" si="43"/>
        <v>Si</v>
      </c>
      <c r="K319" s="1" t="str">
        <f t="shared" si="44"/>
        <v/>
      </c>
    </row>
    <row r="320" spans="1:11" x14ac:dyDescent="0.3">
      <c r="A320" s="1">
        <v>5</v>
      </c>
      <c r="B320" s="1">
        <v>47</v>
      </c>
      <c r="C320" s="12">
        <f t="shared" si="36"/>
        <v>-1.5</v>
      </c>
      <c r="D320" s="12">
        <f t="shared" si="37"/>
        <v>1.65</v>
      </c>
      <c r="E320" s="12">
        <f t="shared" si="38"/>
        <v>11.004522410666667</v>
      </c>
      <c r="F320" s="12">
        <f t="shared" si="39"/>
        <v>11.004522410666667</v>
      </c>
      <c r="G320" s="12">
        <f t="shared" si="40"/>
        <v>14.407662222222221</v>
      </c>
      <c r="H320" s="12">
        <f t="shared" si="41"/>
        <v>14.407662222222221</v>
      </c>
      <c r="I320" s="1" t="str">
        <f t="shared" si="42"/>
        <v>No</v>
      </c>
      <c r="J320" s="1" t="str">
        <f t="shared" si="43"/>
        <v>Si</v>
      </c>
      <c r="K320" s="1" t="str">
        <f t="shared" si="44"/>
        <v/>
      </c>
    </row>
    <row r="321" spans="1:11" x14ac:dyDescent="0.3">
      <c r="A321" s="1">
        <v>5</v>
      </c>
      <c r="B321" s="1">
        <v>48</v>
      </c>
      <c r="C321" s="12">
        <f t="shared" si="36"/>
        <v>-1.5</v>
      </c>
      <c r="D321" s="12">
        <f t="shared" si="37"/>
        <v>1.7250000000000001</v>
      </c>
      <c r="E321" s="12">
        <f t="shared" si="38"/>
        <v>11.002034318222222</v>
      </c>
      <c r="F321" s="12">
        <f t="shared" si="39"/>
        <v>11.002034318222222</v>
      </c>
      <c r="G321" s="12">
        <f t="shared" si="40"/>
        <v>14.404157866666667</v>
      </c>
      <c r="H321" s="12">
        <f t="shared" si="41"/>
        <v>14.404157866666667</v>
      </c>
      <c r="I321" s="1" t="str">
        <f t="shared" si="42"/>
        <v>No</v>
      </c>
      <c r="J321" s="1" t="str">
        <f t="shared" si="43"/>
        <v>Si</v>
      </c>
      <c r="K321" s="1" t="str">
        <f t="shared" si="44"/>
        <v/>
      </c>
    </row>
    <row r="322" spans="1:11" x14ac:dyDescent="0.3">
      <c r="A322" s="1">
        <v>5</v>
      </c>
      <c r="B322" s="1">
        <v>49</v>
      </c>
      <c r="C322" s="12">
        <f t="shared" si="36"/>
        <v>-1.5</v>
      </c>
      <c r="D322" s="12">
        <f t="shared" si="37"/>
        <v>1.7999999999999998</v>
      </c>
      <c r="E322" s="12">
        <f t="shared" si="38"/>
        <v>10.999546225777777</v>
      </c>
      <c r="F322" s="12">
        <f t="shared" si="39"/>
        <v>10.999546225777777</v>
      </c>
      <c r="G322" s="12">
        <f t="shared" si="40"/>
        <v>14.400653511111111</v>
      </c>
      <c r="H322" s="12">
        <f t="shared" si="41"/>
        <v>14.400653511111111</v>
      </c>
      <c r="I322" s="1" t="str">
        <f t="shared" si="42"/>
        <v>No</v>
      </c>
      <c r="J322" s="1" t="str">
        <f t="shared" si="43"/>
        <v>Si</v>
      </c>
      <c r="K322" s="1" t="str">
        <f t="shared" si="44"/>
        <v/>
      </c>
    </row>
    <row r="323" spans="1:11" x14ac:dyDescent="0.3">
      <c r="A323" s="1">
        <v>5</v>
      </c>
      <c r="B323" s="1">
        <v>50</v>
      </c>
      <c r="C323" s="12">
        <f t="shared" si="36"/>
        <v>-1.5</v>
      </c>
      <c r="D323" s="12">
        <f t="shared" si="37"/>
        <v>1.875</v>
      </c>
      <c r="E323" s="12">
        <f t="shared" si="38"/>
        <v>10.997058133333333</v>
      </c>
      <c r="F323" s="12">
        <f t="shared" si="39"/>
        <v>10.997058133333333</v>
      </c>
      <c r="G323" s="12">
        <f t="shared" si="40"/>
        <v>14.397149155555555</v>
      </c>
      <c r="H323" s="12">
        <f t="shared" si="41"/>
        <v>14.397149155555555</v>
      </c>
      <c r="I323" s="1" t="str">
        <f t="shared" si="42"/>
        <v>No</v>
      </c>
      <c r="J323" s="1" t="str">
        <f t="shared" si="43"/>
        <v>Si</v>
      </c>
      <c r="K323" s="1" t="str">
        <f t="shared" si="44"/>
        <v/>
      </c>
    </row>
    <row r="324" spans="1:11" x14ac:dyDescent="0.3">
      <c r="A324" s="1">
        <v>6</v>
      </c>
      <c r="B324" s="1">
        <v>0</v>
      </c>
      <c r="C324" s="12">
        <f t="shared" si="36"/>
        <v>-1.425</v>
      </c>
      <c r="D324" s="12">
        <f t="shared" si="37"/>
        <v>-1.875</v>
      </c>
      <c r="E324" s="12">
        <f t="shared" si="38"/>
        <v>11.122156799999999</v>
      </c>
      <c r="F324" s="12">
        <f t="shared" si="39"/>
        <v>11.122156799999999</v>
      </c>
      <c r="G324" s="12">
        <f t="shared" si="40"/>
        <v>14.573404586666665</v>
      </c>
      <c r="H324" s="12">
        <f t="shared" si="41"/>
        <v>14.573404586666665</v>
      </c>
      <c r="I324" s="1" t="str">
        <f t="shared" si="42"/>
        <v>No</v>
      </c>
      <c r="J324" s="1" t="str">
        <f t="shared" si="43"/>
        <v>Si</v>
      </c>
      <c r="K324" s="1" t="str">
        <f t="shared" si="44"/>
        <v/>
      </c>
    </row>
    <row r="325" spans="1:11" x14ac:dyDescent="0.3">
      <c r="A325" s="1">
        <v>6</v>
      </c>
      <c r="B325" s="1">
        <v>1</v>
      </c>
      <c r="C325" s="12">
        <f t="shared" si="36"/>
        <v>-1.425</v>
      </c>
      <c r="D325" s="12">
        <f t="shared" si="37"/>
        <v>-1.8</v>
      </c>
      <c r="E325" s="12">
        <f t="shared" si="38"/>
        <v>11.119668707555554</v>
      </c>
      <c r="F325" s="12">
        <f t="shared" si="39"/>
        <v>11.119668707555554</v>
      </c>
      <c r="G325" s="12">
        <f t="shared" si="40"/>
        <v>14.569900231111109</v>
      </c>
      <c r="H325" s="12">
        <f t="shared" si="41"/>
        <v>14.569900231111109</v>
      </c>
      <c r="I325" s="1" t="str">
        <f t="shared" si="42"/>
        <v>No</v>
      </c>
      <c r="J325" s="1" t="str">
        <f t="shared" si="43"/>
        <v>Si</v>
      </c>
      <c r="K325" s="1" t="str">
        <f t="shared" si="44"/>
        <v/>
      </c>
    </row>
    <row r="326" spans="1:11" x14ac:dyDescent="0.3">
      <c r="A326" s="1">
        <v>6</v>
      </c>
      <c r="B326" s="1">
        <v>2</v>
      </c>
      <c r="C326" s="12">
        <f t="shared" si="36"/>
        <v>-1.425</v>
      </c>
      <c r="D326" s="12">
        <f t="shared" si="37"/>
        <v>-1.7250000000000001</v>
      </c>
      <c r="E326" s="12">
        <f t="shared" si="38"/>
        <v>11.11718061511111</v>
      </c>
      <c r="F326" s="12">
        <f t="shared" si="39"/>
        <v>11.11718061511111</v>
      </c>
      <c r="G326" s="12">
        <f t="shared" si="40"/>
        <v>14.566395875555553</v>
      </c>
      <c r="H326" s="12">
        <f t="shared" si="41"/>
        <v>14.566395875555553</v>
      </c>
      <c r="I326" s="1" t="str">
        <f t="shared" si="42"/>
        <v>No</v>
      </c>
      <c r="J326" s="1" t="str">
        <f t="shared" si="43"/>
        <v>Si</v>
      </c>
      <c r="K326" s="1" t="str">
        <f t="shared" si="44"/>
        <v/>
      </c>
    </row>
    <row r="327" spans="1:11" x14ac:dyDescent="0.3">
      <c r="A327" s="1">
        <v>6</v>
      </c>
      <c r="B327" s="1">
        <v>3</v>
      </c>
      <c r="C327" s="12">
        <f t="shared" si="36"/>
        <v>-1.425</v>
      </c>
      <c r="D327" s="12">
        <f t="shared" si="37"/>
        <v>-1.65</v>
      </c>
      <c r="E327" s="12">
        <f t="shared" si="38"/>
        <v>11.114692522666665</v>
      </c>
      <c r="F327" s="12">
        <f t="shared" si="39"/>
        <v>11.114692522666665</v>
      </c>
      <c r="G327" s="12">
        <f t="shared" si="40"/>
        <v>14.562891519999999</v>
      </c>
      <c r="H327" s="12">
        <f t="shared" si="41"/>
        <v>14.562891519999999</v>
      </c>
      <c r="I327" s="1" t="str">
        <f t="shared" si="42"/>
        <v>No</v>
      </c>
      <c r="J327" s="1" t="str">
        <f t="shared" si="43"/>
        <v>Si</v>
      </c>
      <c r="K327" s="1" t="str">
        <f t="shared" si="44"/>
        <v/>
      </c>
    </row>
    <row r="328" spans="1:11" x14ac:dyDescent="0.3">
      <c r="A328" s="1">
        <v>6</v>
      </c>
      <c r="B328" s="1">
        <v>4</v>
      </c>
      <c r="C328" s="12">
        <f t="shared" si="36"/>
        <v>-1.425</v>
      </c>
      <c r="D328" s="12">
        <f t="shared" si="37"/>
        <v>-1.575</v>
      </c>
      <c r="E328" s="12">
        <f t="shared" si="38"/>
        <v>11.112204430222221</v>
      </c>
      <c r="F328" s="12">
        <f t="shared" si="39"/>
        <v>11.112204430222221</v>
      </c>
      <c r="G328" s="12">
        <f t="shared" si="40"/>
        <v>14.559387164444443</v>
      </c>
      <c r="H328" s="12">
        <f t="shared" si="41"/>
        <v>14.559387164444443</v>
      </c>
      <c r="I328" s="1" t="str">
        <f t="shared" si="42"/>
        <v>No</v>
      </c>
      <c r="J328" s="1" t="str">
        <f t="shared" si="43"/>
        <v>Si</v>
      </c>
      <c r="K328" s="1" t="str">
        <f t="shared" si="44"/>
        <v/>
      </c>
    </row>
    <row r="329" spans="1:11" x14ac:dyDescent="0.3">
      <c r="A329" s="1">
        <v>6</v>
      </c>
      <c r="B329" s="1">
        <v>5</v>
      </c>
      <c r="C329" s="12">
        <f t="shared" si="36"/>
        <v>-1.425</v>
      </c>
      <c r="D329" s="12">
        <f t="shared" si="37"/>
        <v>-1.5</v>
      </c>
      <c r="E329" s="12">
        <f t="shared" si="38"/>
        <v>11.109716337777776</v>
      </c>
      <c r="F329" s="12">
        <f t="shared" si="39"/>
        <v>11.109716337777776</v>
      </c>
      <c r="G329" s="12">
        <f t="shared" si="40"/>
        <v>14.555882808888887</v>
      </c>
      <c r="H329" s="12">
        <f t="shared" si="41"/>
        <v>14.555882808888887</v>
      </c>
      <c r="I329" s="1" t="str">
        <f t="shared" si="42"/>
        <v>No</v>
      </c>
      <c r="J329" s="1" t="str">
        <f t="shared" si="43"/>
        <v>Si</v>
      </c>
      <c r="K329" s="1" t="str">
        <f t="shared" si="44"/>
        <v/>
      </c>
    </row>
    <row r="330" spans="1:11" x14ac:dyDescent="0.3">
      <c r="A330" s="1">
        <v>6</v>
      </c>
      <c r="B330" s="1">
        <v>6</v>
      </c>
      <c r="C330" s="12">
        <f t="shared" si="36"/>
        <v>-1.425</v>
      </c>
      <c r="D330" s="12">
        <f t="shared" si="37"/>
        <v>-1.425</v>
      </c>
      <c r="E330" s="12">
        <f t="shared" si="38"/>
        <v>11.107228245333332</v>
      </c>
      <c r="F330" s="12">
        <f t="shared" si="39"/>
        <v>11.107228245333332</v>
      </c>
      <c r="G330" s="12">
        <f t="shared" si="40"/>
        <v>14.552378453333333</v>
      </c>
      <c r="H330" s="12">
        <f t="shared" si="41"/>
        <v>14.552378453333333</v>
      </c>
      <c r="I330" s="1" t="str">
        <f t="shared" si="42"/>
        <v>No</v>
      </c>
      <c r="J330" s="1" t="str">
        <f t="shared" si="43"/>
        <v>Si</v>
      </c>
      <c r="K330" s="1" t="str">
        <f t="shared" si="44"/>
        <v/>
      </c>
    </row>
    <row r="331" spans="1:11" x14ac:dyDescent="0.3">
      <c r="A331" s="1">
        <v>6</v>
      </c>
      <c r="B331" s="1">
        <v>7</v>
      </c>
      <c r="C331" s="12">
        <f t="shared" si="36"/>
        <v>-1.425</v>
      </c>
      <c r="D331" s="12">
        <f t="shared" si="37"/>
        <v>-1.35</v>
      </c>
      <c r="E331" s="12">
        <f t="shared" si="38"/>
        <v>11.104740152888889</v>
      </c>
      <c r="F331" s="12">
        <f t="shared" si="39"/>
        <v>11.104740152888889</v>
      </c>
      <c r="G331" s="12">
        <f t="shared" si="40"/>
        <v>14.548874097777777</v>
      </c>
      <c r="H331" s="12">
        <f t="shared" si="41"/>
        <v>14.548874097777777</v>
      </c>
      <c r="I331" s="1" t="str">
        <f t="shared" si="42"/>
        <v>No</v>
      </c>
      <c r="J331" s="1" t="str">
        <f t="shared" si="43"/>
        <v>Si</v>
      </c>
      <c r="K331" s="1" t="str">
        <f t="shared" si="44"/>
        <v/>
      </c>
    </row>
    <row r="332" spans="1:11" x14ac:dyDescent="0.3">
      <c r="A332" s="1">
        <v>6</v>
      </c>
      <c r="B332" s="1">
        <v>8</v>
      </c>
      <c r="C332" s="12">
        <f t="shared" si="36"/>
        <v>-1.425</v>
      </c>
      <c r="D332" s="12">
        <f t="shared" si="37"/>
        <v>-1.2749999999999999</v>
      </c>
      <c r="E332" s="12">
        <f t="shared" si="38"/>
        <v>11.102252060444444</v>
      </c>
      <c r="F332" s="12">
        <f t="shared" si="39"/>
        <v>11.102252060444444</v>
      </c>
      <c r="G332" s="12">
        <f t="shared" si="40"/>
        <v>14.545369742222221</v>
      </c>
      <c r="H332" s="12">
        <f t="shared" si="41"/>
        <v>14.545369742222221</v>
      </c>
      <c r="I332" s="1" t="str">
        <f t="shared" si="42"/>
        <v>No</v>
      </c>
      <c r="J332" s="1" t="str">
        <f t="shared" si="43"/>
        <v>Si</v>
      </c>
      <c r="K332" s="1" t="str">
        <f t="shared" si="44"/>
        <v/>
      </c>
    </row>
    <row r="333" spans="1:11" x14ac:dyDescent="0.3">
      <c r="A333" s="1">
        <v>6</v>
      </c>
      <c r="B333" s="1">
        <v>9</v>
      </c>
      <c r="C333" s="12">
        <f t="shared" si="36"/>
        <v>-1.425</v>
      </c>
      <c r="D333" s="12">
        <f t="shared" si="37"/>
        <v>-1.2</v>
      </c>
      <c r="E333" s="12">
        <f t="shared" si="38"/>
        <v>11.099763968</v>
      </c>
      <c r="F333" s="12">
        <f t="shared" si="39"/>
        <v>11.099763968</v>
      </c>
      <c r="G333" s="12">
        <f t="shared" si="40"/>
        <v>14.541865386666665</v>
      </c>
      <c r="H333" s="12">
        <f t="shared" si="41"/>
        <v>14.541865386666665</v>
      </c>
      <c r="I333" s="1" t="str">
        <f t="shared" si="42"/>
        <v>No</v>
      </c>
      <c r="J333" s="1" t="str">
        <f t="shared" si="43"/>
        <v>Si</v>
      </c>
      <c r="K333" s="1" t="str">
        <f t="shared" si="44"/>
        <v/>
      </c>
    </row>
    <row r="334" spans="1:11" x14ac:dyDescent="0.3">
      <c r="A334" s="1">
        <v>6</v>
      </c>
      <c r="B334" s="1">
        <v>10</v>
      </c>
      <c r="C334" s="12">
        <f t="shared" si="36"/>
        <v>-1.425</v>
      </c>
      <c r="D334" s="12">
        <f t="shared" si="37"/>
        <v>-1.125</v>
      </c>
      <c r="E334" s="12">
        <f t="shared" si="38"/>
        <v>11.097275875555555</v>
      </c>
      <c r="F334" s="12">
        <f t="shared" si="39"/>
        <v>11.097275875555555</v>
      </c>
      <c r="G334" s="12">
        <f t="shared" si="40"/>
        <v>14.53836103111111</v>
      </c>
      <c r="H334" s="12">
        <f t="shared" si="41"/>
        <v>14.53836103111111</v>
      </c>
      <c r="I334" s="1" t="str">
        <f t="shared" si="42"/>
        <v>No</v>
      </c>
      <c r="J334" s="1" t="str">
        <f t="shared" si="43"/>
        <v>Si</v>
      </c>
      <c r="K334" s="1" t="str">
        <f t="shared" si="44"/>
        <v/>
      </c>
    </row>
    <row r="335" spans="1:11" x14ac:dyDescent="0.3">
      <c r="A335" s="1">
        <v>6</v>
      </c>
      <c r="B335" s="1">
        <v>11</v>
      </c>
      <c r="C335" s="12">
        <f t="shared" si="36"/>
        <v>-1.425</v>
      </c>
      <c r="D335" s="12">
        <f t="shared" si="37"/>
        <v>-1.05</v>
      </c>
      <c r="E335" s="12">
        <f t="shared" si="38"/>
        <v>11.09478778311111</v>
      </c>
      <c r="F335" s="12">
        <f t="shared" si="39"/>
        <v>11.09478778311111</v>
      </c>
      <c r="G335" s="12">
        <f t="shared" si="40"/>
        <v>14.534856675555554</v>
      </c>
      <c r="H335" s="12">
        <f t="shared" si="41"/>
        <v>14.534856675555554</v>
      </c>
      <c r="I335" s="1" t="str">
        <f t="shared" si="42"/>
        <v>No</v>
      </c>
      <c r="J335" s="1" t="str">
        <f t="shared" si="43"/>
        <v>Si</v>
      </c>
      <c r="K335" s="1" t="str">
        <f t="shared" si="44"/>
        <v/>
      </c>
    </row>
    <row r="336" spans="1:11" x14ac:dyDescent="0.3">
      <c r="A336" s="1">
        <v>6</v>
      </c>
      <c r="B336" s="1">
        <v>12</v>
      </c>
      <c r="C336" s="12">
        <f t="shared" si="36"/>
        <v>-1.425</v>
      </c>
      <c r="D336" s="12">
        <f t="shared" si="37"/>
        <v>-0.97499999999999998</v>
      </c>
      <c r="E336" s="12">
        <f t="shared" si="38"/>
        <v>11.092299690666666</v>
      </c>
      <c r="F336" s="12">
        <f t="shared" si="39"/>
        <v>11.092299690666666</v>
      </c>
      <c r="G336" s="12">
        <f t="shared" si="40"/>
        <v>14.531352319999998</v>
      </c>
      <c r="H336" s="12">
        <f t="shared" si="41"/>
        <v>14.531352319999998</v>
      </c>
      <c r="I336" s="1" t="str">
        <f t="shared" si="42"/>
        <v>No</v>
      </c>
      <c r="J336" s="1" t="str">
        <f t="shared" si="43"/>
        <v>Si</v>
      </c>
      <c r="K336" s="1" t="str">
        <f t="shared" si="44"/>
        <v/>
      </c>
    </row>
    <row r="337" spans="1:11" x14ac:dyDescent="0.3">
      <c r="A337" s="1">
        <v>6</v>
      </c>
      <c r="B337" s="1">
        <v>13</v>
      </c>
      <c r="C337" s="12">
        <f t="shared" si="36"/>
        <v>-1.425</v>
      </c>
      <c r="D337" s="12">
        <f t="shared" si="37"/>
        <v>-0.9</v>
      </c>
      <c r="E337" s="12">
        <f t="shared" si="38"/>
        <v>11.089811598222221</v>
      </c>
      <c r="F337" s="12">
        <f t="shared" si="39"/>
        <v>11.089811598222221</v>
      </c>
      <c r="G337" s="12">
        <f t="shared" si="40"/>
        <v>14.527847964444444</v>
      </c>
      <c r="H337" s="12">
        <f t="shared" si="41"/>
        <v>14.527847964444444</v>
      </c>
      <c r="I337" s="1" t="str">
        <f t="shared" si="42"/>
        <v>No</v>
      </c>
      <c r="J337" s="1" t="str">
        <f t="shared" si="43"/>
        <v>Si</v>
      </c>
      <c r="K337" s="1" t="str">
        <f t="shared" si="44"/>
        <v/>
      </c>
    </row>
    <row r="338" spans="1:11" x14ac:dyDescent="0.3">
      <c r="A338" s="1">
        <v>6</v>
      </c>
      <c r="B338" s="1">
        <v>14</v>
      </c>
      <c r="C338" s="12">
        <f t="shared" ref="C338:C401" si="45">IF(OR(A338&gt;inp_n_div_x,B338&gt;inp_n_div_y),"",-inp_bx/2+A338*inp_bx/inp_n_div_x)</f>
        <v>-1.425</v>
      </c>
      <c r="D338" s="12">
        <f t="shared" ref="D338:D401" si="46">IF(C338="","",-inp_by/2+B338*inp_by/inp_n_div_y)</f>
        <v>-0.82499999999999996</v>
      </c>
      <c r="E338" s="12">
        <f t="shared" ref="E338:E401" si="47">IF(C338="","",res_srv_p_tot/geo_area+res_srv_mx_tot/geo_ix*D338+res_srv_my_tot/geo_iy*C338)</f>
        <v>11.087323505777777</v>
      </c>
      <c r="F338" s="12">
        <f t="shared" ref="F338:F401" si="48">IF(E338="","",MAX(0,E338))</f>
        <v>11.087323505777777</v>
      </c>
      <c r="G338" s="12">
        <f t="shared" ref="G338:G401" si="49">IF(C338="","",res_u_p_tot/geo_area+res_u_mx_tot/geo_ix*D338+res_u_my_tot/geo_iy*C338)</f>
        <v>14.524343608888888</v>
      </c>
      <c r="H338" s="12">
        <f t="shared" ref="H338:H401" si="50">IF(G338="","",MAX(0,G338))</f>
        <v>14.524343608888888</v>
      </c>
      <c r="I338" s="1" t="str">
        <f t="shared" ref="I338:I401" si="51">IF(C338="","",IF(AND(C338&gt;=inp_xc-inp_cx/2,C338&lt;=inp_xc+inp_cx/2,D338&gt;=inp_yc-inp_cy/2,D338&lt;=inp_yc+inp_cy/2),"Si","No"))</f>
        <v>No</v>
      </c>
      <c r="J338" s="1" t="str">
        <f t="shared" ref="J338:J401" si="52">IF(C338="","","Si")</f>
        <v>Si</v>
      </c>
      <c r="K338" s="1" t="str">
        <f t="shared" ref="K338:K401" si="53">IF(OR(E338&lt;0,G338&lt;0),"Presion negativa","")</f>
        <v/>
      </c>
    </row>
    <row r="339" spans="1:11" x14ac:dyDescent="0.3">
      <c r="A339" s="1">
        <v>6</v>
      </c>
      <c r="B339" s="1">
        <v>15</v>
      </c>
      <c r="C339" s="12">
        <f t="shared" si="45"/>
        <v>-1.425</v>
      </c>
      <c r="D339" s="12">
        <f t="shared" si="46"/>
        <v>-0.75</v>
      </c>
      <c r="E339" s="12">
        <f t="shared" si="47"/>
        <v>11.084835413333332</v>
      </c>
      <c r="F339" s="12">
        <f t="shared" si="48"/>
        <v>11.084835413333332</v>
      </c>
      <c r="G339" s="12">
        <f t="shared" si="49"/>
        <v>14.520839253333332</v>
      </c>
      <c r="H339" s="12">
        <f t="shared" si="50"/>
        <v>14.520839253333332</v>
      </c>
      <c r="I339" s="1" t="str">
        <f t="shared" si="51"/>
        <v>No</v>
      </c>
      <c r="J339" s="1" t="str">
        <f t="shared" si="52"/>
        <v>Si</v>
      </c>
      <c r="K339" s="1" t="str">
        <f t="shared" si="53"/>
        <v/>
      </c>
    </row>
    <row r="340" spans="1:11" x14ac:dyDescent="0.3">
      <c r="A340" s="1">
        <v>6</v>
      </c>
      <c r="B340" s="1">
        <v>16</v>
      </c>
      <c r="C340" s="12">
        <f t="shared" si="45"/>
        <v>-1.425</v>
      </c>
      <c r="D340" s="12">
        <f t="shared" si="46"/>
        <v>-0.67500000000000004</v>
      </c>
      <c r="E340" s="12">
        <f t="shared" si="47"/>
        <v>11.082347320888887</v>
      </c>
      <c r="F340" s="12">
        <f t="shared" si="48"/>
        <v>11.082347320888887</v>
      </c>
      <c r="G340" s="12">
        <f t="shared" si="49"/>
        <v>14.517334897777776</v>
      </c>
      <c r="H340" s="12">
        <f t="shared" si="50"/>
        <v>14.517334897777776</v>
      </c>
      <c r="I340" s="1" t="str">
        <f t="shared" si="51"/>
        <v>No</v>
      </c>
      <c r="J340" s="1" t="str">
        <f t="shared" si="52"/>
        <v>Si</v>
      </c>
      <c r="K340" s="1" t="str">
        <f t="shared" si="53"/>
        <v/>
      </c>
    </row>
    <row r="341" spans="1:11" x14ac:dyDescent="0.3">
      <c r="A341" s="1">
        <v>6</v>
      </c>
      <c r="B341" s="1">
        <v>17</v>
      </c>
      <c r="C341" s="12">
        <f t="shared" si="45"/>
        <v>-1.425</v>
      </c>
      <c r="D341" s="12">
        <f t="shared" si="46"/>
        <v>-0.60000000000000009</v>
      </c>
      <c r="E341" s="12">
        <f t="shared" si="47"/>
        <v>11.079859228444443</v>
      </c>
      <c r="F341" s="12">
        <f t="shared" si="48"/>
        <v>11.079859228444443</v>
      </c>
      <c r="G341" s="12">
        <f t="shared" si="49"/>
        <v>14.513830542222221</v>
      </c>
      <c r="H341" s="12">
        <f t="shared" si="50"/>
        <v>14.513830542222221</v>
      </c>
      <c r="I341" s="1" t="str">
        <f t="shared" si="51"/>
        <v>No</v>
      </c>
      <c r="J341" s="1" t="str">
        <f t="shared" si="52"/>
        <v>Si</v>
      </c>
      <c r="K341" s="1" t="str">
        <f t="shared" si="53"/>
        <v/>
      </c>
    </row>
    <row r="342" spans="1:11" x14ac:dyDescent="0.3">
      <c r="A342" s="1">
        <v>6</v>
      </c>
      <c r="B342" s="1">
        <v>18</v>
      </c>
      <c r="C342" s="12">
        <f t="shared" si="45"/>
        <v>-1.425</v>
      </c>
      <c r="D342" s="12">
        <f t="shared" si="46"/>
        <v>-0.52499999999999991</v>
      </c>
      <c r="E342" s="12">
        <f t="shared" si="47"/>
        <v>11.077371135999998</v>
      </c>
      <c r="F342" s="12">
        <f t="shared" si="48"/>
        <v>11.077371135999998</v>
      </c>
      <c r="G342" s="12">
        <f t="shared" si="49"/>
        <v>14.510326186666665</v>
      </c>
      <c r="H342" s="12">
        <f t="shared" si="50"/>
        <v>14.510326186666665</v>
      </c>
      <c r="I342" s="1" t="str">
        <f t="shared" si="51"/>
        <v>No</v>
      </c>
      <c r="J342" s="1" t="str">
        <f t="shared" si="52"/>
        <v>Si</v>
      </c>
      <c r="K342" s="1" t="str">
        <f t="shared" si="53"/>
        <v/>
      </c>
    </row>
    <row r="343" spans="1:11" x14ac:dyDescent="0.3">
      <c r="A343" s="1">
        <v>6</v>
      </c>
      <c r="B343" s="1">
        <v>19</v>
      </c>
      <c r="C343" s="12">
        <f t="shared" si="45"/>
        <v>-1.425</v>
      </c>
      <c r="D343" s="12">
        <f t="shared" si="46"/>
        <v>-0.44999999999999996</v>
      </c>
      <c r="E343" s="12">
        <f t="shared" si="47"/>
        <v>11.074883043555555</v>
      </c>
      <c r="F343" s="12">
        <f t="shared" si="48"/>
        <v>11.074883043555555</v>
      </c>
      <c r="G343" s="12">
        <f t="shared" si="49"/>
        <v>14.506821831111109</v>
      </c>
      <c r="H343" s="12">
        <f t="shared" si="50"/>
        <v>14.506821831111109</v>
      </c>
      <c r="I343" s="1" t="str">
        <f t="shared" si="51"/>
        <v>No</v>
      </c>
      <c r="J343" s="1" t="str">
        <f t="shared" si="52"/>
        <v>Si</v>
      </c>
      <c r="K343" s="1" t="str">
        <f t="shared" si="53"/>
        <v/>
      </c>
    </row>
    <row r="344" spans="1:11" x14ac:dyDescent="0.3">
      <c r="A344" s="1">
        <v>6</v>
      </c>
      <c r="B344" s="1">
        <v>20</v>
      </c>
      <c r="C344" s="12">
        <f t="shared" si="45"/>
        <v>-1.425</v>
      </c>
      <c r="D344" s="12">
        <f t="shared" si="46"/>
        <v>-0.375</v>
      </c>
      <c r="E344" s="12">
        <f t="shared" si="47"/>
        <v>11.072394951111111</v>
      </c>
      <c r="F344" s="12">
        <f t="shared" si="48"/>
        <v>11.072394951111111</v>
      </c>
      <c r="G344" s="12">
        <f t="shared" si="49"/>
        <v>14.503317475555555</v>
      </c>
      <c r="H344" s="12">
        <f t="shared" si="50"/>
        <v>14.503317475555555</v>
      </c>
      <c r="I344" s="1" t="str">
        <f t="shared" si="51"/>
        <v>No</v>
      </c>
      <c r="J344" s="1" t="str">
        <f t="shared" si="52"/>
        <v>Si</v>
      </c>
      <c r="K344" s="1" t="str">
        <f t="shared" si="53"/>
        <v/>
      </c>
    </row>
    <row r="345" spans="1:11" x14ac:dyDescent="0.3">
      <c r="A345" s="1">
        <v>6</v>
      </c>
      <c r="B345" s="1">
        <v>21</v>
      </c>
      <c r="C345" s="12">
        <f t="shared" si="45"/>
        <v>-1.425</v>
      </c>
      <c r="D345" s="12">
        <f t="shared" si="46"/>
        <v>-0.30000000000000004</v>
      </c>
      <c r="E345" s="12">
        <f t="shared" si="47"/>
        <v>11.069906858666666</v>
      </c>
      <c r="F345" s="12">
        <f t="shared" si="48"/>
        <v>11.069906858666666</v>
      </c>
      <c r="G345" s="12">
        <f t="shared" si="49"/>
        <v>14.499813119999999</v>
      </c>
      <c r="H345" s="12">
        <f t="shared" si="50"/>
        <v>14.499813119999999</v>
      </c>
      <c r="I345" s="1" t="str">
        <f t="shared" si="51"/>
        <v>No</v>
      </c>
      <c r="J345" s="1" t="str">
        <f t="shared" si="52"/>
        <v>Si</v>
      </c>
      <c r="K345" s="1" t="str">
        <f t="shared" si="53"/>
        <v/>
      </c>
    </row>
    <row r="346" spans="1:11" x14ac:dyDescent="0.3">
      <c r="A346" s="1">
        <v>6</v>
      </c>
      <c r="B346" s="1">
        <v>22</v>
      </c>
      <c r="C346" s="12">
        <f t="shared" si="45"/>
        <v>-1.425</v>
      </c>
      <c r="D346" s="12">
        <f t="shared" si="46"/>
        <v>-0.22500000000000009</v>
      </c>
      <c r="E346" s="12">
        <f t="shared" si="47"/>
        <v>11.067418766222222</v>
      </c>
      <c r="F346" s="12">
        <f t="shared" si="48"/>
        <v>11.067418766222222</v>
      </c>
      <c r="G346" s="12">
        <f t="shared" si="49"/>
        <v>14.496308764444443</v>
      </c>
      <c r="H346" s="12">
        <f t="shared" si="50"/>
        <v>14.496308764444443</v>
      </c>
      <c r="I346" s="1" t="str">
        <f t="shared" si="51"/>
        <v>No</v>
      </c>
      <c r="J346" s="1" t="str">
        <f t="shared" si="52"/>
        <v>Si</v>
      </c>
      <c r="K346" s="1" t="str">
        <f t="shared" si="53"/>
        <v/>
      </c>
    </row>
    <row r="347" spans="1:11" x14ac:dyDescent="0.3">
      <c r="A347" s="1">
        <v>6</v>
      </c>
      <c r="B347" s="1">
        <v>23</v>
      </c>
      <c r="C347" s="12">
        <f t="shared" si="45"/>
        <v>-1.425</v>
      </c>
      <c r="D347" s="12">
        <f t="shared" si="46"/>
        <v>-0.14999999999999991</v>
      </c>
      <c r="E347" s="12">
        <f t="shared" si="47"/>
        <v>11.064930673777777</v>
      </c>
      <c r="F347" s="12">
        <f t="shared" si="48"/>
        <v>11.064930673777777</v>
      </c>
      <c r="G347" s="12">
        <f t="shared" si="49"/>
        <v>14.492804408888887</v>
      </c>
      <c r="H347" s="12">
        <f t="shared" si="50"/>
        <v>14.492804408888887</v>
      </c>
      <c r="I347" s="1" t="str">
        <f t="shared" si="51"/>
        <v>No</v>
      </c>
      <c r="J347" s="1" t="str">
        <f t="shared" si="52"/>
        <v>Si</v>
      </c>
      <c r="K347" s="1" t="str">
        <f t="shared" si="53"/>
        <v/>
      </c>
    </row>
    <row r="348" spans="1:11" x14ac:dyDescent="0.3">
      <c r="A348" s="1">
        <v>6</v>
      </c>
      <c r="B348" s="1">
        <v>24</v>
      </c>
      <c r="C348" s="12">
        <f t="shared" si="45"/>
        <v>-1.425</v>
      </c>
      <c r="D348" s="12">
        <f t="shared" si="46"/>
        <v>-7.4999999999999956E-2</v>
      </c>
      <c r="E348" s="12">
        <f t="shared" si="47"/>
        <v>11.062442581333332</v>
      </c>
      <c r="F348" s="12">
        <f t="shared" si="48"/>
        <v>11.062442581333332</v>
      </c>
      <c r="G348" s="12">
        <f t="shared" si="49"/>
        <v>14.489300053333332</v>
      </c>
      <c r="H348" s="12">
        <f t="shared" si="50"/>
        <v>14.489300053333332</v>
      </c>
      <c r="I348" s="1" t="str">
        <f t="shared" si="51"/>
        <v>No</v>
      </c>
      <c r="J348" s="1" t="str">
        <f t="shared" si="52"/>
        <v>Si</v>
      </c>
      <c r="K348" s="1" t="str">
        <f t="shared" si="53"/>
        <v/>
      </c>
    </row>
    <row r="349" spans="1:11" x14ac:dyDescent="0.3">
      <c r="A349" s="1">
        <v>6</v>
      </c>
      <c r="B349" s="1">
        <v>25</v>
      </c>
      <c r="C349" s="12">
        <f t="shared" si="45"/>
        <v>-1.425</v>
      </c>
      <c r="D349" s="12">
        <f t="shared" si="46"/>
        <v>0</v>
      </c>
      <c r="E349" s="12">
        <f t="shared" si="47"/>
        <v>11.059954488888888</v>
      </c>
      <c r="F349" s="12">
        <f t="shared" si="48"/>
        <v>11.059954488888888</v>
      </c>
      <c r="G349" s="12">
        <f t="shared" si="49"/>
        <v>14.485795697777776</v>
      </c>
      <c r="H349" s="12">
        <f t="shared" si="50"/>
        <v>14.485795697777776</v>
      </c>
      <c r="I349" s="1" t="str">
        <f t="shared" si="51"/>
        <v>No</v>
      </c>
      <c r="J349" s="1" t="str">
        <f t="shared" si="52"/>
        <v>Si</v>
      </c>
      <c r="K349" s="1" t="str">
        <f t="shared" si="53"/>
        <v/>
      </c>
    </row>
    <row r="350" spans="1:11" x14ac:dyDescent="0.3">
      <c r="A350" s="1">
        <v>6</v>
      </c>
      <c r="B350" s="1">
        <v>26</v>
      </c>
      <c r="C350" s="12">
        <f t="shared" si="45"/>
        <v>-1.425</v>
      </c>
      <c r="D350" s="12">
        <f t="shared" si="46"/>
        <v>7.4999999999999956E-2</v>
      </c>
      <c r="E350" s="12">
        <f t="shared" si="47"/>
        <v>11.057466396444443</v>
      </c>
      <c r="F350" s="12">
        <f t="shared" si="48"/>
        <v>11.057466396444443</v>
      </c>
      <c r="G350" s="12">
        <f t="shared" si="49"/>
        <v>14.48229134222222</v>
      </c>
      <c r="H350" s="12">
        <f t="shared" si="50"/>
        <v>14.48229134222222</v>
      </c>
      <c r="I350" s="1" t="str">
        <f t="shared" si="51"/>
        <v>No</v>
      </c>
      <c r="J350" s="1" t="str">
        <f t="shared" si="52"/>
        <v>Si</v>
      </c>
      <c r="K350" s="1" t="str">
        <f t="shared" si="53"/>
        <v/>
      </c>
    </row>
    <row r="351" spans="1:11" x14ac:dyDescent="0.3">
      <c r="A351" s="1">
        <v>6</v>
      </c>
      <c r="B351" s="1">
        <v>27</v>
      </c>
      <c r="C351" s="12">
        <f t="shared" si="45"/>
        <v>-1.425</v>
      </c>
      <c r="D351" s="12">
        <f t="shared" si="46"/>
        <v>0.14999999999999991</v>
      </c>
      <c r="E351" s="12">
        <f t="shared" si="47"/>
        <v>11.054978303999999</v>
      </c>
      <c r="F351" s="12">
        <f t="shared" si="48"/>
        <v>11.054978303999999</v>
      </c>
      <c r="G351" s="12">
        <f t="shared" si="49"/>
        <v>14.478786986666666</v>
      </c>
      <c r="H351" s="12">
        <f t="shared" si="50"/>
        <v>14.478786986666666</v>
      </c>
      <c r="I351" s="1" t="str">
        <f t="shared" si="51"/>
        <v>No</v>
      </c>
      <c r="J351" s="1" t="str">
        <f t="shared" si="52"/>
        <v>Si</v>
      </c>
      <c r="K351" s="1" t="str">
        <f t="shared" si="53"/>
        <v/>
      </c>
    </row>
    <row r="352" spans="1:11" x14ac:dyDescent="0.3">
      <c r="A352" s="1">
        <v>6</v>
      </c>
      <c r="B352" s="1">
        <v>28</v>
      </c>
      <c r="C352" s="12">
        <f t="shared" si="45"/>
        <v>-1.425</v>
      </c>
      <c r="D352" s="12">
        <f t="shared" si="46"/>
        <v>0.22500000000000009</v>
      </c>
      <c r="E352" s="12">
        <f t="shared" si="47"/>
        <v>11.052490211555554</v>
      </c>
      <c r="F352" s="12">
        <f t="shared" si="48"/>
        <v>11.052490211555554</v>
      </c>
      <c r="G352" s="12">
        <f t="shared" si="49"/>
        <v>14.47528263111111</v>
      </c>
      <c r="H352" s="12">
        <f t="shared" si="50"/>
        <v>14.47528263111111</v>
      </c>
      <c r="I352" s="1" t="str">
        <f t="shared" si="51"/>
        <v>No</v>
      </c>
      <c r="J352" s="1" t="str">
        <f t="shared" si="52"/>
        <v>Si</v>
      </c>
      <c r="K352" s="1" t="str">
        <f t="shared" si="53"/>
        <v/>
      </c>
    </row>
    <row r="353" spans="1:11" x14ac:dyDescent="0.3">
      <c r="A353" s="1">
        <v>6</v>
      </c>
      <c r="B353" s="1">
        <v>29</v>
      </c>
      <c r="C353" s="12">
        <f t="shared" si="45"/>
        <v>-1.425</v>
      </c>
      <c r="D353" s="12">
        <f t="shared" si="46"/>
        <v>0.29999999999999982</v>
      </c>
      <c r="E353" s="12">
        <f t="shared" si="47"/>
        <v>11.05000211911111</v>
      </c>
      <c r="F353" s="12">
        <f t="shared" si="48"/>
        <v>11.05000211911111</v>
      </c>
      <c r="G353" s="12">
        <f t="shared" si="49"/>
        <v>14.471778275555554</v>
      </c>
      <c r="H353" s="12">
        <f t="shared" si="50"/>
        <v>14.471778275555554</v>
      </c>
      <c r="I353" s="1" t="str">
        <f t="shared" si="51"/>
        <v>No</v>
      </c>
      <c r="J353" s="1" t="str">
        <f t="shared" si="52"/>
        <v>Si</v>
      </c>
      <c r="K353" s="1" t="str">
        <f t="shared" si="53"/>
        <v/>
      </c>
    </row>
    <row r="354" spans="1:11" x14ac:dyDescent="0.3">
      <c r="A354" s="1">
        <v>6</v>
      </c>
      <c r="B354" s="1">
        <v>30</v>
      </c>
      <c r="C354" s="12">
        <f t="shared" si="45"/>
        <v>-1.425</v>
      </c>
      <c r="D354" s="12">
        <f t="shared" si="46"/>
        <v>0.375</v>
      </c>
      <c r="E354" s="12">
        <f t="shared" si="47"/>
        <v>11.047514026666665</v>
      </c>
      <c r="F354" s="12">
        <f t="shared" si="48"/>
        <v>11.047514026666665</v>
      </c>
      <c r="G354" s="12">
        <f t="shared" si="49"/>
        <v>14.468273919999998</v>
      </c>
      <c r="H354" s="12">
        <f t="shared" si="50"/>
        <v>14.468273919999998</v>
      </c>
      <c r="I354" s="1" t="str">
        <f t="shared" si="51"/>
        <v>No</v>
      </c>
      <c r="J354" s="1" t="str">
        <f t="shared" si="52"/>
        <v>Si</v>
      </c>
      <c r="K354" s="1" t="str">
        <f t="shared" si="53"/>
        <v/>
      </c>
    </row>
    <row r="355" spans="1:11" x14ac:dyDescent="0.3">
      <c r="A355" s="1">
        <v>6</v>
      </c>
      <c r="B355" s="1">
        <v>31</v>
      </c>
      <c r="C355" s="12">
        <f t="shared" si="45"/>
        <v>-1.425</v>
      </c>
      <c r="D355" s="12">
        <f t="shared" si="46"/>
        <v>0.45000000000000018</v>
      </c>
      <c r="E355" s="12">
        <f t="shared" si="47"/>
        <v>11.04502593422222</v>
      </c>
      <c r="F355" s="12">
        <f t="shared" si="48"/>
        <v>11.04502593422222</v>
      </c>
      <c r="G355" s="12">
        <f t="shared" si="49"/>
        <v>14.464769564444444</v>
      </c>
      <c r="H355" s="12">
        <f t="shared" si="50"/>
        <v>14.464769564444444</v>
      </c>
      <c r="I355" s="1" t="str">
        <f t="shared" si="51"/>
        <v>No</v>
      </c>
      <c r="J355" s="1" t="str">
        <f t="shared" si="52"/>
        <v>Si</v>
      </c>
      <c r="K355" s="1" t="str">
        <f t="shared" si="53"/>
        <v/>
      </c>
    </row>
    <row r="356" spans="1:11" x14ac:dyDescent="0.3">
      <c r="A356" s="1">
        <v>6</v>
      </c>
      <c r="B356" s="1">
        <v>32</v>
      </c>
      <c r="C356" s="12">
        <f t="shared" si="45"/>
        <v>-1.425</v>
      </c>
      <c r="D356" s="12">
        <f t="shared" si="46"/>
        <v>0.52499999999999991</v>
      </c>
      <c r="E356" s="12">
        <f t="shared" si="47"/>
        <v>11.042537841777778</v>
      </c>
      <c r="F356" s="12">
        <f t="shared" si="48"/>
        <v>11.042537841777778</v>
      </c>
      <c r="G356" s="12">
        <f t="shared" si="49"/>
        <v>14.461265208888888</v>
      </c>
      <c r="H356" s="12">
        <f t="shared" si="50"/>
        <v>14.461265208888888</v>
      </c>
      <c r="I356" s="1" t="str">
        <f t="shared" si="51"/>
        <v>No</v>
      </c>
      <c r="J356" s="1" t="str">
        <f t="shared" si="52"/>
        <v>Si</v>
      </c>
      <c r="K356" s="1" t="str">
        <f t="shared" si="53"/>
        <v/>
      </c>
    </row>
    <row r="357" spans="1:11" x14ac:dyDescent="0.3">
      <c r="A357" s="1">
        <v>6</v>
      </c>
      <c r="B357" s="1">
        <v>33</v>
      </c>
      <c r="C357" s="12">
        <f t="shared" si="45"/>
        <v>-1.425</v>
      </c>
      <c r="D357" s="12">
        <f t="shared" si="46"/>
        <v>0.60000000000000009</v>
      </c>
      <c r="E357" s="12">
        <f t="shared" si="47"/>
        <v>11.040049749333333</v>
      </c>
      <c r="F357" s="12">
        <f t="shared" si="48"/>
        <v>11.040049749333333</v>
      </c>
      <c r="G357" s="12">
        <f t="shared" si="49"/>
        <v>14.457760853333331</v>
      </c>
      <c r="H357" s="12">
        <f t="shared" si="50"/>
        <v>14.457760853333331</v>
      </c>
      <c r="I357" s="1" t="str">
        <f t="shared" si="51"/>
        <v>No</v>
      </c>
      <c r="J357" s="1" t="str">
        <f t="shared" si="52"/>
        <v>Si</v>
      </c>
      <c r="K357" s="1" t="str">
        <f t="shared" si="53"/>
        <v/>
      </c>
    </row>
    <row r="358" spans="1:11" x14ac:dyDescent="0.3">
      <c r="A358" s="1">
        <v>6</v>
      </c>
      <c r="B358" s="1">
        <v>34</v>
      </c>
      <c r="C358" s="12">
        <f t="shared" si="45"/>
        <v>-1.425</v>
      </c>
      <c r="D358" s="12">
        <f t="shared" si="46"/>
        <v>0.67499999999999982</v>
      </c>
      <c r="E358" s="12">
        <f t="shared" si="47"/>
        <v>11.037561656888888</v>
      </c>
      <c r="F358" s="12">
        <f t="shared" si="48"/>
        <v>11.037561656888888</v>
      </c>
      <c r="G358" s="12">
        <f t="shared" si="49"/>
        <v>14.454256497777777</v>
      </c>
      <c r="H358" s="12">
        <f t="shared" si="50"/>
        <v>14.454256497777777</v>
      </c>
      <c r="I358" s="1" t="str">
        <f t="shared" si="51"/>
        <v>No</v>
      </c>
      <c r="J358" s="1" t="str">
        <f t="shared" si="52"/>
        <v>Si</v>
      </c>
      <c r="K358" s="1" t="str">
        <f t="shared" si="53"/>
        <v/>
      </c>
    </row>
    <row r="359" spans="1:11" x14ac:dyDescent="0.3">
      <c r="A359" s="1">
        <v>6</v>
      </c>
      <c r="B359" s="1">
        <v>35</v>
      </c>
      <c r="C359" s="12">
        <f t="shared" si="45"/>
        <v>-1.425</v>
      </c>
      <c r="D359" s="12">
        <f t="shared" si="46"/>
        <v>0.75</v>
      </c>
      <c r="E359" s="12">
        <f t="shared" si="47"/>
        <v>11.035073564444444</v>
      </c>
      <c r="F359" s="12">
        <f t="shared" si="48"/>
        <v>11.035073564444444</v>
      </c>
      <c r="G359" s="12">
        <f t="shared" si="49"/>
        <v>14.450752142222221</v>
      </c>
      <c r="H359" s="12">
        <f t="shared" si="50"/>
        <v>14.450752142222221</v>
      </c>
      <c r="I359" s="1" t="str">
        <f t="shared" si="51"/>
        <v>No</v>
      </c>
      <c r="J359" s="1" t="str">
        <f t="shared" si="52"/>
        <v>Si</v>
      </c>
      <c r="K359" s="1" t="str">
        <f t="shared" si="53"/>
        <v/>
      </c>
    </row>
    <row r="360" spans="1:11" x14ac:dyDescent="0.3">
      <c r="A360" s="1">
        <v>6</v>
      </c>
      <c r="B360" s="1">
        <v>36</v>
      </c>
      <c r="C360" s="12">
        <f t="shared" si="45"/>
        <v>-1.425</v>
      </c>
      <c r="D360" s="12">
        <f t="shared" si="46"/>
        <v>0.82500000000000018</v>
      </c>
      <c r="E360" s="12">
        <f t="shared" si="47"/>
        <v>11.032585471999999</v>
      </c>
      <c r="F360" s="12">
        <f t="shared" si="48"/>
        <v>11.032585471999999</v>
      </c>
      <c r="G360" s="12">
        <f t="shared" si="49"/>
        <v>14.447247786666665</v>
      </c>
      <c r="H360" s="12">
        <f t="shared" si="50"/>
        <v>14.447247786666665</v>
      </c>
      <c r="I360" s="1" t="str">
        <f t="shared" si="51"/>
        <v>No</v>
      </c>
      <c r="J360" s="1" t="str">
        <f t="shared" si="52"/>
        <v>Si</v>
      </c>
      <c r="K360" s="1" t="str">
        <f t="shared" si="53"/>
        <v/>
      </c>
    </row>
    <row r="361" spans="1:11" x14ac:dyDescent="0.3">
      <c r="A361" s="1">
        <v>6</v>
      </c>
      <c r="B361" s="1">
        <v>37</v>
      </c>
      <c r="C361" s="12">
        <f t="shared" si="45"/>
        <v>-1.425</v>
      </c>
      <c r="D361" s="12">
        <f t="shared" si="46"/>
        <v>0.89999999999999991</v>
      </c>
      <c r="E361" s="12">
        <f t="shared" si="47"/>
        <v>11.030097379555555</v>
      </c>
      <c r="F361" s="12">
        <f t="shared" si="48"/>
        <v>11.030097379555555</v>
      </c>
      <c r="G361" s="12">
        <f t="shared" si="49"/>
        <v>14.443743431111109</v>
      </c>
      <c r="H361" s="12">
        <f t="shared" si="50"/>
        <v>14.443743431111109</v>
      </c>
      <c r="I361" s="1" t="str">
        <f t="shared" si="51"/>
        <v>No</v>
      </c>
      <c r="J361" s="1" t="str">
        <f t="shared" si="52"/>
        <v>Si</v>
      </c>
      <c r="K361" s="1" t="str">
        <f t="shared" si="53"/>
        <v/>
      </c>
    </row>
    <row r="362" spans="1:11" x14ac:dyDescent="0.3">
      <c r="A362" s="1">
        <v>6</v>
      </c>
      <c r="B362" s="1">
        <v>38</v>
      </c>
      <c r="C362" s="12">
        <f t="shared" si="45"/>
        <v>-1.425</v>
      </c>
      <c r="D362" s="12">
        <f t="shared" si="46"/>
        <v>0.97500000000000009</v>
      </c>
      <c r="E362" s="12">
        <f t="shared" si="47"/>
        <v>11.02760928711111</v>
      </c>
      <c r="F362" s="12">
        <f t="shared" si="48"/>
        <v>11.02760928711111</v>
      </c>
      <c r="G362" s="12">
        <f t="shared" si="49"/>
        <v>14.440239075555555</v>
      </c>
      <c r="H362" s="12">
        <f t="shared" si="50"/>
        <v>14.440239075555555</v>
      </c>
      <c r="I362" s="1" t="str">
        <f t="shared" si="51"/>
        <v>No</v>
      </c>
      <c r="J362" s="1" t="str">
        <f t="shared" si="52"/>
        <v>Si</v>
      </c>
      <c r="K362" s="1" t="str">
        <f t="shared" si="53"/>
        <v/>
      </c>
    </row>
    <row r="363" spans="1:11" x14ac:dyDescent="0.3">
      <c r="A363" s="1">
        <v>6</v>
      </c>
      <c r="B363" s="1">
        <v>39</v>
      </c>
      <c r="C363" s="12">
        <f t="shared" si="45"/>
        <v>-1.425</v>
      </c>
      <c r="D363" s="12">
        <f t="shared" si="46"/>
        <v>1.0499999999999998</v>
      </c>
      <c r="E363" s="12">
        <f t="shared" si="47"/>
        <v>11.025121194666665</v>
      </c>
      <c r="F363" s="12">
        <f t="shared" si="48"/>
        <v>11.025121194666665</v>
      </c>
      <c r="G363" s="12">
        <f t="shared" si="49"/>
        <v>14.436734719999999</v>
      </c>
      <c r="H363" s="12">
        <f t="shared" si="50"/>
        <v>14.436734719999999</v>
      </c>
      <c r="I363" s="1" t="str">
        <f t="shared" si="51"/>
        <v>No</v>
      </c>
      <c r="J363" s="1" t="str">
        <f t="shared" si="52"/>
        <v>Si</v>
      </c>
      <c r="K363" s="1" t="str">
        <f t="shared" si="53"/>
        <v/>
      </c>
    </row>
    <row r="364" spans="1:11" x14ac:dyDescent="0.3">
      <c r="A364" s="1">
        <v>6</v>
      </c>
      <c r="B364" s="1">
        <v>40</v>
      </c>
      <c r="C364" s="12">
        <f t="shared" si="45"/>
        <v>-1.425</v>
      </c>
      <c r="D364" s="12">
        <f t="shared" si="46"/>
        <v>1.125</v>
      </c>
      <c r="E364" s="12">
        <f t="shared" si="47"/>
        <v>11.022633102222221</v>
      </c>
      <c r="F364" s="12">
        <f t="shared" si="48"/>
        <v>11.022633102222221</v>
      </c>
      <c r="G364" s="12">
        <f t="shared" si="49"/>
        <v>14.433230364444443</v>
      </c>
      <c r="H364" s="12">
        <f t="shared" si="50"/>
        <v>14.433230364444443</v>
      </c>
      <c r="I364" s="1" t="str">
        <f t="shared" si="51"/>
        <v>No</v>
      </c>
      <c r="J364" s="1" t="str">
        <f t="shared" si="52"/>
        <v>Si</v>
      </c>
      <c r="K364" s="1" t="str">
        <f t="shared" si="53"/>
        <v/>
      </c>
    </row>
    <row r="365" spans="1:11" x14ac:dyDescent="0.3">
      <c r="A365" s="1">
        <v>6</v>
      </c>
      <c r="B365" s="1">
        <v>41</v>
      </c>
      <c r="C365" s="12">
        <f t="shared" si="45"/>
        <v>-1.425</v>
      </c>
      <c r="D365" s="12">
        <f t="shared" si="46"/>
        <v>1.2000000000000002</v>
      </c>
      <c r="E365" s="12">
        <f t="shared" si="47"/>
        <v>11.020145009777776</v>
      </c>
      <c r="F365" s="12">
        <f t="shared" si="48"/>
        <v>11.020145009777776</v>
      </c>
      <c r="G365" s="12">
        <f t="shared" si="49"/>
        <v>14.429726008888888</v>
      </c>
      <c r="H365" s="12">
        <f t="shared" si="50"/>
        <v>14.429726008888888</v>
      </c>
      <c r="I365" s="1" t="str">
        <f t="shared" si="51"/>
        <v>No</v>
      </c>
      <c r="J365" s="1" t="str">
        <f t="shared" si="52"/>
        <v>Si</v>
      </c>
      <c r="K365" s="1" t="str">
        <f t="shared" si="53"/>
        <v/>
      </c>
    </row>
    <row r="366" spans="1:11" x14ac:dyDescent="0.3">
      <c r="A366" s="1">
        <v>6</v>
      </c>
      <c r="B366" s="1">
        <v>42</v>
      </c>
      <c r="C366" s="12">
        <f t="shared" si="45"/>
        <v>-1.425</v>
      </c>
      <c r="D366" s="12">
        <f t="shared" si="46"/>
        <v>1.2749999999999999</v>
      </c>
      <c r="E366" s="12">
        <f t="shared" si="47"/>
        <v>11.017656917333332</v>
      </c>
      <c r="F366" s="12">
        <f t="shared" si="48"/>
        <v>11.017656917333332</v>
      </c>
      <c r="G366" s="12">
        <f t="shared" si="49"/>
        <v>14.426221653333332</v>
      </c>
      <c r="H366" s="12">
        <f t="shared" si="50"/>
        <v>14.426221653333332</v>
      </c>
      <c r="I366" s="1" t="str">
        <f t="shared" si="51"/>
        <v>No</v>
      </c>
      <c r="J366" s="1" t="str">
        <f t="shared" si="52"/>
        <v>Si</v>
      </c>
      <c r="K366" s="1" t="str">
        <f t="shared" si="53"/>
        <v/>
      </c>
    </row>
    <row r="367" spans="1:11" x14ac:dyDescent="0.3">
      <c r="A367" s="1">
        <v>6</v>
      </c>
      <c r="B367" s="1">
        <v>43</v>
      </c>
      <c r="C367" s="12">
        <f t="shared" si="45"/>
        <v>-1.425</v>
      </c>
      <c r="D367" s="12">
        <f t="shared" si="46"/>
        <v>1.35</v>
      </c>
      <c r="E367" s="12">
        <f t="shared" si="47"/>
        <v>11.015168824888887</v>
      </c>
      <c r="F367" s="12">
        <f t="shared" si="48"/>
        <v>11.015168824888887</v>
      </c>
      <c r="G367" s="12">
        <f t="shared" si="49"/>
        <v>14.422717297777776</v>
      </c>
      <c r="H367" s="12">
        <f t="shared" si="50"/>
        <v>14.422717297777776</v>
      </c>
      <c r="I367" s="1" t="str">
        <f t="shared" si="51"/>
        <v>No</v>
      </c>
      <c r="J367" s="1" t="str">
        <f t="shared" si="52"/>
        <v>Si</v>
      </c>
      <c r="K367" s="1" t="str">
        <f t="shared" si="53"/>
        <v/>
      </c>
    </row>
    <row r="368" spans="1:11" x14ac:dyDescent="0.3">
      <c r="A368" s="1">
        <v>6</v>
      </c>
      <c r="B368" s="1">
        <v>44</v>
      </c>
      <c r="C368" s="12">
        <f t="shared" si="45"/>
        <v>-1.425</v>
      </c>
      <c r="D368" s="12">
        <f t="shared" si="46"/>
        <v>1.4249999999999998</v>
      </c>
      <c r="E368" s="12">
        <f t="shared" si="47"/>
        <v>11.012680732444444</v>
      </c>
      <c r="F368" s="12">
        <f t="shared" si="48"/>
        <v>11.012680732444444</v>
      </c>
      <c r="G368" s="12">
        <f t="shared" si="49"/>
        <v>14.41921294222222</v>
      </c>
      <c r="H368" s="12">
        <f t="shared" si="50"/>
        <v>14.41921294222222</v>
      </c>
      <c r="I368" s="1" t="str">
        <f t="shared" si="51"/>
        <v>No</v>
      </c>
      <c r="J368" s="1" t="str">
        <f t="shared" si="52"/>
        <v>Si</v>
      </c>
      <c r="K368" s="1" t="str">
        <f t="shared" si="53"/>
        <v/>
      </c>
    </row>
    <row r="369" spans="1:11" x14ac:dyDescent="0.3">
      <c r="A369" s="1">
        <v>6</v>
      </c>
      <c r="B369" s="1">
        <v>45</v>
      </c>
      <c r="C369" s="12">
        <f t="shared" si="45"/>
        <v>-1.425</v>
      </c>
      <c r="D369" s="12">
        <f t="shared" si="46"/>
        <v>1.5</v>
      </c>
      <c r="E369" s="12">
        <f t="shared" si="47"/>
        <v>11.01019264</v>
      </c>
      <c r="F369" s="12">
        <f t="shared" si="48"/>
        <v>11.01019264</v>
      </c>
      <c r="G369" s="12">
        <f t="shared" si="49"/>
        <v>14.415708586666666</v>
      </c>
      <c r="H369" s="12">
        <f t="shared" si="50"/>
        <v>14.415708586666666</v>
      </c>
      <c r="I369" s="1" t="str">
        <f t="shared" si="51"/>
        <v>No</v>
      </c>
      <c r="J369" s="1" t="str">
        <f t="shared" si="52"/>
        <v>Si</v>
      </c>
      <c r="K369" s="1" t="str">
        <f t="shared" si="53"/>
        <v/>
      </c>
    </row>
    <row r="370" spans="1:11" x14ac:dyDescent="0.3">
      <c r="A370" s="1">
        <v>6</v>
      </c>
      <c r="B370" s="1">
        <v>46</v>
      </c>
      <c r="C370" s="12">
        <f t="shared" si="45"/>
        <v>-1.425</v>
      </c>
      <c r="D370" s="12">
        <f t="shared" si="46"/>
        <v>1.5750000000000002</v>
      </c>
      <c r="E370" s="12">
        <f t="shared" si="47"/>
        <v>11.007704547555555</v>
      </c>
      <c r="F370" s="12">
        <f t="shared" si="48"/>
        <v>11.007704547555555</v>
      </c>
      <c r="G370" s="12">
        <f t="shared" si="49"/>
        <v>14.41220423111111</v>
      </c>
      <c r="H370" s="12">
        <f t="shared" si="50"/>
        <v>14.41220423111111</v>
      </c>
      <c r="I370" s="1" t="str">
        <f t="shared" si="51"/>
        <v>No</v>
      </c>
      <c r="J370" s="1" t="str">
        <f t="shared" si="52"/>
        <v>Si</v>
      </c>
      <c r="K370" s="1" t="str">
        <f t="shared" si="53"/>
        <v/>
      </c>
    </row>
    <row r="371" spans="1:11" x14ac:dyDescent="0.3">
      <c r="A371" s="1">
        <v>6</v>
      </c>
      <c r="B371" s="1">
        <v>47</v>
      </c>
      <c r="C371" s="12">
        <f t="shared" si="45"/>
        <v>-1.425</v>
      </c>
      <c r="D371" s="12">
        <f t="shared" si="46"/>
        <v>1.65</v>
      </c>
      <c r="E371" s="12">
        <f t="shared" si="47"/>
        <v>11.00521645511111</v>
      </c>
      <c r="F371" s="12">
        <f t="shared" si="48"/>
        <v>11.00521645511111</v>
      </c>
      <c r="G371" s="12">
        <f t="shared" si="49"/>
        <v>14.408699875555554</v>
      </c>
      <c r="H371" s="12">
        <f t="shared" si="50"/>
        <v>14.408699875555554</v>
      </c>
      <c r="I371" s="1" t="str">
        <f t="shared" si="51"/>
        <v>No</v>
      </c>
      <c r="J371" s="1" t="str">
        <f t="shared" si="52"/>
        <v>Si</v>
      </c>
      <c r="K371" s="1" t="str">
        <f t="shared" si="53"/>
        <v/>
      </c>
    </row>
    <row r="372" spans="1:11" x14ac:dyDescent="0.3">
      <c r="A372" s="1">
        <v>6</v>
      </c>
      <c r="B372" s="1">
        <v>48</v>
      </c>
      <c r="C372" s="12">
        <f t="shared" si="45"/>
        <v>-1.425</v>
      </c>
      <c r="D372" s="12">
        <f t="shared" si="46"/>
        <v>1.7250000000000001</v>
      </c>
      <c r="E372" s="12">
        <f t="shared" si="47"/>
        <v>11.002728362666666</v>
      </c>
      <c r="F372" s="12">
        <f t="shared" si="48"/>
        <v>11.002728362666666</v>
      </c>
      <c r="G372" s="12">
        <f t="shared" si="49"/>
        <v>14.405195519999999</v>
      </c>
      <c r="H372" s="12">
        <f t="shared" si="50"/>
        <v>14.405195519999999</v>
      </c>
      <c r="I372" s="1" t="str">
        <f t="shared" si="51"/>
        <v>No</v>
      </c>
      <c r="J372" s="1" t="str">
        <f t="shared" si="52"/>
        <v>Si</v>
      </c>
      <c r="K372" s="1" t="str">
        <f t="shared" si="53"/>
        <v/>
      </c>
    </row>
    <row r="373" spans="1:11" x14ac:dyDescent="0.3">
      <c r="A373" s="1">
        <v>6</v>
      </c>
      <c r="B373" s="1">
        <v>49</v>
      </c>
      <c r="C373" s="12">
        <f t="shared" si="45"/>
        <v>-1.425</v>
      </c>
      <c r="D373" s="12">
        <f t="shared" si="46"/>
        <v>1.7999999999999998</v>
      </c>
      <c r="E373" s="12">
        <f t="shared" si="47"/>
        <v>11.000240270222221</v>
      </c>
      <c r="F373" s="12">
        <f t="shared" si="48"/>
        <v>11.000240270222221</v>
      </c>
      <c r="G373" s="12">
        <f t="shared" si="49"/>
        <v>14.401691164444443</v>
      </c>
      <c r="H373" s="12">
        <f t="shared" si="50"/>
        <v>14.401691164444443</v>
      </c>
      <c r="I373" s="1" t="str">
        <f t="shared" si="51"/>
        <v>No</v>
      </c>
      <c r="J373" s="1" t="str">
        <f t="shared" si="52"/>
        <v>Si</v>
      </c>
      <c r="K373" s="1" t="str">
        <f t="shared" si="53"/>
        <v/>
      </c>
    </row>
    <row r="374" spans="1:11" x14ac:dyDescent="0.3">
      <c r="A374" s="1">
        <v>6</v>
      </c>
      <c r="B374" s="1">
        <v>50</v>
      </c>
      <c r="C374" s="12">
        <f t="shared" si="45"/>
        <v>-1.425</v>
      </c>
      <c r="D374" s="12">
        <f t="shared" si="46"/>
        <v>1.875</v>
      </c>
      <c r="E374" s="12">
        <f t="shared" si="47"/>
        <v>10.997752177777777</v>
      </c>
      <c r="F374" s="12">
        <f t="shared" si="48"/>
        <v>10.997752177777777</v>
      </c>
      <c r="G374" s="12">
        <f t="shared" si="49"/>
        <v>14.398186808888887</v>
      </c>
      <c r="H374" s="12">
        <f t="shared" si="50"/>
        <v>14.398186808888887</v>
      </c>
      <c r="I374" s="1" t="str">
        <f t="shared" si="51"/>
        <v>No</v>
      </c>
      <c r="J374" s="1" t="str">
        <f t="shared" si="52"/>
        <v>Si</v>
      </c>
      <c r="K374" s="1" t="str">
        <f t="shared" si="53"/>
        <v/>
      </c>
    </row>
    <row r="375" spans="1:11" x14ac:dyDescent="0.3">
      <c r="A375" s="1">
        <v>7</v>
      </c>
      <c r="B375" s="1">
        <v>0</v>
      </c>
      <c r="C375" s="12">
        <f t="shared" si="45"/>
        <v>-1.35</v>
      </c>
      <c r="D375" s="12">
        <f t="shared" si="46"/>
        <v>-1.875</v>
      </c>
      <c r="E375" s="12">
        <f t="shared" si="47"/>
        <v>11.122850844444443</v>
      </c>
      <c r="F375" s="12">
        <f t="shared" si="48"/>
        <v>11.122850844444443</v>
      </c>
      <c r="G375" s="12">
        <f t="shared" si="49"/>
        <v>14.57444224</v>
      </c>
      <c r="H375" s="12">
        <f t="shared" si="50"/>
        <v>14.57444224</v>
      </c>
      <c r="I375" s="1" t="str">
        <f t="shared" si="51"/>
        <v>No</v>
      </c>
      <c r="J375" s="1" t="str">
        <f t="shared" si="52"/>
        <v>Si</v>
      </c>
      <c r="K375" s="1" t="str">
        <f t="shared" si="53"/>
        <v/>
      </c>
    </row>
    <row r="376" spans="1:11" x14ac:dyDescent="0.3">
      <c r="A376" s="1">
        <v>7</v>
      </c>
      <c r="B376" s="1">
        <v>1</v>
      </c>
      <c r="C376" s="12">
        <f t="shared" si="45"/>
        <v>-1.35</v>
      </c>
      <c r="D376" s="12">
        <f t="shared" si="46"/>
        <v>-1.8</v>
      </c>
      <c r="E376" s="12">
        <f t="shared" si="47"/>
        <v>11.120362751999998</v>
      </c>
      <c r="F376" s="12">
        <f t="shared" si="48"/>
        <v>11.120362751999998</v>
      </c>
      <c r="G376" s="12">
        <f t="shared" si="49"/>
        <v>14.570937884444444</v>
      </c>
      <c r="H376" s="12">
        <f t="shared" si="50"/>
        <v>14.570937884444444</v>
      </c>
      <c r="I376" s="1" t="str">
        <f t="shared" si="51"/>
        <v>No</v>
      </c>
      <c r="J376" s="1" t="str">
        <f t="shared" si="52"/>
        <v>Si</v>
      </c>
      <c r="K376" s="1" t="str">
        <f t="shared" si="53"/>
        <v/>
      </c>
    </row>
    <row r="377" spans="1:11" x14ac:dyDescent="0.3">
      <c r="A377" s="1">
        <v>7</v>
      </c>
      <c r="B377" s="1">
        <v>2</v>
      </c>
      <c r="C377" s="12">
        <f t="shared" si="45"/>
        <v>-1.35</v>
      </c>
      <c r="D377" s="12">
        <f t="shared" si="46"/>
        <v>-1.7250000000000001</v>
      </c>
      <c r="E377" s="12">
        <f t="shared" si="47"/>
        <v>11.117874659555554</v>
      </c>
      <c r="F377" s="12">
        <f t="shared" si="48"/>
        <v>11.117874659555554</v>
      </c>
      <c r="G377" s="12">
        <f t="shared" si="49"/>
        <v>14.567433528888888</v>
      </c>
      <c r="H377" s="12">
        <f t="shared" si="50"/>
        <v>14.567433528888888</v>
      </c>
      <c r="I377" s="1" t="str">
        <f t="shared" si="51"/>
        <v>No</v>
      </c>
      <c r="J377" s="1" t="str">
        <f t="shared" si="52"/>
        <v>Si</v>
      </c>
      <c r="K377" s="1" t="str">
        <f t="shared" si="53"/>
        <v/>
      </c>
    </row>
    <row r="378" spans="1:11" x14ac:dyDescent="0.3">
      <c r="A378" s="1">
        <v>7</v>
      </c>
      <c r="B378" s="1">
        <v>3</v>
      </c>
      <c r="C378" s="12">
        <f t="shared" si="45"/>
        <v>-1.35</v>
      </c>
      <c r="D378" s="12">
        <f t="shared" si="46"/>
        <v>-1.65</v>
      </c>
      <c r="E378" s="12">
        <f t="shared" si="47"/>
        <v>11.115386567111109</v>
      </c>
      <c r="F378" s="12">
        <f t="shared" si="48"/>
        <v>11.115386567111109</v>
      </c>
      <c r="G378" s="12">
        <f t="shared" si="49"/>
        <v>14.563929173333333</v>
      </c>
      <c r="H378" s="12">
        <f t="shared" si="50"/>
        <v>14.563929173333333</v>
      </c>
      <c r="I378" s="1" t="str">
        <f t="shared" si="51"/>
        <v>No</v>
      </c>
      <c r="J378" s="1" t="str">
        <f t="shared" si="52"/>
        <v>Si</v>
      </c>
      <c r="K378" s="1" t="str">
        <f t="shared" si="53"/>
        <v/>
      </c>
    </row>
    <row r="379" spans="1:11" x14ac:dyDescent="0.3">
      <c r="A379" s="1">
        <v>7</v>
      </c>
      <c r="B379" s="1">
        <v>4</v>
      </c>
      <c r="C379" s="12">
        <f t="shared" si="45"/>
        <v>-1.35</v>
      </c>
      <c r="D379" s="12">
        <f t="shared" si="46"/>
        <v>-1.575</v>
      </c>
      <c r="E379" s="12">
        <f t="shared" si="47"/>
        <v>11.112898474666665</v>
      </c>
      <c r="F379" s="12">
        <f t="shared" si="48"/>
        <v>11.112898474666665</v>
      </c>
      <c r="G379" s="12">
        <f t="shared" si="49"/>
        <v>14.560424817777777</v>
      </c>
      <c r="H379" s="12">
        <f t="shared" si="50"/>
        <v>14.560424817777777</v>
      </c>
      <c r="I379" s="1" t="str">
        <f t="shared" si="51"/>
        <v>No</v>
      </c>
      <c r="J379" s="1" t="str">
        <f t="shared" si="52"/>
        <v>Si</v>
      </c>
      <c r="K379" s="1" t="str">
        <f t="shared" si="53"/>
        <v/>
      </c>
    </row>
    <row r="380" spans="1:11" x14ac:dyDescent="0.3">
      <c r="A380" s="1">
        <v>7</v>
      </c>
      <c r="B380" s="1">
        <v>5</v>
      </c>
      <c r="C380" s="12">
        <f t="shared" si="45"/>
        <v>-1.35</v>
      </c>
      <c r="D380" s="12">
        <f t="shared" si="46"/>
        <v>-1.5</v>
      </c>
      <c r="E380" s="12">
        <f t="shared" si="47"/>
        <v>11.11041038222222</v>
      </c>
      <c r="F380" s="12">
        <f t="shared" si="48"/>
        <v>11.11041038222222</v>
      </c>
      <c r="G380" s="12">
        <f t="shared" si="49"/>
        <v>14.556920462222221</v>
      </c>
      <c r="H380" s="12">
        <f t="shared" si="50"/>
        <v>14.556920462222221</v>
      </c>
      <c r="I380" s="1" t="str">
        <f t="shared" si="51"/>
        <v>No</v>
      </c>
      <c r="J380" s="1" t="str">
        <f t="shared" si="52"/>
        <v>Si</v>
      </c>
      <c r="K380" s="1" t="str">
        <f t="shared" si="53"/>
        <v/>
      </c>
    </row>
    <row r="381" spans="1:11" x14ac:dyDescent="0.3">
      <c r="A381" s="1">
        <v>7</v>
      </c>
      <c r="B381" s="1">
        <v>6</v>
      </c>
      <c r="C381" s="12">
        <f t="shared" si="45"/>
        <v>-1.35</v>
      </c>
      <c r="D381" s="12">
        <f t="shared" si="46"/>
        <v>-1.425</v>
      </c>
      <c r="E381" s="12">
        <f t="shared" si="47"/>
        <v>11.107922289777775</v>
      </c>
      <c r="F381" s="12">
        <f t="shared" si="48"/>
        <v>11.107922289777775</v>
      </c>
      <c r="G381" s="12">
        <f t="shared" si="49"/>
        <v>14.553416106666667</v>
      </c>
      <c r="H381" s="12">
        <f t="shared" si="50"/>
        <v>14.553416106666667</v>
      </c>
      <c r="I381" s="1" t="str">
        <f t="shared" si="51"/>
        <v>No</v>
      </c>
      <c r="J381" s="1" t="str">
        <f t="shared" si="52"/>
        <v>Si</v>
      </c>
      <c r="K381" s="1" t="str">
        <f t="shared" si="53"/>
        <v/>
      </c>
    </row>
    <row r="382" spans="1:11" x14ac:dyDescent="0.3">
      <c r="A382" s="1">
        <v>7</v>
      </c>
      <c r="B382" s="1">
        <v>7</v>
      </c>
      <c r="C382" s="12">
        <f t="shared" si="45"/>
        <v>-1.35</v>
      </c>
      <c r="D382" s="12">
        <f t="shared" si="46"/>
        <v>-1.35</v>
      </c>
      <c r="E382" s="12">
        <f t="shared" si="47"/>
        <v>11.105434197333333</v>
      </c>
      <c r="F382" s="12">
        <f t="shared" si="48"/>
        <v>11.105434197333333</v>
      </c>
      <c r="G382" s="12">
        <f t="shared" si="49"/>
        <v>14.549911751111111</v>
      </c>
      <c r="H382" s="12">
        <f t="shared" si="50"/>
        <v>14.549911751111111</v>
      </c>
      <c r="I382" s="1" t="str">
        <f t="shared" si="51"/>
        <v>No</v>
      </c>
      <c r="J382" s="1" t="str">
        <f t="shared" si="52"/>
        <v>Si</v>
      </c>
      <c r="K382" s="1" t="str">
        <f t="shared" si="53"/>
        <v/>
      </c>
    </row>
    <row r="383" spans="1:11" x14ac:dyDescent="0.3">
      <c r="A383" s="1">
        <v>7</v>
      </c>
      <c r="B383" s="1">
        <v>8</v>
      </c>
      <c r="C383" s="12">
        <f t="shared" si="45"/>
        <v>-1.35</v>
      </c>
      <c r="D383" s="12">
        <f t="shared" si="46"/>
        <v>-1.2749999999999999</v>
      </c>
      <c r="E383" s="12">
        <f t="shared" si="47"/>
        <v>11.102946104888888</v>
      </c>
      <c r="F383" s="12">
        <f t="shared" si="48"/>
        <v>11.102946104888888</v>
      </c>
      <c r="G383" s="12">
        <f t="shared" si="49"/>
        <v>14.546407395555555</v>
      </c>
      <c r="H383" s="12">
        <f t="shared" si="50"/>
        <v>14.546407395555555</v>
      </c>
      <c r="I383" s="1" t="str">
        <f t="shared" si="51"/>
        <v>No</v>
      </c>
      <c r="J383" s="1" t="str">
        <f t="shared" si="52"/>
        <v>Si</v>
      </c>
      <c r="K383" s="1" t="str">
        <f t="shared" si="53"/>
        <v/>
      </c>
    </row>
    <row r="384" spans="1:11" x14ac:dyDescent="0.3">
      <c r="A384" s="1">
        <v>7</v>
      </c>
      <c r="B384" s="1">
        <v>9</v>
      </c>
      <c r="C384" s="12">
        <f t="shared" si="45"/>
        <v>-1.35</v>
      </c>
      <c r="D384" s="12">
        <f t="shared" si="46"/>
        <v>-1.2</v>
      </c>
      <c r="E384" s="12">
        <f t="shared" si="47"/>
        <v>11.100458012444443</v>
      </c>
      <c r="F384" s="12">
        <f t="shared" si="48"/>
        <v>11.100458012444443</v>
      </c>
      <c r="G384" s="12">
        <f t="shared" si="49"/>
        <v>14.542903039999999</v>
      </c>
      <c r="H384" s="12">
        <f t="shared" si="50"/>
        <v>14.542903039999999</v>
      </c>
      <c r="I384" s="1" t="str">
        <f t="shared" si="51"/>
        <v>No</v>
      </c>
      <c r="J384" s="1" t="str">
        <f t="shared" si="52"/>
        <v>Si</v>
      </c>
      <c r="K384" s="1" t="str">
        <f t="shared" si="53"/>
        <v/>
      </c>
    </row>
    <row r="385" spans="1:11" x14ac:dyDescent="0.3">
      <c r="A385" s="1">
        <v>7</v>
      </c>
      <c r="B385" s="1">
        <v>10</v>
      </c>
      <c r="C385" s="12">
        <f t="shared" si="45"/>
        <v>-1.35</v>
      </c>
      <c r="D385" s="12">
        <f t="shared" si="46"/>
        <v>-1.125</v>
      </c>
      <c r="E385" s="12">
        <f t="shared" si="47"/>
        <v>11.097969919999999</v>
      </c>
      <c r="F385" s="12">
        <f t="shared" si="48"/>
        <v>11.097969919999999</v>
      </c>
      <c r="G385" s="12">
        <f t="shared" si="49"/>
        <v>14.539398684444444</v>
      </c>
      <c r="H385" s="12">
        <f t="shared" si="50"/>
        <v>14.539398684444444</v>
      </c>
      <c r="I385" s="1" t="str">
        <f t="shared" si="51"/>
        <v>No</v>
      </c>
      <c r="J385" s="1" t="str">
        <f t="shared" si="52"/>
        <v>Si</v>
      </c>
      <c r="K385" s="1" t="str">
        <f t="shared" si="53"/>
        <v/>
      </c>
    </row>
    <row r="386" spans="1:11" x14ac:dyDescent="0.3">
      <c r="A386" s="1">
        <v>7</v>
      </c>
      <c r="B386" s="1">
        <v>11</v>
      </c>
      <c r="C386" s="12">
        <f t="shared" si="45"/>
        <v>-1.35</v>
      </c>
      <c r="D386" s="12">
        <f t="shared" si="46"/>
        <v>-1.05</v>
      </c>
      <c r="E386" s="12">
        <f t="shared" si="47"/>
        <v>11.095481827555554</v>
      </c>
      <c r="F386" s="12">
        <f t="shared" si="48"/>
        <v>11.095481827555554</v>
      </c>
      <c r="G386" s="12">
        <f t="shared" si="49"/>
        <v>14.535894328888888</v>
      </c>
      <c r="H386" s="12">
        <f t="shared" si="50"/>
        <v>14.535894328888888</v>
      </c>
      <c r="I386" s="1" t="str">
        <f t="shared" si="51"/>
        <v>No</v>
      </c>
      <c r="J386" s="1" t="str">
        <f t="shared" si="52"/>
        <v>Si</v>
      </c>
      <c r="K386" s="1" t="str">
        <f t="shared" si="53"/>
        <v/>
      </c>
    </row>
    <row r="387" spans="1:11" x14ac:dyDescent="0.3">
      <c r="A387" s="1">
        <v>7</v>
      </c>
      <c r="B387" s="1">
        <v>12</v>
      </c>
      <c r="C387" s="12">
        <f t="shared" si="45"/>
        <v>-1.35</v>
      </c>
      <c r="D387" s="12">
        <f t="shared" si="46"/>
        <v>-0.97499999999999998</v>
      </c>
      <c r="E387" s="12">
        <f t="shared" si="47"/>
        <v>11.09299373511111</v>
      </c>
      <c r="F387" s="12">
        <f t="shared" si="48"/>
        <v>11.09299373511111</v>
      </c>
      <c r="G387" s="12">
        <f t="shared" si="49"/>
        <v>14.532389973333332</v>
      </c>
      <c r="H387" s="12">
        <f t="shared" si="50"/>
        <v>14.532389973333332</v>
      </c>
      <c r="I387" s="1" t="str">
        <f t="shared" si="51"/>
        <v>No</v>
      </c>
      <c r="J387" s="1" t="str">
        <f t="shared" si="52"/>
        <v>Si</v>
      </c>
      <c r="K387" s="1" t="str">
        <f t="shared" si="53"/>
        <v/>
      </c>
    </row>
    <row r="388" spans="1:11" x14ac:dyDescent="0.3">
      <c r="A388" s="1">
        <v>7</v>
      </c>
      <c r="B388" s="1">
        <v>13</v>
      </c>
      <c r="C388" s="12">
        <f t="shared" si="45"/>
        <v>-1.35</v>
      </c>
      <c r="D388" s="12">
        <f t="shared" si="46"/>
        <v>-0.9</v>
      </c>
      <c r="E388" s="12">
        <f t="shared" si="47"/>
        <v>11.090505642666665</v>
      </c>
      <c r="F388" s="12">
        <f t="shared" si="48"/>
        <v>11.090505642666665</v>
      </c>
      <c r="G388" s="12">
        <f t="shared" si="49"/>
        <v>14.528885617777778</v>
      </c>
      <c r="H388" s="12">
        <f t="shared" si="50"/>
        <v>14.528885617777778</v>
      </c>
      <c r="I388" s="1" t="str">
        <f t="shared" si="51"/>
        <v>No</v>
      </c>
      <c r="J388" s="1" t="str">
        <f t="shared" si="52"/>
        <v>Si</v>
      </c>
      <c r="K388" s="1" t="str">
        <f t="shared" si="53"/>
        <v/>
      </c>
    </row>
    <row r="389" spans="1:11" x14ac:dyDescent="0.3">
      <c r="A389" s="1">
        <v>7</v>
      </c>
      <c r="B389" s="1">
        <v>14</v>
      </c>
      <c r="C389" s="12">
        <f t="shared" si="45"/>
        <v>-1.35</v>
      </c>
      <c r="D389" s="12">
        <f t="shared" si="46"/>
        <v>-0.82499999999999996</v>
      </c>
      <c r="E389" s="12">
        <f t="shared" si="47"/>
        <v>11.08801755022222</v>
      </c>
      <c r="F389" s="12">
        <f t="shared" si="48"/>
        <v>11.08801755022222</v>
      </c>
      <c r="G389" s="12">
        <f t="shared" si="49"/>
        <v>14.525381262222222</v>
      </c>
      <c r="H389" s="12">
        <f t="shared" si="50"/>
        <v>14.525381262222222</v>
      </c>
      <c r="I389" s="1" t="str">
        <f t="shared" si="51"/>
        <v>No</v>
      </c>
      <c r="J389" s="1" t="str">
        <f t="shared" si="52"/>
        <v>Si</v>
      </c>
      <c r="K389" s="1" t="str">
        <f t="shared" si="53"/>
        <v/>
      </c>
    </row>
    <row r="390" spans="1:11" x14ac:dyDescent="0.3">
      <c r="A390" s="1">
        <v>7</v>
      </c>
      <c r="B390" s="1">
        <v>15</v>
      </c>
      <c r="C390" s="12">
        <f t="shared" si="45"/>
        <v>-1.35</v>
      </c>
      <c r="D390" s="12">
        <f t="shared" si="46"/>
        <v>-0.75</v>
      </c>
      <c r="E390" s="12">
        <f t="shared" si="47"/>
        <v>11.085529457777776</v>
      </c>
      <c r="F390" s="12">
        <f t="shared" si="48"/>
        <v>11.085529457777776</v>
      </c>
      <c r="G390" s="12">
        <f t="shared" si="49"/>
        <v>14.521876906666666</v>
      </c>
      <c r="H390" s="12">
        <f t="shared" si="50"/>
        <v>14.521876906666666</v>
      </c>
      <c r="I390" s="1" t="str">
        <f t="shared" si="51"/>
        <v>No</v>
      </c>
      <c r="J390" s="1" t="str">
        <f t="shared" si="52"/>
        <v>Si</v>
      </c>
      <c r="K390" s="1" t="str">
        <f t="shared" si="53"/>
        <v/>
      </c>
    </row>
    <row r="391" spans="1:11" x14ac:dyDescent="0.3">
      <c r="A391" s="1">
        <v>7</v>
      </c>
      <c r="B391" s="1">
        <v>16</v>
      </c>
      <c r="C391" s="12">
        <f t="shared" si="45"/>
        <v>-1.35</v>
      </c>
      <c r="D391" s="12">
        <f t="shared" si="46"/>
        <v>-0.67500000000000004</v>
      </c>
      <c r="E391" s="12">
        <f t="shared" si="47"/>
        <v>11.083041365333331</v>
      </c>
      <c r="F391" s="12">
        <f t="shared" si="48"/>
        <v>11.083041365333331</v>
      </c>
      <c r="G391" s="12">
        <f t="shared" si="49"/>
        <v>14.51837255111111</v>
      </c>
      <c r="H391" s="12">
        <f t="shared" si="50"/>
        <v>14.51837255111111</v>
      </c>
      <c r="I391" s="1" t="str">
        <f t="shared" si="51"/>
        <v>No</v>
      </c>
      <c r="J391" s="1" t="str">
        <f t="shared" si="52"/>
        <v>Si</v>
      </c>
      <c r="K391" s="1" t="str">
        <f t="shared" si="53"/>
        <v/>
      </c>
    </row>
    <row r="392" spans="1:11" x14ac:dyDescent="0.3">
      <c r="A392" s="1">
        <v>7</v>
      </c>
      <c r="B392" s="1">
        <v>17</v>
      </c>
      <c r="C392" s="12">
        <f t="shared" si="45"/>
        <v>-1.35</v>
      </c>
      <c r="D392" s="12">
        <f t="shared" si="46"/>
        <v>-0.60000000000000009</v>
      </c>
      <c r="E392" s="12">
        <f t="shared" si="47"/>
        <v>11.080553272888887</v>
      </c>
      <c r="F392" s="12">
        <f t="shared" si="48"/>
        <v>11.080553272888887</v>
      </c>
      <c r="G392" s="12">
        <f t="shared" si="49"/>
        <v>14.514868195555556</v>
      </c>
      <c r="H392" s="12">
        <f t="shared" si="50"/>
        <v>14.514868195555556</v>
      </c>
      <c r="I392" s="1" t="str">
        <f t="shared" si="51"/>
        <v>No</v>
      </c>
      <c r="J392" s="1" t="str">
        <f t="shared" si="52"/>
        <v>Si</v>
      </c>
      <c r="K392" s="1" t="str">
        <f t="shared" si="53"/>
        <v/>
      </c>
    </row>
    <row r="393" spans="1:11" x14ac:dyDescent="0.3">
      <c r="A393" s="1">
        <v>7</v>
      </c>
      <c r="B393" s="1">
        <v>18</v>
      </c>
      <c r="C393" s="12">
        <f t="shared" si="45"/>
        <v>-1.35</v>
      </c>
      <c r="D393" s="12">
        <f t="shared" si="46"/>
        <v>-0.52499999999999991</v>
      </c>
      <c r="E393" s="12">
        <f t="shared" si="47"/>
        <v>11.078065180444442</v>
      </c>
      <c r="F393" s="12">
        <f t="shared" si="48"/>
        <v>11.078065180444442</v>
      </c>
      <c r="G393" s="12">
        <f t="shared" si="49"/>
        <v>14.51136384</v>
      </c>
      <c r="H393" s="12">
        <f t="shared" si="50"/>
        <v>14.51136384</v>
      </c>
      <c r="I393" s="1" t="str">
        <f t="shared" si="51"/>
        <v>No</v>
      </c>
      <c r="J393" s="1" t="str">
        <f t="shared" si="52"/>
        <v>Si</v>
      </c>
      <c r="K393" s="1" t="str">
        <f t="shared" si="53"/>
        <v/>
      </c>
    </row>
    <row r="394" spans="1:11" x14ac:dyDescent="0.3">
      <c r="A394" s="1">
        <v>7</v>
      </c>
      <c r="B394" s="1">
        <v>19</v>
      </c>
      <c r="C394" s="12">
        <f t="shared" si="45"/>
        <v>-1.35</v>
      </c>
      <c r="D394" s="12">
        <f t="shared" si="46"/>
        <v>-0.44999999999999996</v>
      </c>
      <c r="E394" s="12">
        <f t="shared" si="47"/>
        <v>11.075577087999999</v>
      </c>
      <c r="F394" s="12">
        <f t="shared" si="48"/>
        <v>11.075577087999999</v>
      </c>
      <c r="G394" s="12">
        <f t="shared" si="49"/>
        <v>14.507859484444444</v>
      </c>
      <c r="H394" s="12">
        <f t="shared" si="50"/>
        <v>14.507859484444444</v>
      </c>
      <c r="I394" s="1" t="str">
        <f t="shared" si="51"/>
        <v>No</v>
      </c>
      <c r="J394" s="1" t="str">
        <f t="shared" si="52"/>
        <v>Si</v>
      </c>
      <c r="K394" s="1" t="str">
        <f t="shared" si="53"/>
        <v/>
      </c>
    </row>
    <row r="395" spans="1:11" x14ac:dyDescent="0.3">
      <c r="A395" s="1">
        <v>7</v>
      </c>
      <c r="B395" s="1">
        <v>20</v>
      </c>
      <c r="C395" s="12">
        <f t="shared" si="45"/>
        <v>-1.35</v>
      </c>
      <c r="D395" s="12">
        <f t="shared" si="46"/>
        <v>-0.375</v>
      </c>
      <c r="E395" s="12">
        <f t="shared" si="47"/>
        <v>11.073088995555555</v>
      </c>
      <c r="F395" s="12">
        <f t="shared" si="48"/>
        <v>11.073088995555555</v>
      </c>
      <c r="G395" s="12">
        <f t="shared" si="49"/>
        <v>14.504355128888889</v>
      </c>
      <c r="H395" s="12">
        <f t="shared" si="50"/>
        <v>14.504355128888889</v>
      </c>
      <c r="I395" s="1" t="str">
        <f t="shared" si="51"/>
        <v>No</v>
      </c>
      <c r="J395" s="1" t="str">
        <f t="shared" si="52"/>
        <v>Si</v>
      </c>
      <c r="K395" s="1" t="str">
        <f t="shared" si="53"/>
        <v/>
      </c>
    </row>
    <row r="396" spans="1:11" x14ac:dyDescent="0.3">
      <c r="A396" s="1">
        <v>7</v>
      </c>
      <c r="B396" s="1">
        <v>21</v>
      </c>
      <c r="C396" s="12">
        <f t="shared" si="45"/>
        <v>-1.35</v>
      </c>
      <c r="D396" s="12">
        <f t="shared" si="46"/>
        <v>-0.30000000000000004</v>
      </c>
      <c r="E396" s="12">
        <f t="shared" si="47"/>
        <v>11.07060090311111</v>
      </c>
      <c r="F396" s="12">
        <f t="shared" si="48"/>
        <v>11.07060090311111</v>
      </c>
      <c r="G396" s="12">
        <f t="shared" si="49"/>
        <v>14.500850773333333</v>
      </c>
      <c r="H396" s="12">
        <f t="shared" si="50"/>
        <v>14.500850773333333</v>
      </c>
      <c r="I396" s="1" t="str">
        <f t="shared" si="51"/>
        <v>No</v>
      </c>
      <c r="J396" s="1" t="str">
        <f t="shared" si="52"/>
        <v>Si</v>
      </c>
      <c r="K396" s="1" t="str">
        <f t="shared" si="53"/>
        <v/>
      </c>
    </row>
    <row r="397" spans="1:11" x14ac:dyDescent="0.3">
      <c r="A397" s="1">
        <v>7</v>
      </c>
      <c r="B397" s="1">
        <v>22</v>
      </c>
      <c r="C397" s="12">
        <f t="shared" si="45"/>
        <v>-1.35</v>
      </c>
      <c r="D397" s="12">
        <f t="shared" si="46"/>
        <v>-0.22500000000000009</v>
      </c>
      <c r="E397" s="12">
        <f t="shared" si="47"/>
        <v>11.068112810666666</v>
      </c>
      <c r="F397" s="12">
        <f t="shared" si="48"/>
        <v>11.068112810666666</v>
      </c>
      <c r="G397" s="12">
        <f t="shared" si="49"/>
        <v>14.497346417777777</v>
      </c>
      <c r="H397" s="12">
        <f t="shared" si="50"/>
        <v>14.497346417777777</v>
      </c>
      <c r="I397" s="1" t="str">
        <f t="shared" si="51"/>
        <v>No</v>
      </c>
      <c r="J397" s="1" t="str">
        <f t="shared" si="52"/>
        <v>Si</v>
      </c>
      <c r="K397" s="1" t="str">
        <f t="shared" si="53"/>
        <v/>
      </c>
    </row>
    <row r="398" spans="1:11" x14ac:dyDescent="0.3">
      <c r="A398" s="1">
        <v>7</v>
      </c>
      <c r="B398" s="1">
        <v>23</v>
      </c>
      <c r="C398" s="12">
        <f t="shared" si="45"/>
        <v>-1.35</v>
      </c>
      <c r="D398" s="12">
        <f t="shared" si="46"/>
        <v>-0.14999999999999991</v>
      </c>
      <c r="E398" s="12">
        <f t="shared" si="47"/>
        <v>11.065624718222221</v>
      </c>
      <c r="F398" s="12">
        <f t="shared" si="48"/>
        <v>11.065624718222221</v>
      </c>
      <c r="G398" s="12">
        <f t="shared" si="49"/>
        <v>14.493842062222221</v>
      </c>
      <c r="H398" s="12">
        <f t="shared" si="50"/>
        <v>14.493842062222221</v>
      </c>
      <c r="I398" s="1" t="str">
        <f t="shared" si="51"/>
        <v>No</v>
      </c>
      <c r="J398" s="1" t="str">
        <f t="shared" si="52"/>
        <v>Si</v>
      </c>
      <c r="K398" s="1" t="str">
        <f t="shared" si="53"/>
        <v/>
      </c>
    </row>
    <row r="399" spans="1:11" x14ac:dyDescent="0.3">
      <c r="A399" s="1">
        <v>7</v>
      </c>
      <c r="B399" s="1">
        <v>24</v>
      </c>
      <c r="C399" s="12">
        <f t="shared" si="45"/>
        <v>-1.35</v>
      </c>
      <c r="D399" s="12">
        <f t="shared" si="46"/>
        <v>-7.4999999999999956E-2</v>
      </c>
      <c r="E399" s="12">
        <f t="shared" si="47"/>
        <v>11.063136625777776</v>
      </c>
      <c r="F399" s="12">
        <f t="shared" si="48"/>
        <v>11.063136625777776</v>
      </c>
      <c r="G399" s="12">
        <f t="shared" si="49"/>
        <v>14.490337706666667</v>
      </c>
      <c r="H399" s="12">
        <f t="shared" si="50"/>
        <v>14.490337706666667</v>
      </c>
      <c r="I399" s="1" t="str">
        <f t="shared" si="51"/>
        <v>No</v>
      </c>
      <c r="J399" s="1" t="str">
        <f t="shared" si="52"/>
        <v>Si</v>
      </c>
      <c r="K399" s="1" t="str">
        <f t="shared" si="53"/>
        <v/>
      </c>
    </row>
    <row r="400" spans="1:11" x14ac:dyDescent="0.3">
      <c r="A400" s="1">
        <v>7</v>
      </c>
      <c r="B400" s="1">
        <v>25</v>
      </c>
      <c r="C400" s="12">
        <f t="shared" si="45"/>
        <v>-1.35</v>
      </c>
      <c r="D400" s="12">
        <f t="shared" si="46"/>
        <v>0</v>
      </c>
      <c r="E400" s="12">
        <f t="shared" si="47"/>
        <v>11.060648533333332</v>
      </c>
      <c r="F400" s="12">
        <f t="shared" si="48"/>
        <v>11.060648533333332</v>
      </c>
      <c r="G400" s="12">
        <f t="shared" si="49"/>
        <v>14.486833351111111</v>
      </c>
      <c r="H400" s="12">
        <f t="shared" si="50"/>
        <v>14.486833351111111</v>
      </c>
      <c r="I400" s="1" t="str">
        <f t="shared" si="51"/>
        <v>No</v>
      </c>
      <c r="J400" s="1" t="str">
        <f t="shared" si="52"/>
        <v>Si</v>
      </c>
      <c r="K400" s="1" t="str">
        <f t="shared" si="53"/>
        <v/>
      </c>
    </row>
    <row r="401" spans="1:11" x14ac:dyDescent="0.3">
      <c r="A401" s="1">
        <v>7</v>
      </c>
      <c r="B401" s="1">
        <v>26</v>
      </c>
      <c r="C401" s="12">
        <f t="shared" si="45"/>
        <v>-1.35</v>
      </c>
      <c r="D401" s="12">
        <f t="shared" si="46"/>
        <v>7.4999999999999956E-2</v>
      </c>
      <c r="E401" s="12">
        <f t="shared" si="47"/>
        <v>11.058160440888887</v>
      </c>
      <c r="F401" s="12">
        <f t="shared" si="48"/>
        <v>11.058160440888887</v>
      </c>
      <c r="G401" s="12">
        <f t="shared" si="49"/>
        <v>14.483328995555555</v>
      </c>
      <c r="H401" s="12">
        <f t="shared" si="50"/>
        <v>14.483328995555555</v>
      </c>
      <c r="I401" s="1" t="str">
        <f t="shared" si="51"/>
        <v>No</v>
      </c>
      <c r="J401" s="1" t="str">
        <f t="shared" si="52"/>
        <v>Si</v>
      </c>
      <c r="K401" s="1" t="str">
        <f t="shared" si="53"/>
        <v/>
      </c>
    </row>
    <row r="402" spans="1:11" x14ac:dyDescent="0.3">
      <c r="A402" s="1">
        <v>7</v>
      </c>
      <c r="B402" s="1">
        <v>27</v>
      </c>
      <c r="C402" s="12">
        <f t="shared" ref="C402:C465" si="54">IF(OR(A402&gt;inp_n_div_x,B402&gt;inp_n_div_y),"",-inp_bx/2+A402*inp_bx/inp_n_div_x)</f>
        <v>-1.35</v>
      </c>
      <c r="D402" s="12">
        <f t="shared" ref="D402:D465" si="55">IF(C402="","",-inp_by/2+B402*inp_by/inp_n_div_y)</f>
        <v>0.14999999999999991</v>
      </c>
      <c r="E402" s="12">
        <f t="shared" ref="E402:E465" si="56">IF(C402="","",res_srv_p_tot/geo_area+res_srv_mx_tot/geo_ix*D402+res_srv_my_tot/geo_iy*C402)</f>
        <v>11.055672348444443</v>
      </c>
      <c r="F402" s="12">
        <f t="shared" ref="F402:F465" si="57">IF(E402="","",MAX(0,E402))</f>
        <v>11.055672348444443</v>
      </c>
      <c r="G402" s="12">
        <f t="shared" ref="G402:G465" si="58">IF(C402="","",res_u_p_tot/geo_area+res_u_mx_tot/geo_ix*D402+res_u_my_tot/geo_iy*C402)</f>
        <v>14.47982464</v>
      </c>
      <c r="H402" s="12">
        <f t="shared" ref="H402:H465" si="59">IF(G402="","",MAX(0,G402))</f>
        <v>14.47982464</v>
      </c>
      <c r="I402" s="1" t="str">
        <f t="shared" ref="I402:I465" si="60">IF(C402="","",IF(AND(C402&gt;=inp_xc-inp_cx/2,C402&lt;=inp_xc+inp_cx/2,D402&gt;=inp_yc-inp_cy/2,D402&lt;=inp_yc+inp_cy/2),"Si","No"))</f>
        <v>No</v>
      </c>
      <c r="J402" s="1" t="str">
        <f t="shared" ref="J402:J465" si="61">IF(C402="","","Si")</f>
        <v>Si</v>
      </c>
      <c r="K402" s="1" t="str">
        <f t="shared" ref="K402:K465" si="62">IF(OR(E402&lt;0,G402&lt;0),"Presion negativa","")</f>
        <v/>
      </c>
    </row>
    <row r="403" spans="1:11" x14ac:dyDescent="0.3">
      <c r="A403" s="1">
        <v>7</v>
      </c>
      <c r="B403" s="1">
        <v>28</v>
      </c>
      <c r="C403" s="12">
        <f t="shared" si="54"/>
        <v>-1.35</v>
      </c>
      <c r="D403" s="12">
        <f t="shared" si="55"/>
        <v>0.22500000000000009</v>
      </c>
      <c r="E403" s="12">
        <f t="shared" si="56"/>
        <v>11.053184255999998</v>
      </c>
      <c r="F403" s="12">
        <f t="shared" si="57"/>
        <v>11.053184255999998</v>
      </c>
      <c r="G403" s="12">
        <f t="shared" si="58"/>
        <v>14.476320284444444</v>
      </c>
      <c r="H403" s="12">
        <f t="shared" si="59"/>
        <v>14.476320284444444</v>
      </c>
      <c r="I403" s="1" t="str">
        <f t="shared" si="60"/>
        <v>No</v>
      </c>
      <c r="J403" s="1" t="str">
        <f t="shared" si="61"/>
        <v>Si</v>
      </c>
      <c r="K403" s="1" t="str">
        <f t="shared" si="62"/>
        <v/>
      </c>
    </row>
    <row r="404" spans="1:11" x14ac:dyDescent="0.3">
      <c r="A404" s="1">
        <v>7</v>
      </c>
      <c r="B404" s="1">
        <v>29</v>
      </c>
      <c r="C404" s="12">
        <f t="shared" si="54"/>
        <v>-1.35</v>
      </c>
      <c r="D404" s="12">
        <f t="shared" si="55"/>
        <v>0.29999999999999982</v>
      </c>
      <c r="E404" s="12">
        <f t="shared" si="56"/>
        <v>11.050696163555553</v>
      </c>
      <c r="F404" s="12">
        <f t="shared" si="57"/>
        <v>11.050696163555553</v>
      </c>
      <c r="G404" s="12">
        <f t="shared" si="58"/>
        <v>14.472815928888888</v>
      </c>
      <c r="H404" s="12">
        <f t="shared" si="59"/>
        <v>14.472815928888888</v>
      </c>
      <c r="I404" s="1" t="str">
        <f t="shared" si="60"/>
        <v>No</v>
      </c>
      <c r="J404" s="1" t="str">
        <f t="shared" si="61"/>
        <v>Si</v>
      </c>
      <c r="K404" s="1" t="str">
        <f t="shared" si="62"/>
        <v/>
      </c>
    </row>
    <row r="405" spans="1:11" x14ac:dyDescent="0.3">
      <c r="A405" s="1">
        <v>7</v>
      </c>
      <c r="B405" s="1">
        <v>30</v>
      </c>
      <c r="C405" s="12">
        <f t="shared" si="54"/>
        <v>-1.35</v>
      </c>
      <c r="D405" s="12">
        <f t="shared" si="55"/>
        <v>0.375</v>
      </c>
      <c r="E405" s="12">
        <f t="shared" si="56"/>
        <v>11.048208071111109</v>
      </c>
      <c r="F405" s="12">
        <f t="shared" si="57"/>
        <v>11.048208071111109</v>
      </c>
      <c r="G405" s="12">
        <f t="shared" si="58"/>
        <v>14.469311573333332</v>
      </c>
      <c r="H405" s="12">
        <f t="shared" si="59"/>
        <v>14.469311573333332</v>
      </c>
      <c r="I405" s="1" t="str">
        <f t="shared" si="60"/>
        <v>No</v>
      </c>
      <c r="J405" s="1" t="str">
        <f t="shared" si="61"/>
        <v>Si</v>
      </c>
      <c r="K405" s="1" t="str">
        <f t="shared" si="62"/>
        <v/>
      </c>
    </row>
    <row r="406" spans="1:11" x14ac:dyDescent="0.3">
      <c r="A406" s="1">
        <v>7</v>
      </c>
      <c r="B406" s="1">
        <v>31</v>
      </c>
      <c r="C406" s="12">
        <f t="shared" si="54"/>
        <v>-1.35</v>
      </c>
      <c r="D406" s="12">
        <f t="shared" si="55"/>
        <v>0.45000000000000018</v>
      </c>
      <c r="E406" s="12">
        <f t="shared" si="56"/>
        <v>11.045719978666664</v>
      </c>
      <c r="F406" s="12">
        <f t="shared" si="57"/>
        <v>11.045719978666664</v>
      </c>
      <c r="G406" s="12">
        <f t="shared" si="58"/>
        <v>14.465807217777778</v>
      </c>
      <c r="H406" s="12">
        <f t="shared" si="59"/>
        <v>14.465807217777778</v>
      </c>
      <c r="I406" s="1" t="str">
        <f t="shared" si="60"/>
        <v>No</v>
      </c>
      <c r="J406" s="1" t="str">
        <f t="shared" si="61"/>
        <v>Si</v>
      </c>
      <c r="K406" s="1" t="str">
        <f t="shared" si="62"/>
        <v/>
      </c>
    </row>
    <row r="407" spans="1:11" x14ac:dyDescent="0.3">
      <c r="A407" s="1">
        <v>7</v>
      </c>
      <c r="B407" s="1">
        <v>32</v>
      </c>
      <c r="C407" s="12">
        <f t="shared" si="54"/>
        <v>-1.35</v>
      </c>
      <c r="D407" s="12">
        <f t="shared" si="55"/>
        <v>0.52499999999999991</v>
      </c>
      <c r="E407" s="12">
        <f t="shared" si="56"/>
        <v>11.043231886222221</v>
      </c>
      <c r="F407" s="12">
        <f t="shared" si="57"/>
        <v>11.043231886222221</v>
      </c>
      <c r="G407" s="12">
        <f t="shared" si="58"/>
        <v>14.462302862222222</v>
      </c>
      <c r="H407" s="12">
        <f t="shared" si="59"/>
        <v>14.462302862222222</v>
      </c>
      <c r="I407" s="1" t="str">
        <f t="shared" si="60"/>
        <v>No</v>
      </c>
      <c r="J407" s="1" t="str">
        <f t="shared" si="61"/>
        <v>Si</v>
      </c>
      <c r="K407" s="1" t="str">
        <f t="shared" si="62"/>
        <v/>
      </c>
    </row>
    <row r="408" spans="1:11" x14ac:dyDescent="0.3">
      <c r="A408" s="1">
        <v>7</v>
      </c>
      <c r="B408" s="1">
        <v>33</v>
      </c>
      <c r="C408" s="12">
        <f t="shared" si="54"/>
        <v>-1.35</v>
      </c>
      <c r="D408" s="12">
        <f t="shared" si="55"/>
        <v>0.60000000000000009</v>
      </c>
      <c r="E408" s="12">
        <f t="shared" si="56"/>
        <v>11.040743793777777</v>
      </c>
      <c r="F408" s="12">
        <f t="shared" si="57"/>
        <v>11.040743793777777</v>
      </c>
      <c r="G408" s="12">
        <f t="shared" si="58"/>
        <v>14.458798506666666</v>
      </c>
      <c r="H408" s="12">
        <f t="shared" si="59"/>
        <v>14.458798506666666</v>
      </c>
      <c r="I408" s="1" t="str">
        <f t="shared" si="60"/>
        <v>No</v>
      </c>
      <c r="J408" s="1" t="str">
        <f t="shared" si="61"/>
        <v>Si</v>
      </c>
      <c r="K408" s="1" t="str">
        <f t="shared" si="62"/>
        <v/>
      </c>
    </row>
    <row r="409" spans="1:11" x14ac:dyDescent="0.3">
      <c r="A409" s="1">
        <v>7</v>
      </c>
      <c r="B409" s="1">
        <v>34</v>
      </c>
      <c r="C409" s="12">
        <f t="shared" si="54"/>
        <v>-1.35</v>
      </c>
      <c r="D409" s="12">
        <f t="shared" si="55"/>
        <v>0.67499999999999982</v>
      </c>
      <c r="E409" s="12">
        <f t="shared" si="56"/>
        <v>11.038255701333332</v>
      </c>
      <c r="F409" s="12">
        <f t="shared" si="57"/>
        <v>11.038255701333332</v>
      </c>
      <c r="G409" s="12">
        <f t="shared" si="58"/>
        <v>14.455294151111111</v>
      </c>
      <c r="H409" s="12">
        <f t="shared" si="59"/>
        <v>14.455294151111111</v>
      </c>
      <c r="I409" s="1" t="str">
        <f t="shared" si="60"/>
        <v>No</v>
      </c>
      <c r="J409" s="1" t="str">
        <f t="shared" si="61"/>
        <v>Si</v>
      </c>
      <c r="K409" s="1" t="str">
        <f t="shared" si="62"/>
        <v/>
      </c>
    </row>
    <row r="410" spans="1:11" x14ac:dyDescent="0.3">
      <c r="A410" s="1">
        <v>7</v>
      </c>
      <c r="B410" s="1">
        <v>35</v>
      </c>
      <c r="C410" s="12">
        <f t="shared" si="54"/>
        <v>-1.35</v>
      </c>
      <c r="D410" s="12">
        <f t="shared" si="55"/>
        <v>0.75</v>
      </c>
      <c r="E410" s="12">
        <f t="shared" si="56"/>
        <v>11.035767608888888</v>
      </c>
      <c r="F410" s="12">
        <f t="shared" si="57"/>
        <v>11.035767608888888</v>
      </c>
      <c r="G410" s="12">
        <f t="shared" si="58"/>
        <v>14.451789795555555</v>
      </c>
      <c r="H410" s="12">
        <f t="shared" si="59"/>
        <v>14.451789795555555</v>
      </c>
      <c r="I410" s="1" t="str">
        <f t="shared" si="60"/>
        <v>No</v>
      </c>
      <c r="J410" s="1" t="str">
        <f t="shared" si="61"/>
        <v>Si</v>
      </c>
      <c r="K410" s="1" t="str">
        <f t="shared" si="62"/>
        <v/>
      </c>
    </row>
    <row r="411" spans="1:11" x14ac:dyDescent="0.3">
      <c r="A411" s="1">
        <v>7</v>
      </c>
      <c r="B411" s="1">
        <v>36</v>
      </c>
      <c r="C411" s="12">
        <f t="shared" si="54"/>
        <v>-1.35</v>
      </c>
      <c r="D411" s="12">
        <f t="shared" si="55"/>
        <v>0.82500000000000018</v>
      </c>
      <c r="E411" s="12">
        <f t="shared" si="56"/>
        <v>11.033279516444443</v>
      </c>
      <c r="F411" s="12">
        <f t="shared" si="57"/>
        <v>11.033279516444443</v>
      </c>
      <c r="G411" s="12">
        <f t="shared" si="58"/>
        <v>14.448285439999999</v>
      </c>
      <c r="H411" s="12">
        <f t="shared" si="59"/>
        <v>14.448285439999999</v>
      </c>
      <c r="I411" s="1" t="str">
        <f t="shared" si="60"/>
        <v>No</v>
      </c>
      <c r="J411" s="1" t="str">
        <f t="shared" si="61"/>
        <v>Si</v>
      </c>
      <c r="K411" s="1" t="str">
        <f t="shared" si="62"/>
        <v/>
      </c>
    </row>
    <row r="412" spans="1:11" x14ac:dyDescent="0.3">
      <c r="A412" s="1">
        <v>7</v>
      </c>
      <c r="B412" s="1">
        <v>37</v>
      </c>
      <c r="C412" s="12">
        <f t="shared" si="54"/>
        <v>-1.35</v>
      </c>
      <c r="D412" s="12">
        <f t="shared" si="55"/>
        <v>0.89999999999999991</v>
      </c>
      <c r="E412" s="12">
        <f t="shared" si="56"/>
        <v>11.030791423999998</v>
      </c>
      <c r="F412" s="12">
        <f t="shared" si="57"/>
        <v>11.030791423999998</v>
      </c>
      <c r="G412" s="12">
        <f t="shared" si="58"/>
        <v>14.444781084444443</v>
      </c>
      <c r="H412" s="12">
        <f t="shared" si="59"/>
        <v>14.444781084444443</v>
      </c>
      <c r="I412" s="1" t="str">
        <f t="shared" si="60"/>
        <v>No</v>
      </c>
      <c r="J412" s="1" t="str">
        <f t="shared" si="61"/>
        <v>Si</v>
      </c>
      <c r="K412" s="1" t="str">
        <f t="shared" si="62"/>
        <v/>
      </c>
    </row>
    <row r="413" spans="1:11" x14ac:dyDescent="0.3">
      <c r="A413" s="1">
        <v>7</v>
      </c>
      <c r="B413" s="1">
        <v>38</v>
      </c>
      <c r="C413" s="12">
        <f t="shared" si="54"/>
        <v>-1.35</v>
      </c>
      <c r="D413" s="12">
        <f t="shared" si="55"/>
        <v>0.97500000000000009</v>
      </c>
      <c r="E413" s="12">
        <f t="shared" si="56"/>
        <v>11.028303331555554</v>
      </c>
      <c r="F413" s="12">
        <f t="shared" si="57"/>
        <v>11.028303331555554</v>
      </c>
      <c r="G413" s="12">
        <f t="shared" si="58"/>
        <v>14.441276728888889</v>
      </c>
      <c r="H413" s="12">
        <f t="shared" si="59"/>
        <v>14.441276728888889</v>
      </c>
      <c r="I413" s="1" t="str">
        <f t="shared" si="60"/>
        <v>No</v>
      </c>
      <c r="J413" s="1" t="str">
        <f t="shared" si="61"/>
        <v>Si</v>
      </c>
      <c r="K413" s="1" t="str">
        <f t="shared" si="62"/>
        <v/>
      </c>
    </row>
    <row r="414" spans="1:11" x14ac:dyDescent="0.3">
      <c r="A414" s="1">
        <v>7</v>
      </c>
      <c r="B414" s="1">
        <v>39</v>
      </c>
      <c r="C414" s="12">
        <f t="shared" si="54"/>
        <v>-1.35</v>
      </c>
      <c r="D414" s="12">
        <f t="shared" si="55"/>
        <v>1.0499999999999998</v>
      </c>
      <c r="E414" s="12">
        <f t="shared" si="56"/>
        <v>11.025815239111109</v>
      </c>
      <c r="F414" s="12">
        <f t="shared" si="57"/>
        <v>11.025815239111109</v>
      </c>
      <c r="G414" s="12">
        <f t="shared" si="58"/>
        <v>14.437772373333333</v>
      </c>
      <c r="H414" s="12">
        <f t="shared" si="59"/>
        <v>14.437772373333333</v>
      </c>
      <c r="I414" s="1" t="str">
        <f t="shared" si="60"/>
        <v>No</v>
      </c>
      <c r="J414" s="1" t="str">
        <f t="shared" si="61"/>
        <v>Si</v>
      </c>
      <c r="K414" s="1" t="str">
        <f t="shared" si="62"/>
        <v/>
      </c>
    </row>
    <row r="415" spans="1:11" x14ac:dyDescent="0.3">
      <c r="A415" s="1">
        <v>7</v>
      </c>
      <c r="B415" s="1">
        <v>40</v>
      </c>
      <c r="C415" s="12">
        <f t="shared" si="54"/>
        <v>-1.35</v>
      </c>
      <c r="D415" s="12">
        <f t="shared" si="55"/>
        <v>1.125</v>
      </c>
      <c r="E415" s="12">
        <f t="shared" si="56"/>
        <v>11.023327146666665</v>
      </c>
      <c r="F415" s="12">
        <f t="shared" si="57"/>
        <v>11.023327146666665</v>
      </c>
      <c r="G415" s="12">
        <f t="shared" si="58"/>
        <v>14.434268017777777</v>
      </c>
      <c r="H415" s="12">
        <f t="shared" si="59"/>
        <v>14.434268017777777</v>
      </c>
      <c r="I415" s="1" t="str">
        <f t="shared" si="60"/>
        <v>No</v>
      </c>
      <c r="J415" s="1" t="str">
        <f t="shared" si="61"/>
        <v>Si</v>
      </c>
      <c r="K415" s="1" t="str">
        <f t="shared" si="62"/>
        <v/>
      </c>
    </row>
    <row r="416" spans="1:11" x14ac:dyDescent="0.3">
      <c r="A416" s="1">
        <v>7</v>
      </c>
      <c r="B416" s="1">
        <v>41</v>
      </c>
      <c r="C416" s="12">
        <f t="shared" si="54"/>
        <v>-1.35</v>
      </c>
      <c r="D416" s="12">
        <f t="shared" si="55"/>
        <v>1.2000000000000002</v>
      </c>
      <c r="E416" s="12">
        <f t="shared" si="56"/>
        <v>11.02083905422222</v>
      </c>
      <c r="F416" s="12">
        <f t="shared" si="57"/>
        <v>11.02083905422222</v>
      </c>
      <c r="G416" s="12">
        <f t="shared" si="58"/>
        <v>14.430763662222223</v>
      </c>
      <c r="H416" s="12">
        <f t="shared" si="59"/>
        <v>14.430763662222223</v>
      </c>
      <c r="I416" s="1" t="str">
        <f t="shared" si="60"/>
        <v>No</v>
      </c>
      <c r="J416" s="1" t="str">
        <f t="shared" si="61"/>
        <v>Si</v>
      </c>
      <c r="K416" s="1" t="str">
        <f t="shared" si="62"/>
        <v/>
      </c>
    </row>
    <row r="417" spans="1:11" x14ac:dyDescent="0.3">
      <c r="A417" s="1">
        <v>7</v>
      </c>
      <c r="B417" s="1">
        <v>42</v>
      </c>
      <c r="C417" s="12">
        <f t="shared" si="54"/>
        <v>-1.35</v>
      </c>
      <c r="D417" s="12">
        <f t="shared" si="55"/>
        <v>1.2749999999999999</v>
      </c>
      <c r="E417" s="12">
        <f t="shared" si="56"/>
        <v>11.018350961777776</v>
      </c>
      <c r="F417" s="12">
        <f t="shared" si="57"/>
        <v>11.018350961777776</v>
      </c>
      <c r="G417" s="12">
        <f t="shared" si="58"/>
        <v>14.427259306666667</v>
      </c>
      <c r="H417" s="12">
        <f t="shared" si="59"/>
        <v>14.427259306666667</v>
      </c>
      <c r="I417" s="1" t="str">
        <f t="shared" si="60"/>
        <v>No</v>
      </c>
      <c r="J417" s="1" t="str">
        <f t="shared" si="61"/>
        <v>Si</v>
      </c>
      <c r="K417" s="1" t="str">
        <f t="shared" si="62"/>
        <v/>
      </c>
    </row>
    <row r="418" spans="1:11" x14ac:dyDescent="0.3">
      <c r="A418" s="1">
        <v>7</v>
      </c>
      <c r="B418" s="1">
        <v>43</v>
      </c>
      <c r="C418" s="12">
        <f t="shared" si="54"/>
        <v>-1.35</v>
      </c>
      <c r="D418" s="12">
        <f t="shared" si="55"/>
        <v>1.35</v>
      </c>
      <c r="E418" s="12">
        <f t="shared" si="56"/>
        <v>11.015862869333331</v>
      </c>
      <c r="F418" s="12">
        <f t="shared" si="57"/>
        <v>11.015862869333331</v>
      </c>
      <c r="G418" s="12">
        <f t="shared" si="58"/>
        <v>14.423754951111111</v>
      </c>
      <c r="H418" s="12">
        <f t="shared" si="59"/>
        <v>14.423754951111111</v>
      </c>
      <c r="I418" s="1" t="str">
        <f t="shared" si="60"/>
        <v>No</v>
      </c>
      <c r="J418" s="1" t="str">
        <f t="shared" si="61"/>
        <v>Si</v>
      </c>
      <c r="K418" s="1" t="str">
        <f t="shared" si="62"/>
        <v/>
      </c>
    </row>
    <row r="419" spans="1:11" x14ac:dyDescent="0.3">
      <c r="A419" s="1">
        <v>7</v>
      </c>
      <c r="B419" s="1">
        <v>44</v>
      </c>
      <c r="C419" s="12">
        <f t="shared" si="54"/>
        <v>-1.35</v>
      </c>
      <c r="D419" s="12">
        <f t="shared" si="55"/>
        <v>1.4249999999999998</v>
      </c>
      <c r="E419" s="12">
        <f t="shared" si="56"/>
        <v>11.013374776888888</v>
      </c>
      <c r="F419" s="12">
        <f t="shared" si="57"/>
        <v>11.013374776888888</v>
      </c>
      <c r="G419" s="12">
        <f t="shared" si="58"/>
        <v>14.420250595555554</v>
      </c>
      <c r="H419" s="12">
        <f t="shared" si="59"/>
        <v>14.420250595555554</v>
      </c>
      <c r="I419" s="1" t="str">
        <f t="shared" si="60"/>
        <v>No</v>
      </c>
      <c r="J419" s="1" t="str">
        <f t="shared" si="61"/>
        <v>Si</v>
      </c>
      <c r="K419" s="1" t="str">
        <f t="shared" si="62"/>
        <v/>
      </c>
    </row>
    <row r="420" spans="1:11" x14ac:dyDescent="0.3">
      <c r="A420" s="1">
        <v>7</v>
      </c>
      <c r="B420" s="1">
        <v>45</v>
      </c>
      <c r="C420" s="12">
        <f t="shared" si="54"/>
        <v>-1.35</v>
      </c>
      <c r="D420" s="12">
        <f t="shared" si="55"/>
        <v>1.5</v>
      </c>
      <c r="E420" s="12">
        <f t="shared" si="56"/>
        <v>11.010886684444444</v>
      </c>
      <c r="F420" s="12">
        <f t="shared" si="57"/>
        <v>11.010886684444444</v>
      </c>
      <c r="G420" s="12">
        <f t="shared" si="58"/>
        <v>14.41674624</v>
      </c>
      <c r="H420" s="12">
        <f t="shared" si="59"/>
        <v>14.41674624</v>
      </c>
      <c r="I420" s="1" t="str">
        <f t="shared" si="60"/>
        <v>No</v>
      </c>
      <c r="J420" s="1" t="str">
        <f t="shared" si="61"/>
        <v>Si</v>
      </c>
      <c r="K420" s="1" t="str">
        <f t="shared" si="62"/>
        <v/>
      </c>
    </row>
    <row r="421" spans="1:11" x14ac:dyDescent="0.3">
      <c r="A421" s="1">
        <v>7</v>
      </c>
      <c r="B421" s="1">
        <v>46</v>
      </c>
      <c r="C421" s="12">
        <f t="shared" si="54"/>
        <v>-1.35</v>
      </c>
      <c r="D421" s="12">
        <f t="shared" si="55"/>
        <v>1.5750000000000002</v>
      </c>
      <c r="E421" s="12">
        <f t="shared" si="56"/>
        <v>11.008398591999999</v>
      </c>
      <c r="F421" s="12">
        <f t="shared" si="57"/>
        <v>11.008398591999999</v>
      </c>
      <c r="G421" s="12">
        <f t="shared" si="58"/>
        <v>14.413241884444444</v>
      </c>
      <c r="H421" s="12">
        <f t="shared" si="59"/>
        <v>14.413241884444444</v>
      </c>
      <c r="I421" s="1" t="str">
        <f t="shared" si="60"/>
        <v>No</v>
      </c>
      <c r="J421" s="1" t="str">
        <f t="shared" si="61"/>
        <v>Si</v>
      </c>
      <c r="K421" s="1" t="str">
        <f t="shared" si="62"/>
        <v/>
      </c>
    </row>
    <row r="422" spans="1:11" x14ac:dyDescent="0.3">
      <c r="A422" s="1">
        <v>7</v>
      </c>
      <c r="B422" s="1">
        <v>47</v>
      </c>
      <c r="C422" s="12">
        <f t="shared" si="54"/>
        <v>-1.35</v>
      </c>
      <c r="D422" s="12">
        <f t="shared" si="55"/>
        <v>1.65</v>
      </c>
      <c r="E422" s="12">
        <f t="shared" si="56"/>
        <v>11.005910499555554</v>
      </c>
      <c r="F422" s="12">
        <f t="shared" si="57"/>
        <v>11.005910499555554</v>
      </c>
      <c r="G422" s="12">
        <f t="shared" si="58"/>
        <v>14.409737528888888</v>
      </c>
      <c r="H422" s="12">
        <f t="shared" si="59"/>
        <v>14.409737528888888</v>
      </c>
      <c r="I422" s="1" t="str">
        <f t="shared" si="60"/>
        <v>No</v>
      </c>
      <c r="J422" s="1" t="str">
        <f t="shared" si="61"/>
        <v>Si</v>
      </c>
      <c r="K422" s="1" t="str">
        <f t="shared" si="62"/>
        <v/>
      </c>
    </row>
    <row r="423" spans="1:11" x14ac:dyDescent="0.3">
      <c r="A423" s="1">
        <v>7</v>
      </c>
      <c r="B423" s="1">
        <v>48</v>
      </c>
      <c r="C423" s="12">
        <f t="shared" si="54"/>
        <v>-1.35</v>
      </c>
      <c r="D423" s="12">
        <f t="shared" si="55"/>
        <v>1.7250000000000001</v>
      </c>
      <c r="E423" s="12">
        <f t="shared" si="56"/>
        <v>11.00342240711111</v>
      </c>
      <c r="F423" s="12">
        <f t="shared" si="57"/>
        <v>11.00342240711111</v>
      </c>
      <c r="G423" s="12">
        <f t="shared" si="58"/>
        <v>14.406233173333334</v>
      </c>
      <c r="H423" s="12">
        <f t="shared" si="59"/>
        <v>14.406233173333334</v>
      </c>
      <c r="I423" s="1" t="str">
        <f t="shared" si="60"/>
        <v>No</v>
      </c>
      <c r="J423" s="1" t="str">
        <f t="shared" si="61"/>
        <v>Si</v>
      </c>
      <c r="K423" s="1" t="str">
        <f t="shared" si="62"/>
        <v/>
      </c>
    </row>
    <row r="424" spans="1:11" x14ac:dyDescent="0.3">
      <c r="A424" s="1">
        <v>7</v>
      </c>
      <c r="B424" s="1">
        <v>49</v>
      </c>
      <c r="C424" s="12">
        <f t="shared" si="54"/>
        <v>-1.35</v>
      </c>
      <c r="D424" s="12">
        <f t="shared" si="55"/>
        <v>1.7999999999999998</v>
      </c>
      <c r="E424" s="12">
        <f t="shared" si="56"/>
        <v>11.000934314666665</v>
      </c>
      <c r="F424" s="12">
        <f t="shared" si="57"/>
        <v>11.000934314666665</v>
      </c>
      <c r="G424" s="12">
        <f t="shared" si="58"/>
        <v>14.402728817777778</v>
      </c>
      <c r="H424" s="12">
        <f t="shared" si="59"/>
        <v>14.402728817777778</v>
      </c>
      <c r="I424" s="1" t="str">
        <f t="shared" si="60"/>
        <v>No</v>
      </c>
      <c r="J424" s="1" t="str">
        <f t="shared" si="61"/>
        <v>Si</v>
      </c>
      <c r="K424" s="1" t="str">
        <f t="shared" si="62"/>
        <v/>
      </c>
    </row>
    <row r="425" spans="1:11" x14ac:dyDescent="0.3">
      <c r="A425" s="1">
        <v>7</v>
      </c>
      <c r="B425" s="1">
        <v>50</v>
      </c>
      <c r="C425" s="12">
        <f t="shared" si="54"/>
        <v>-1.35</v>
      </c>
      <c r="D425" s="12">
        <f t="shared" si="55"/>
        <v>1.875</v>
      </c>
      <c r="E425" s="12">
        <f t="shared" si="56"/>
        <v>10.998446222222221</v>
      </c>
      <c r="F425" s="12">
        <f t="shared" si="57"/>
        <v>10.998446222222221</v>
      </c>
      <c r="G425" s="12">
        <f t="shared" si="58"/>
        <v>14.399224462222222</v>
      </c>
      <c r="H425" s="12">
        <f t="shared" si="59"/>
        <v>14.399224462222222</v>
      </c>
      <c r="I425" s="1" t="str">
        <f t="shared" si="60"/>
        <v>No</v>
      </c>
      <c r="J425" s="1" t="str">
        <f t="shared" si="61"/>
        <v>Si</v>
      </c>
      <c r="K425" s="1" t="str">
        <f t="shared" si="62"/>
        <v/>
      </c>
    </row>
    <row r="426" spans="1:11" x14ac:dyDescent="0.3">
      <c r="A426" s="1">
        <v>8</v>
      </c>
      <c r="B426" s="1">
        <v>0</v>
      </c>
      <c r="C426" s="12">
        <f t="shared" si="54"/>
        <v>-1.2749999999999999</v>
      </c>
      <c r="D426" s="12">
        <f t="shared" si="55"/>
        <v>-1.875</v>
      </c>
      <c r="E426" s="12">
        <f t="shared" si="56"/>
        <v>11.123544888888889</v>
      </c>
      <c r="F426" s="12">
        <f t="shared" si="57"/>
        <v>11.123544888888889</v>
      </c>
      <c r="G426" s="12">
        <f t="shared" si="58"/>
        <v>14.575479893333332</v>
      </c>
      <c r="H426" s="12">
        <f t="shared" si="59"/>
        <v>14.575479893333332</v>
      </c>
      <c r="I426" s="1" t="str">
        <f t="shared" si="60"/>
        <v>No</v>
      </c>
      <c r="J426" s="1" t="str">
        <f t="shared" si="61"/>
        <v>Si</v>
      </c>
      <c r="K426" s="1" t="str">
        <f t="shared" si="62"/>
        <v/>
      </c>
    </row>
    <row r="427" spans="1:11" x14ac:dyDescent="0.3">
      <c r="A427" s="1">
        <v>8</v>
      </c>
      <c r="B427" s="1">
        <v>1</v>
      </c>
      <c r="C427" s="12">
        <f t="shared" si="54"/>
        <v>-1.2749999999999999</v>
      </c>
      <c r="D427" s="12">
        <f t="shared" si="55"/>
        <v>-1.8</v>
      </c>
      <c r="E427" s="12">
        <f t="shared" si="56"/>
        <v>11.121056796444444</v>
      </c>
      <c r="F427" s="12">
        <f t="shared" si="57"/>
        <v>11.121056796444444</v>
      </c>
      <c r="G427" s="12">
        <f t="shared" si="58"/>
        <v>14.571975537777776</v>
      </c>
      <c r="H427" s="12">
        <f t="shared" si="59"/>
        <v>14.571975537777776</v>
      </c>
      <c r="I427" s="1" t="str">
        <f t="shared" si="60"/>
        <v>No</v>
      </c>
      <c r="J427" s="1" t="str">
        <f t="shared" si="61"/>
        <v>Si</v>
      </c>
      <c r="K427" s="1" t="str">
        <f t="shared" si="62"/>
        <v/>
      </c>
    </row>
    <row r="428" spans="1:11" x14ac:dyDescent="0.3">
      <c r="A428" s="1">
        <v>8</v>
      </c>
      <c r="B428" s="1">
        <v>2</v>
      </c>
      <c r="C428" s="12">
        <f t="shared" si="54"/>
        <v>-1.2749999999999999</v>
      </c>
      <c r="D428" s="12">
        <f t="shared" si="55"/>
        <v>-1.7250000000000001</v>
      </c>
      <c r="E428" s="12">
        <f t="shared" si="56"/>
        <v>11.118568703999999</v>
      </c>
      <c r="F428" s="12">
        <f t="shared" si="57"/>
        <v>11.118568703999999</v>
      </c>
      <c r="G428" s="12">
        <f t="shared" si="58"/>
        <v>14.56847118222222</v>
      </c>
      <c r="H428" s="12">
        <f t="shared" si="59"/>
        <v>14.56847118222222</v>
      </c>
      <c r="I428" s="1" t="str">
        <f t="shared" si="60"/>
        <v>No</v>
      </c>
      <c r="J428" s="1" t="str">
        <f t="shared" si="61"/>
        <v>Si</v>
      </c>
      <c r="K428" s="1" t="str">
        <f t="shared" si="62"/>
        <v/>
      </c>
    </row>
    <row r="429" spans="1:11" x14ac:dyDescent="0.3">
      <c r="A429" s="1">
        <v>8</v>
      </c>
      <c r="B429" s="1">
        <v>3</v>
      </c>
      <c r="C429" s="12">
        <f t="shared" si="54"/>
        <v>-1.2749999999999999</v>
      </c>
      <c r="D429" s="12">
        <f t="shared" si="55"/>
        <v>-1.65</v>
      </c>
      <c r="E429" s="12">
        <f t="shared" si="56"/>
        <v>11.116080611555555</v>
      </c>
      <c r="F429" s="12">
        <f t="shared" si="57"/>
        <v>11.116080611555555</v>
      </c>
      <c r="G429" s="12">
        <f t="shared" si="58"/>
        <v>14.564966826666666</v>
      </c>
      <c r="H429" s="12">
        <f t="shared" si="59"/>
        <v>14.564966826666666</v>
      </c>
      <c r="I429" s="1" t="str">
        <f t="shared" si="60"/>
        <v>No</v>
      </c>
      <c r="J429" s="1" t="str">
        <f t="shared" si="61"/>
        <v>Si</v>
      </c>
      <c r="K429" s="1" t="str">
        <f t="shared" si="62"/>
        <v/>
      </c>
    </row>
    <row r="430" spans="1:11" x14ac:dyDescent="0.3">
      <c r="A430" s="1">
        <v>8</v>
      </c>
      <c r="B430" s="1">
        <v>4</v>
      </c>
      <c r="C430" s="12">
        <f t="shared" si="54"/>
        <v>-1.2749999999999999</v>
      </c>
      <c r="D430" s="12">
        <f t="shared" si="55"/>
        <v>-1.575</v>
      </c>
      <c r="E430" s="12">
        <f t="shared" si="56"/>
        <v>11.11359251911111</v>
      </c>
      <c r="F430" s="12">
        <f t="shared" si="57"/>
        <v>11.11359251911111</v>
      </c>
      <c r="G430" s="12">
        <f t="shared" si="58"/>
        <v>14.56146247111111</v>
      </c>
      <c r="H430" s="12">
        <f t="shared" si="59"/>
        <v>14.56146247111111</v>
      </c>
      <c r="I430" s="1" t="str">
        <f t="shared" si="60"/>
        <v>No</v>
      </c>
      <c r="J430" s="1" t="str">
        <f t="shared" si="61"/>
        <v>Si</v>
      </c>
      <c r="K430" s="1" t="str">
        <f t="shared" si="62"/>
        <v/>
      </c>
    </row>
    <row r="431" spans="1:11" x14ac:dyDescent="0.3">
      <c r="A431" s="1">
        <v>8</v>
      </c>
      <c r="B431" s="1">
        <v>5</v>
      </c>
      <c r="C431" s="12">
        <f t="shared" si="54"/>
        <v>-1.2749999999999999</v>
      </c>
      <c r="D431" s="12">
        <f t="shared" si="55"/>
        <v>-1.5</v>
      </c>
      <c r="E431" s="12">
        <f t="shared" si="56"/>
        <v>11.111104426666666</v>
      </c>
      <c r="F431" s="12">
        <f t="shared" si="57"/>
        <v>11.111104426666666</v>
      </c>
      <c r="G431" s="12">
        <f t="shared" si="58"/>
        <v>14.557958115555554</v>
      </c>
      <c r="H431" s="12">
        <f t="shared" si="59"/>
        <v>14.557958115555554</v>
      </c>
      <c r="I431" s="1" t="str">
        <f t="shared" si="60"/>
        <v>No</v>
      </c>
      <c r="J431" s="1" t="str">
        <f t="shared" si="61"/>
        <v>Si</v>
      </c>
      <c r="K431" s="1" t="str">
        <f t="shared" si="62"/>
        <v/>
      </c>
    </row>
    <row r="432" spans="1:11" x14ac:dyDescent="0.3">
      <c r="A432" s="1">
        <v>8</v>
      </c>
      <c r="B432" s="1">
        <v>6</v>
      </c>
      <c r="C432" s="12">
        <f t="shared" si="54"/>
        <v>-1.2749999999999999</v>
      </c>
      <c r="D432" s="12">
        <f t="shared" si="55"/>
        <v>-1.425</v>
      </c>
      <c r="E432" s="12">
        <f t="shared" si="56"/>
        <v>11.108616334222221</v>
      </c>
      <c r="F432" s="12">
        <f t="shared" si="57"/>
        <v>11.108616334222221</v>
      </c>
      <c r="G432" s="12">
        <f t="shared" si="58"/>
        <v>14.554453759999999</v>
      </c>
      <c r="H432" s="12">
        <f t="shared" si="59"/>
        <v>14.554453759999999</v>
      </c>
      <c r="I432" s="1" t="str">
        <f t="shared" si="60"/>
        <v>No</v>
      </c>
      <c r="J432" s="1" t="str">
        <f t="shared" si="61"/>
        <v>Si</v>
      </c>
      <c r="K432" s="1" t="str">
        <f t="shared" si="62"/>
        <v/>
      </c>
    </row>
    <row r="433" spans="1:11" x14ac:dyDescent="0.3">
      <c r="A433" s="1">
        <v>8</v>
      </c>
      <c r="B433" s="1">
        <v>7</v>
      </c>
      <c r="C433" s="12">
        <f t="shared" si="54"/>
        <v>-1.2749999999999999</v>
      </c>
      <c r="D433" s="12">
        <f t="shared" si="55"/>
        <v>-1.35</v>
      </c>
      <c r="E433" s="12">
        <f t="shared" si="56"/>
        <v>11.106128241777778</v>
      </c>
      <c r="F433" s="12">
        <f t="shared" si="57"/>
        <v>11.106128241777778</v>
      </c>
      <c r="G433" s="12">
        <f t="shared" si="58"/>
        <v>14.550949404444443</v>
      </c>
      <c r="H433" s="12">
        <f t="shared" si="59"/>
        <v>14.550949404444443</v>
      </c>
      <c r="I433" s="1" t="str">
        <f t="shared" si="60"/>
        <v>No</v>
      </c>
      <c r="J433" s="1" t="str">
        <f t="shared" si="61"/>
        <v>Si</v>
      </c>
      <c r="K433" s="1" t="str">
        <f t="shared" si="62"/>
        <v/>
      </c>
    </row>
    <row r="434" spans="1:11" x14ac:dyDescent="0.3">
      <c r="A434" s="1">
        <v>8</v>
      </c>
      <c r="B434" s="1">
        <v>8</v>
      </c>
      <c r="C434" s="12">
        <f t="shared" si="54"/>
        <v>-1.2749999999999999</v>
      </c>
      <c r="D434" s="12">
        <f t="shared" si="55"/>
        <v>-1.2749999999999999</v>
      </c>
      <c r="E434" s="12">
        <f t="shared" si="56"/>
        <v>11.103640149333334</v>
      </c>
      <c r="F434" s="12">
        <f t="shared" si="57"/>
        <v>11.103640149333334</v>
      </c>
      <c r="G434" s="12">
        <f t="shared" si="58"/>
        <v>14.547445048888887</v>
      </c>
      <c r="H434" s="12">
        <f t="shared" si="59"/>
        <v>14.547445048888887</v>
      </c>
      <c r="I434" s="1" t="str">
        <f t="shared" si="60"/>
        <v>No</v>
      </c>
      <c r="J434" s="1" t="str">
        <f t="shared" si="61"/>
        <v>Si</v>
      </c>
      <c r="K434" s="1" t="str">
        <f t="shared" si="62"/>
        <v/>
      </c>
    </row>
    <row r="435" spans="1:11" x14ac:dyDescent="0.3">
      <c r="A435" s="1">
        <v>8</v>
      </c>
      <c r="B435" s="1">
        <v>9</v>
      </c>
      <c r="C435" s="12">
        <f t="shared" si="54"/>
        <v>-1.2749999999999999</v>
      </c>
      <c r="D435" s="12">
        <f t="shared" si="55"/>
        <v>-1.2</v>
      </c>
      <c r="E435" s="12">
        <f t="shared" si="56"/>
        <v>11.101152056888889</v>
      </c>
      <c r="F435" s="12">
        <f t="shared" si="57"/>
        <v>11.101152056888889</v>
      </c>
      <c r="G435" s="12">
        <f t="shared" si="58"/>
        <v>14.543940693333331</v>
      </c>
      <c r="H435" s="12">
        <f t="shared" si="59"/>
        <v>14.543940693333331</v>
      </c>
      <c r="I435" s="1" t="str">
        <f t="shared" si="60"/>
        <v>No</v>
      </c>
      <c r="J435" s="1" t="str">
        <f t="shared" si="61"/>
        <v>Si</v>
      </c>
      <c r="K435" s="1" t="str">
        <f t="shared" si="62"/>
        <v/>
      </c>
    </row>
    <row r="436" spans="1:11" x14ac:dyDescent="0.3">
      <c r="A436" s="1">
        <v>8</v>
      </c>
      <c r="B436" s="1">
        <v>10</v>
      </c>
      <c r="C436" s="12">
        <f t="shared" si="54"/>
        <v>-1.2749999999999999</v>
      </c>
      <c r="D436" s="12">
        <f t="shared" si="55"/>
        <v>-1.125</v>
      </c>
      <c r="E436" s="12">
        <f t="shared" si="56"/>
        <v>11.098663964444444</v>
      </c>
      <c r="F436" s="12">
        <f t="shared" si="57"/>
        <v>11.098663964444444</v>
      </c>
      <c r="G436" s="12">
        <f t="shared" si="58"/>
        <v>14.540436337777777</v>
      </c>
      <c r="H436" s="12">
        <f t="shared" si="59"/>
        <v>14.540436337777777</v>
      </c>
      <c r="I436" s="1" t="str">
        <f t="shared" si="60"/>
        <v>No</v>
      </c>
      <c r="J436" s="1" t="str">
        <f t="shared" si="61"/>
        <v>Si</v>
      </c>
      <c r="K436" s="1" t="str">
        <f t="shared" si="62"/>
        <v/>
      </c>
    </row>
    <row r="437" spans="1:11" x14ac:dyDescent="0.3">
      <c r="A437" s="1">
        <v>8</v>
      </c>
      <c r="B437" s="1">
        <v>11</v>
      </c>
      <c r="C437" s="12">
        <f t="shared" si="54"/>
        <v>-1.2749999999999999</v>
      </c>
      <c r="D437" s="12">
        <f t="shared" si="55"/>
        <v>-1.05</v>
      </c>
      <c r="E437" s="12">
        <f t="shared" si="56"/>
        <v>11.096175872</v>
      </c>
      <c r="F437" s="12">
        <f t="shared" si="57"/>
        <v>11.096175872</v>
      </c>
      <c r="G437" s="12">
        <f t="shared" si="58"/>
        <v>14.536931982222221</v>
      </c>
      <c r="H437" s="12">
        <f t="shared" si="59"/>
        <v>14.536931982222221</v>
      </c>
      <c r="I437" s="1" t="str">
        <f t="shared" si="60"/>
        <v>No</v>
      </c>
      <c r="J437" s="1" t="str">
        <f t="shared" si="61"/>
        <v>Si</v>
      </c>
      <c r="K437" s="1" t="str">
        <f t="shared" si="62"/>
        <v/>
      </c>
    </row>
    <row r="438" spans="1:11" x14ac:dyDescent="0.3">
      <c r="A438" s="1">
        <v>8</v>
      </c>
      <c r="B438" s="1">
        <v>12</v>
      </c>
      <c r="C438" s="12">
        <f t="shared" si="54"/>
        <v>-1.2749999999999999</v>
      </c>
      <c r="D438" s="12">
        <f t="shared" si="55"/>
        <v>-0.97499999999999998</v>
      </c>
      <c r="E438" s="12">
        <f t="shared" si="56"/>
        <v>11.093687779555555</v>
      </c>
      <c r="F438" s="12">
        <f t="shared" si="57"/>
        <v>11.093687779555555</v>
      </c>
      <c r="G438" s="12">
        <f t="shared" si="58"/>
        <v>14.533427626666665</v>
      </c>
      <c r="H438" s="12">
        <f t="shared" si="59"/>
        <v>14.533427626666665</v>
      </c>
      <c r="I438" s="1" t="str">
        <f t="shared" si="60"/>
        <v>No</v>
      </c>
      <c r="J438" s="1" t="str">
        <f t="shared" si="61"/>
        <v>Si</v>
      </c>
      <c r="K438" s="1" t="str">
        <f t="shared" si="62"/>
        <v/>
      </c>
    </row>
    <row r="439" spans="1:11" x14ac:dyDescent="0.3">
      <c r="A439" s="1">
        <v>8</v>
      </c>
      <c r="B439" s="1">
        <v>13</v>
      </c>
      <c r="C439" s="12">
        <f t="shared" si="54"/>
        <v>-1.2749999999999999</v>
      </c>
      <c r="D439" s="12">
        <f t="shared" si="55"/>
        <v>-0.9</v>
      </c>
      <c r="E439" s="12">
        <f t="shared" si="56"/>
        <v>11.091199687111111</v>
      </c>
      <c r="F439" s="12">
        <f t="shared" si="57"/>
        <v>11.091199687111111</v>
      </c>
      <c r="G439" s="12">
        <f t="shared" si="58"/>
        <v>14.529923271111111</v>
      </c>
      <c r="H439" s="12">
        <f t="shared" si="59"/>
        <v>14.529923271111111</v>
      </c>
      <c r="I439" s="1" t="str">
        <f t="shared" si="60"/>
        <v>No</v>
      </c>
      <c r="J439" s="1" t="str">
        <f t="shared" si="61"/>
        <v>Si</v>
      </c>
      <c r="K439" s="1" t="str">
        <f t="shared" si="62"/>
        <v/>
      </c>
    </row>
    <row r="440" spans="1:11" x14ac:dyDescent="0.3">
      <c r="A440" s="1">
        <v>8</v>
      </c>
      <c r="B440" s="1">
        <v>14</v>
      </c>
      <c r="C440" s="12">
        <f t="shared" si="54"/>
        <v>-1.2749999999999999</v>
      </c>
      <c r="D440" s="12">
        <f t="shared" si="55"/>
        <v>-0.82499999999999996</v>
      </c>
      <c r="E440" s="12">
        <f t="shared" si="56"/>
        <v>11.088711594666666</v>
      </c>
      <c r="F440" s="12">
        <f t="shared" si="57"/>
        <v>11.088711594666666</v>
      </c>
      <c r="G440" s="12">
        <f t="shared" si="58"/>
        <v>14.526418915555555</v>
      </c>
      <c r="H440" s="12">
        <f t="shared" si="59"/>
        <v>14.526418915555555</v>
      </c>
      <c r="I440" s="1" t="str">
        <f t="shared" si="60"/>
        <v>No</v>
      </c>
      <c r="J440" s="1" t="str">
        <f t="shared" si="61"/>
        <v>Si</v>
      </c>
      <c r="K440" s="1" t="str">
        <f t="shared" si="62"/>
        <v/>
      </c>
    </row>
    <row r="441" spans="1:11" x14ac:dyDescent="0.3">
      <c r="A441" s="1">
        <v>8</v>
      </c>
      <c r="B441" s="1">
        <v>15</v>
      </c>
      <c r="C441" s="12">
        <f t="shared" si="54"/>
        <v>-1.2749999999999999</v>
      </c>
      <c r="D441" s="12">
        <f t="shared" si="55"/>
        <v>-0.75</v>
      </c>
      <c r="E441" s="12">
        <f t="shared" si="56"/>
        <v>11.086223502222222</v>
      </c>
      <c r="F441" s="12">
        <f t="shared" si="57"/>
        <v>11.086223502222222</v>
      </c>
      <c r="G441" s="12">
        <f t="shared" si="58"/>
        <v>14.522914559999998</v>
      </c>
      <c r="H441" s="12">
        <f t="shared" si="59"/>
        <v>14.522914559999998</v>
      </c>
      <c r="I441" s="1" t="str">
        <f t="shared" si="60"/>
        <v>No</v>
      </c>
      <c r="J441" s="1" t="str">
        <f t="shared" si="61"/>
        <v>Si</v>
      </c>
      <c r="K441" s="1" t="str">
        <f t="shared" si="62"/>
        <v/>
      </c>
    </row>
    <row r="442" spans="1:11" x14ac:dyDescent="0.3">
      <c r="A442" s="1">
        <v>8</v>
      </c>
      <c r="B442" s="1">
        <v>16</v>
      </c>
      <c r="C442" s="12">
        <f t="shared" si="54"/>
        <v>-1.2749999999999999</v>
      </c>
      <c r="D442" s="12">
        <f t="shared" si="55"/>
        <v>-0.67500000000000004</v>
      </c>
      <c r="E442" s="12">
        <f t="shared" si="56"/>
        <v>11.083735409777777</v>
      </c>
      <c r="F442" s="12">
        <f t="shared" si="57"/>
        <v>11.083735409777777</v>
      </c>
      <c r="G442" s="12">
        <f t="shared" si="58"/>
        <v>14.519410204444442</v>
      </c>
      <c r="H442" s="12">
        <f t="shared" si="59"/>
        <v>14.519410204444442</v>
      </c>
      <c r="I442" s="1" t="str">
        <f t="shared" si="60"/>
        <v>No</v>
      </c>
      <c r="J442" s="1" t="str">
        <f t="shared" si="61"/>
        <v>Si</v>
      </c>
      <c r="K442" s="1" t="str">
        <f t="shared" si="62"/>
        <v/>
      </c>
    </row>
    <row r="443" spans="1:11" x14ac:dyDescent="0.3">
      <c r="A443" s="1">
        <v>8</v>
      </c>
      <c r="B443" s="1">
        <v>17</v>
      </c>
      <c r="C443" s="12">
        <f t="shared" si="54"/>
        <v>-1.2749999999999999</v>
      </c>
      <c r="D443" s="12">
        <f t="shared" si="55"/>
        <v>-0.60000000000000009</v>
      </c>
      <c r="E443" s="12">
        <f t="shared" si="56"/>
        <v>11.081247317333332</v>
      </c>
      <c r="F443" s="12">
        <f t="shared" si="57"/>
        <v>11.081247317333332</v>
      </c>
      <c r="G443" s="12">
        <f t="shared" si="58"/>
        <v>14.515905848888888</v>
      </c>
      <c r="H443" s="12">
        <f t="shared" si="59"/>
        <v>14.515905848888888</v>
      </c>
      <c r="I443" s="1" t="str">
        <f t="shared" si="60"/>
        <v>No</v>
      </c>
      <c r="J443" s="1" t="str">
        <f t="shared" si="61"/>
        <v>Si</v>
      </c>
      <c r="K443" s="1" t="str">
        <f t="shared" si="62"/>
        <v/>
      </c>
    </row>
    <row r="444" spans="1:11" x14ac:dyDescent="0.3">
      <c r="A444" s="1">
        <v>8</v>
      </c>
      <c r="B444" s="1">
        <v>18</v>
      </c>
      <c r="C444" s="12">
        <f t="shared" si="54"/>
        <v>-1.2749999999999999</v>
      </c>
      <c r="D444" s="12">
        <f t="shared" si="55"/>
        <v>-0.52499999999999991</v>
      </c>
      <c r="E444" s="12">
        <f t="shared" si="56"/>
        <v>11.078759224888888</v>
      </c>
      <c r="F444" s="12">
        <f t="shared" si="57"/>
        <v>11.078759224888888</v>
      </c>
      <c r="G444" s="12">
        <f t="shared" si="58"/>
        <v>14.512401493333332</v>
      </c>
      <c r="H444" s="12">
        <f t="shared" si="59"/>
        <v>14.512401493333332</v>
      </c>
      <c r="I444" s="1" t="str">
        <f t="shared" si="60"/>
        <v>No</v>
      </c>
      <c r="J444" s="1" t="str">
        <f t="shared" si="61"/>
        <v>Si</v>
      </c>
      <c r="K444" s="1" t="str">
        <f t="shared" si="62"/>
        <v/>
      </c>
    </row>
    <row r="445" spans="1:11" x14ac:dyDescent="0.3">
      <c r="A445" s="1">
        <v>8</v>
      </c>
      <c r="B445" s="1">
        <v>19</v>
      </c>
      <c r="C445" s="12">
        <f t="shared" si="54"/>
        <v>-1.2749999999999999</v>
      </c>
      <c r="D445" s="12">
        <f t="shared" si="55"/>
        <v>-0.44999999999999996</v>
      </c>
      <c r="E445" s="12">
        <f t="shared" si="56"/>
        <v>11.076271132444445</v>
      </c>
      <c r="F445" s="12">
        <f t="shared" si="57"/>
        <v>11.076271132444445</v>
      </c>
      <c r="G445" s="12">
        <f t="shared" si="58"/>
        <v>14.508897137777776</v>
      </c>
      <c r="H445" s="12">
        <f t="shared" si="59"/>
        <v>14.508897137777776</v>
      </c>
      <c r="I445" s="1" t="str">
        <f t="shared" si="60"/>
        <v>No</v>
      </c>
      <c r="J445" s="1" t="str">
        <f t="shared" si="61"/>
        <v>Si</v>
      </c>
      <c r="K445" s="1" t="str">
        <f t="shared" si="62"/>
        <v/>
      </c>
    </row>
    <row r="446" spans="1:11" x14ac:dyDescent="0.3">
      <c r="A446" s="1">
        <v>8</v>
      </c>
      <c r="B446" s="1">
        <v>20</v>
      </c>
      <c r="C446" s="12">
        <f t="shared" si="54"/>
        <v>-1.2749999999999999</v>
      </c>
      <c r="D446" s="12">
        <f t="shared" si="55"/>
        <v>-0.375</v>
      </c>
      <c r="E446" s="12">
        <f t="shared" si="56"/>
        <v>11.07378304</v>
      </c>
      <c r="F446" s="12">
        <f t="shared" si="57"/>
        <v>11.07378304</v>
      </c>
      <c r="G446" s="12">
        <f t="shared" si="58"/>
        <v>14.505392782222222</v>
      </c>
      <c r="H446" s="12">
        <f t="shared" si="59"/>
        <v>14.505392782222222</v>
      </c>
      <c r="I446" s="1" t="str">
        <f t="shared" si="60"/>
        <v>No</v>
      </c>
      <c r="J446" s="1" t="str">
        <f t="shared" si="61"/>
        <v>Si</v>
      </c>
      <c r="K446" s="1" t="str">
        <f t="shared" si="62"/>
        <v/>
      </c>
    </row>
    <row r="447" spans="1:11" x14ac:dyDescent="0.3">
      <c r="A447" s="1">
        <v>8</v>
      </c>
      <c r="B447" s="1">
        <v>21</v>
      </c>
      <c r="C447" s="12">
        <f t="shared" si="54"/>
        <v>-1.2749999999999999</v>
      </c>
      <c r="D447" s="12">
        <f t="shared" si="55"/>
        <v>-0.30000000000000004</v>
      </c>
      <c r="E447" s="12">
        <f t="shared" si="56"/>
        <v>11.071294947555556</v>
      </c>
      <c r="F447" s="12">
        <f t="shared" si="57"/>
        <v>11.071294947555556</v>
      </c>
      <c r="G447" s="12">
        <f t="shared" si="58"/>
        <v>14.501888426666666</v>
      </c>
      <c r="H447" s="12">
        <f t="shared" si="59"/>
        <v>14.501888426666666</v>
      </c>
      <c r="I447" s="1" t="str">
        <f t="shared" si="60"/>
        <v>No</v>
      </c>
      <c r="J447" s="1" t="str">
        <f t="shared" si="61"/>
        <v>Si</v>
      </c>
      <c r="K447" s="1" t="str">
        <f t="shared" si="62"/>
        <v/>
      </c>
    </row>
    <row r="448" spans="1:11" x14ac:dyDescent="0.3">
      <c r="A448" s="1">
        <v>8</v>
      </c>
      <c r="B448" s="1">
        <v>22</v>
      </c>
      <c r="C448" s="12">
        <f t="shared" si="54"/>
        <v>-1.2749999999999999</v>
      </c>
      <c r="D448" s="12">
        <f t="shared" si="55"/>
        <v>-0.22500000000000009</v>
      </c>
      <c r="E448" s="12">
        <f t="shared" si="56"/>
        <v>11.068806855111111</v>
      </c>
      <c r="F448" s="12">
        <f t="shared" si="57"/>
        <v>11.068806855111111</v>
      </c>
      <c r="G448" s="12">
        <f t="shared" si="58"/>
        <v>14.49838407111111</v>
      </c>
      <c r="H448" s="12">
        <f t="shared" si="59"/>
        <v>14.49838407111111</v>
      </c>
      <c r="I448" s="1" t="str">
        <f t="shared" si="60"/>
        <v>No</v>
      </c>
      <c r="J448" s="1" t="str">
        <f t="shared" si="61"/>
        <v>Si</v>
      </c>
      <c r="K448" s="1" t="str">
        <f t="shared" si="62"/>
        <v/>
      </c>
    </row>
    <row r="449" spans="1:11" x14ac:dyDescent="0.3">
      <c r="A449" s="1">
        <v>8</v>
      </c>
      <c r="B449" s="1">
        <v>23</v>
      </c>
      <c r="C449" s="12">
        <f t="shared" si="54"/>
        <v>-1.2749999999999999</v>
      </c>
      <c r="D449" s="12">
        <f t="shared" si="55"/>
        <v>-0.14999999999999991</v>
      </c>
      <c r="E449" s="12">
        <f t="shared" si="56"/>
        <v>11.066318762666667</v>
      </c>
      <c r="F449" s="12">
        <f t="shared" si="57"/>
        <v>11.066318762666667</v>
      </c>
      <c r="G449" s="12">
        <f t="shared" si="58"/>
        <v>14.494879715555554</v>
      </c>
      <c r="H449" s="12">
        <f t="shared" si="59"/>
        <v>14.494879715555554</v>
      </c>
      <c r="I449" s="1" t="str">
        <f t="shared" si="60"/>
        <v>No</v>
      </c>
      <c r="J449" s="1" t="str">
        <f t="shared" si="61"/>
        <v>Si</v>
      </c>
      <c r="K449" s="1" t="str">
        <f t="shared" si="62"/>
        <v/>
      </c>
    </row>
    <row r="450" spans="1:11" x14ac:dyDescent="0.3">
      <c r="A450" s="1">
        <v>8</v>
      </c>
      <c r="B450" s="1">
        <v>24</v>
      </c>
      <c r="C450" s="12">
        <f t="shared" si="54"/>
        <v>-1.2749999999999999</v>
      </c>
      <c r="D450" s="12">
        <f t="shared" si="55"/>
        <v>-7.4999999999999956E-2</v>
      </c>
      <c r="E450" s="12">
        <f t="shared" si="56"/>
        <v>11.063830670222222</v>
      </c>
      <c r="F450" s="12">
        <f t="shared" si="57"/>
        <v>11.063830670222222</v>
      </c>
      <c r="G450" s="12">
        <f t="shared" si="58"/>
        <v>14.491375359999999</v>
      </c>
      <c r="H450" s="12">
        <f t="shared" si="59"/>
        <v>14.491375359999999</v>
      </c>
      <c r="I450" s="1" t="str">
        <f t="shared" si="60"/>
        <v>No</v>
      </c>
      <c r="J450" s="1" t="str">
        <f t="shared" si="61"/>
        <v>Si</v>
      </c>
      <c r="K450" s="1" t="str">
        <f t="shared" si="62"/>
        <v/>
      </c>
    </row>
    <row r="451" spans="1:11" x14ac:dyDescent="0.3">
      <c r="A451" s="1">
        <v>8</v>
      </c>
      <c r="B451" s="1">
        <v>25</v>
      </c>
      <c r="C451" s="12">
        <f t="shared" si="54"/>
        <v>-1.2749999999999999</v>
      </c>
      <c r="D451" s="12">
        <f t="shared" si="55"/>
        <v>0</v>
      </c>
      <c r="E451" s="12">
        <f t="shared" si="56"/>
        <v>11.061342577777777</v>
      </c>
      <c r="F451" s="12">
        <f t="shared" si="57"/>
        <v>11.061342577777777</v>
      </c>
      <c r="G451" s="12">
        <f t="shared" si="58"/>
        <v>14.487871004444443</v>
      </c>
      <c r="H451" s="12">
        <f t="shared" si="59"/>
        <v>14.487871004444443</v>
      </c>
      <c r="I451" s="1" t="str">
        <f t="shared" si="60"/>
        <v>No</v>
      </c>
      <c r="J451" s="1" t="str">
        <f t="shared" si="61"/>
        <v>Si</v>
      </c>
      <c r="K451" s="1" t="str">
        <f t="shared" si="62"/>
        <v/>
      </c>
    </row>
    <row r="452" spans="1:11" x14ac:dyDescent="0.3">
      <c r="A452" s="1">
        <v>8</v>
      </c>
      <c r="B452" s="1">
        <v>26</v>
      </c>
      <c r="C452" s="12">
        <f t="shared" si="54"/>
        <v>-1.2749999999999999</v>
      </c>
      <c r="D452" s="12">
        <f t="shared" si="55"/>
        <v>7.4999999999999956E-2</v>
      </c>
      <c r="E452" s="12">
        <f t="shared" si="56"/>
        <v>11.058854485333333</v>
      </c>
      <c r="F452" s="12">
        <f t="shared" si="57"/>
        <v>11.058854485333333</v>
      </c>
      <c r="G452" s="12">
        <f t="shared" si="58"/>
        <v>14.484366648888887</v>
      </c>
      <c r="H452" s="12">
        <f t="shared" si="59"/>
        <v>14.484366648888887</v>
      </c>
      <c r="I452" s="1" t="str">
        <f t="shared" si="60"/>
        <v>No</v>
      </c>
      <c r="J452" s="1" t="str">
        <f t="shared" si="61"/>
        <v>Si</v>
      </c>
      <c r="K452" s="1" t="str">
        <f t="shared" si="62"/>
        <v/>
      </c>
    </row>
    <row r="453" spans="1:11" x14ac:dyDescent="0.3">
      <c r="A453" s="1">
        <v>8</v>
      </c>
      <c r="B453" s="1">
        <v>27</v>
      </c>
      <c r="C453" s="12">
        <f t="shared" si="54"/>
        <v>-1.2749999999999999</v>
      </c>
      <c r="D453" s="12">
        <f t="shared" si="55"/>
        <v>0.14999999999999991</v>
      </c>
      <c r="E453" s="12">
        <f t="shared" si="56"/>
        <v>11.056366392888888</v>
      </c>
      <c r="F453" s="12">
        <f t="shared" si="57"/>
        <v>11.056366392888888</v>
      </c>
      <c r="G453" s="12">
        <f t="shared" si="58"/>
        <v>14.480862293333333</v>
      </c>
      <c r="H453" s="12">
        <f t="shared" si="59"/>
        <v>14.480862293333333</v>
      </c>
      <c r="I453" s="1" t="str">
        <f t="shared" si="60"/>
        <v>No</v>
      </c>
      <c r="J453" s="1" t="str">
        <f t="shared" si="61"/>
        <v>Si</v>
      </c>
      <c r="K453" s="1" t="str">
        <f t="shared" si="62"/>
        <v/>
      </c>
    </row>
    <row r="454" spans="1:11" x14ac:dyDescent="0.3">
      <c r="A454" s="1">
        <v>8</v>
      </c>
      <c r="B454" s="1">
        <v>28</v>
      </c>
      <c r="C454" s="12">
        <f t="shared" si="54"/>
        <v>-1.2749999999999999</v>
      </c>
      <c r="D454" s="12">
        <f t="shared" si="55"/>
        <v>0.22500000000000009</v>
      </c>
      <c r="E454" s="12">
        <f t="shared" si="56"/>
        <v>11.053878300444444</v>
      </c>
      <c r="F454" s="12">
        <f t="shared" si="57"/>
        <v>11.053878300444444</v>
      </c>
      <c r="G454" s="12">
        <f t="shared" si="58"/>
        <v>14.477357937777777</v>
      </c>
      <c r="H454" s="12">
        <f t="shared" si="59"/>
        <v>14.477357937777777</v>
      </c>
      <c r="I454" s="1" t="str">
        <f t="shared" si="60"/>
        <v>No</v>
      </c>
      <c r="J454" s="1" t="str">
        <f t="shared" si="61"/>
        <v>Si</v>
      </c>
      <c r="K454" s="1" t="str">
        <f t="shared" si="62"/>
        <v/>
      </c>
    </row>
    <row r="455" spans="1:11" x14ac:dyDescent="0.3">
      <c r="A455" s="1">
        <v>8</v>
      </c>
      <c r="B455" s="1">
        <v>29</v>
      </c>
      <c r="C455" s="12">
        <f t="shared" si="54"/>
        <v>-1.2749999999999999</v>
      </c>
      <c r="D455" s="12">
        <f t="shared" si="55"/>
        <v>0.29999999999999982</v>
      </c>
      <c r="E455" s="12">
        <f t="shared" si="56"/>
        <v>11.051390207999999</v>
      </c>
      <c r="F455" s="12">
        <f t="shared" si="57"/>
        <v>11.051390207999999</v>
      </c>
      <c r="G455" s="12">
        <f t="shared" si="58"/>
        <v>14.473853582222221</v>
      </c>
      <c r="H455" s="12">
        <f t="shared" si="59"/>
        <v>14.473853582222221</v>
      </c>
      <c r="I455" s="1" t="str">
        <f t="shared" si="60"/>
        <v>No</v>
      </c>
      <c r="J455" s="1" t="str">
        <f t="shared" si="61"/>
        <v>Si</v>
      </c>
      <c r="K455" s="1" t="str">
        <f t="shared" si="62"/>
        <v/>
      </c>
    </row>
    <row r="456" spans="1:11" x14ac:dyDescent="0.3">
      <c r="A456" s="1">
        <v>8</v>
      </c>
      <c r="B456" s="1">
        <v>30</v>
      </c>
      <c r="C456" s="12">
        <f t="shared" si="54"/>
        <v>-1.2749999999999999</v>
      </c>
      <c r="D456" s="12">
        <f t="shared" si="55"/>
        <v>0.375</v>
      </c>
      <c r="E456" s="12">
        <f t="shared" si="56"/>
        <v>11.048902115555554</v>
      </c>
      <c r="F456" s="12">
        <f t="shared" si="57"/>
        <v>11.048902115555554</v>
      </c>
      <c r="G456" s="12">
        <f t="shared" si="58"/>
        <v>14.470349226666665</v>
      </c>
      <c r="H456" s="12">
        <f t="shared" si="59"/>
        <v>14.470349226666665</v>
      </c>
      <c r="I456" s="1" t="str">
        <f t="shared" si="60"/>
        <v>No</v>
      </c>
      <c r="J456" s="1" t="str">
        <f t="shared" si="61"/>
        <v>Si</v>
      </c>
      <c r="K456" s="1" t="str">
        <f t="shared" si="62"/>
        <v/>
      </c>
    </row>
    <row r="457" spans="1:11" x14ac:dyDescent="0.3">
      <c r="A457" s="1">
        <v>8</v>
      </c>
      <c r="B457" s="1">
        <v>31</v>
      </c>
      <c r="C457" s="12">
        <f t="shared" si="54"/>
        <v>-1.2749999999999999</v>
      </c>
      <c r="D457" s="12">
        <f t="shared" si="55"/>
        <v>0.45000000000000018</v>
      </c>
      <c r="E457" s="12">
        <f t="shared" si="56"/>
        <v>11.04641402311111</v>
      </c>
      <c r="F457" s="12">
        <f t="shared" si="57"/>
        <v>11.04641402311111</v>
      </c>
      <c r="G457" s="12">
        <f t="shared" si="58"/>
        <v>14.46684487111111</v>
      </c>
      <c r="H457" s="12">
        <f t="shared" si="59"/>
        <v>14.46684487111111</v>
      </c>
      <c r="I457" s="1" t="str">
        <f t="shared" si="60"/>
        <v>No</v>
      </c>
      <c r="J457" s="1" t="str">
        <f t="shared" si="61"/>
        <v>Si</v>
      </c>
      <c r="K457" s="1" t="str">
        <f t="shared" si="62"/>
        <v/>
      </c>
    </row>
    <row r="458" spans="1:11" x14ac:dyDescent="0.3">
      <c r="A458" s="1">
        <v>8</v>
      </c>
      <c r="B458" s="1">
        <v>32</v>
      </c>
      <c r="C458" s="12">
        <f t="shared" si="54"/>
        <v>-1.2749999999999999</v>
      </c>
      <c r="D458" s="12">
        <f t="shared" si="55"/>
        <v>0.52499999999999991</v>
      </c>
      <c r="E458" s="12">
        <f t="shared" si="56"/>
        <v>11.043925930666667</v>
      </c>
      <c r="F458" s="12">
        <f t="shared" si="57"/>
        <v>11.043925930666667</v>
      </c>
      <c r="G458" s="12">
        <f t="shared" si="58"/>
        <v>14.463340515555554</v>
      </c>
      <c r="H458" s="12">
        <f t="shared" si="59"/>
        <v>14.463340515555554</v>
      </c>
      <c r="I458" s="1" t="str">
        <f t="shared" si="60"/>
        <v>No</v>
      </c>
      <c r="J458" s="1" t="str">
        <f t="shared" si="61"/>
        <v>Si</v>
      </c>
      <c r="K458" s="1" t="str">
        <f t="shared" si="62"/>
        <v/>
      </c>
    </row>
    <row r="459" spans="1:11" x14ac:dyDescent="0.3">
      <c r="A459" s="1">
        <v>8</v>
      </c>
      <c r="B459" s="1">
        <v>33</v>
      </c>
      <c r="C459" s="12">
        <f t="shared" si="54"/>
        <v>-1.2749999999999999</v>
      </c>
      <c r="D459" s="12">
        <f t="shared" si="55"/>
        <v>0.60000000000000009</v>
      </c>
      <c r="E459" s="12">
        <f t="shared" si="56"/>
        <v>11.041437838222222</v>
      </c>
      <c r="F459" s="12">
        <f t="shared" si="57"/>
        <v>11.041437838222222</v>
      </c>
      <c r="G459" s="12">
        <f t="shared" si="58"/>
        <v>14.459836159999998</v>
      </c>
      <c r="H459" s="12">
        <f t="shared" si="59"/>
        <v>14.459836159999998</v>
      </c>
      <c r="I459" s="1" t="str">
        <f t="shared" si="60"/>
        <v>No</v>
      </c>
      <c r="J459" s="1" t="str">
        <f t="shared" si="61"/>
        <v>Si</v>
      </c>
      <c r="K459" s="1" t="str">
        <f t="shared" si="62"/>
        <v/>
      </c>
    </row>
    <row r="460" spans="1:11" x14ac:dyDescent="0.3">
      <c r="A460" s="1">
        <v>8</v>
      </c>
      <c r="B460" s="1">
        <v>34</v>
      </c>
      <c r="C460" s="12">
        <f t="shared" si="54"/>
        <v>-1.2749999999999999</v>
      </c>
      <c r="D460" s="12">
        <f t="shared" si="55"/>
        <v>0.67499999999999982</v>
      </c>
      <c r="E460" s="12">
        <f t="shared" si="56"/>
        <v>11.038949745777778</v>
      </c>
      <c r="F460" s="12">
        <f t="shared" si="57"/>
        <v>11.038949745777778</v>
      </c>
      <c r="G460" s="12">
        <f t="shared" si="58"/>
        <v>14.456331804444444</v>
      </c>
      <c r="H460" s="12">
        <f t="shared" si="59"/>
        <v>14.456331804444444</v>
      </c>
      <c r="I460" s="1" t="str">
        <f t="shared" si="60"/>
        <v>No</v>
      </c>
      <c r="J460" s="1" t="str">
        <f t="shared" si="61"/>
        <v>Si</v>
      </c>
      <c r="K460" s="1" t="str">
        <f t="shared" si="62"/>
        <v/>
      </c>
    </row>
    <row r="461" spans="1:11" x14ac:dyDescent="0.3">
      <c r="A461" s="1">
        <v>8</v>
      </c>
      <c r="B461" s="1">
        <v>35</v>
      </c>
      <c r="C461" s="12">
        <f t="shared" si="54"/>
        <v>-1.2749999999999999</v>
      </c>
      <c r="D461" s="12">
        <f t="shared" si="55"/>
        <v>0.75</v>
      </c>
      <c r="E461" s="12">
        <f t="shared" si="56"/>
        <v>11.036461653333333</v>
      </c>
      <c r="F461" s="12">
        <f t="shared" si="57"/>
        <v>11.036461653333333</v>
      </c>
      <c r="G461" s="12">
        <f t="shared" si="58"/>
        <v>14.452827448888888</v>
      </c>
      <c r="H461" s="12">
        <f t="shared" si="59"/>
        <v>14.452827448888888</v>
      </c>
      <c r="I461" s="1" t="str">
        <f t="shared" si="60"/>
        <v>No</v>
      </c>
      <c r="J461" s="1" t="str">
        <f t="shared" si="61"/>
        <v>Si</v>
      </c>
      <c r="K461" s="1" t="str">
        <f t="shared" si="62"/>
        <v/>
      </c>
    </row>
    <row r="462" spans="1:11" x14ac:dyDescent="0.3">
      <c r="A462" s="1">
        <v>8</v>
      </c>
      <c r="B462" s="1">
        <v>36</v>
      </c>
      <c r="C462" s="12">
        <f t="shared" si="54"/>
        <v>-1.2749999999999999</v>
      </c>
      <c r="D462" s="12">
        <f t="shared" si="55"/>
        <v>0.82500000000000018</v>
      </c>
      <c r="E462" s="12">
        <f t="shared" si="56"/>
        <v>11.033973560888889</v>
      </c>
      <c r="F462" s="12">
        <f t="shared" si="57"/>
        <v>11.033973560888889</v>
      </c>
      <c r="G462" s="12">
        <f t="shared" si="58"/>
        <v>14.449323093333332</v>
      </c>
      <c r="H462" s="12">
        <f t="shared" si="59"/>
        <v>14.449323093333332</v>
      </c>
      <c r="I462" s="1" t="str">
        <f t="shared" si="60"/>
        <v>No</v>
      </c>
      <c r="J462" s="1" t="str">
        <f t="shared" si="61"/>
        <v>Si</v>
      </c>
      <c r="K462" s="1" t="str">
        <f t="shared" si="62"/>
        <v/>
      </c>
    </row>
    <row r="463" spans="1:11" x14ac:dyDescent="0.3">
      <c r="A463" s="1">
        <v>8</v>
      </c>
      <c r="B463" s="1">
        <v>37</v>
      </c>
      <c r="C463" s="12">
        <f t="shared" si="54"/>
        <v>-1.2749999999999999</v>
      </c>
      <c r="D463" s="12">
        <f t="shared" si="55"/>
        <v>0.89999999999999991</v>
      </c>
      <c r="E463" s="12">
        <f t="shared" si="56"/>
        <v>11.031485468444444</v>
      </c>
      <c r="F463" s="12">
        <f t="shared" si="57"/>
        <v>11.031485468444444</v>
      </c>
      <c r="G463" s="12">
        <f t="shared" si="58"/>
        <v>14.445818737777776</v>
      </c>
      <c r="H463" s="12">
        <f t="shared" si="59"/>
        <v>14.445818737777776</v>
      </c>
      <c r="I463" s="1" t="str">
        <f t="shared" si="60"/>
        <v>No</v>
      </c>
      <c r="J463" s="1" t="str">
        <f t="shared" si="61"/>
        <v>Si</v>
      </c>
      <c r="K463" s="1" t="str">
        <f t="shared" si="62"/>
        <v/>
      </c>
    </row>
    <row r="464" spans="1:11" x14ac:dyDescent="0.3">
      <c r="A464" s="1">
        <v>8</v>
      </c>
      <c r="B464" s="1">
        <v>38</v>
      </c>
      <c r="C464" s="12">
        <f t="shared" si="54"/>
        <v>-1.2749999999999999</v>
      </c>
      <c r="D464" s="12">
        <f t="shared" si="55"/>
        <v>0.97500000000000009</v>
      </c>
      <c r="E464" s="12">
        <f t="shared" si="56"/>
        <v>11.028997376</v>
      </c>
      <c r="F464" s="12">
        <f t="shared" si="57"/>
        <v>11.028997376</v>
      </c>
      <c r="G464" s="12">
        <f t="shared" si="58"/>
        <v>14.442314382222222</v>
      </c>
      <c r="H464" s="12">
        <f t="shared" si="59"/>
        <v>14.442314382222222</v>
      </c>
      <c r="I464" s="1" t="str">
        <f t="shared" si="60"/>
        <v>No</v>
      </c>
      <c r="J464" s="1" t="str">
        <f t="shared" si="61"/>
        <v>Si</v>
      </c>
      <c r="K464" s="1" t="str">
        <f t="shared" si="62"/>
        <v/>
      </c>
    </row>
    <row r="465" spans="1:11" x14ac:dyDescent="0.3">
      <c r="A465" s="1">
        <v>8</v>
      </c>
      <c r="B465" s="1">
        <v>39</v>
      </c>
      <c r="C465" s="12">
        <f t="shared" si="54"/>
        <v>-1.2749999999999999</v>
      </c>
      <c r="D465" s="12">
        <f t="shared" si="55"/>
        <v>1.0499999999999998</v>
      </c>
      <c r="E465" s="12">
        <f t="shared" si="56"/>
        <v>11.026509283555555</v>
      </c>
      <c r="F465" s="12">
        <f t="shared" si="57"/>
        <v>11.026509283555555</v>
      </c>
      <c r="G465" s="12">
        <f t="shared" si="58"/>
        <v>14.438810026666665</v>
      </c>
      <c r="H465" s="12">
        <f t="shared" si="59"/>
        <v>14.438810026666665</v>
      </c>
      <c r="I465" s="1" t="str">
        <f t="shared" si="60"/>
        <v>No</v>
      </c>
      <c r="J465" s="1" t="str">
        <f t="shared" si="61"/>
        <v>Si</v>
      </c>
      <c r="K465" s="1" t="str">
        <f t="shared" si="62"/>
        <v/>
      </c>
    </row>
    <row r="466" spans="1:11" x14ac:dyDescent="0.3">
      <c r="A466" s="1">
        <v>8</v>
      </c>
      <c r="B466" s="1">
        <v>40</v>
      </c>
      <c r="C466" s="12">
        <f t="shared" ref="C466:C529" si="63">IF(OR(A466&gt;inp_n_div_x,B466&gt;inp_n_div_y),"",-inp_bx/2+A466*inp_bx/inp_n_div_x)</f>
        <v>-1.2749999999999999</v>
      </c>
      <c r="D466" s="12">
        <f t="shared" ref="D466:D529" si="64">IF(C466="","",-inp_by/2+B466*inp_by/inp_n_div_y)</f>
        <v>1.125</v>
      </c>
      <c r="E466" s="12">
        <f t="shared" ref="E466:E529" si="65">IF(C466="","",res_srv_p_tot/geo_area+res_srv_mx_tot/geo_ix*D466+res_srv_my_tot/geo_iy*C466)</f>
        <v>11.02402119111111</v>
      </c>
      <c r="F466" s="12">
        <f t="shared" ref="F466:F529" si="66">IF(E466="","",MAX(0,E466))</f>
        <v>11.02402119111111</v>
      </c>
      <c r="G466" s="12">
        <f t="shared" ref="G466:G529" si="67">IF(C466="","",res_u_p_tot/geo_area+res_u_mx_tot/geo_ix*D466+res_u_my_tot/geo_iy*C466)</f>
        <v>14.435305671111109</v>
      </c>
      <c r="H466" s="12">
        <f t="shared" ref="H466:H529" si="68">IF(G466="","",MAX(0,G466))</f>
        <v>14.435305671111109</v>
      </c>
      <c r="I466" s="1" t="str">
        <f t="shared" ref="I466:I529" si="69">IF(C466="","",IF(AND(C466&gt;=inp_xc-inp_cx/2,C466&lt;=inp_xc+inp_cx/2,D466&gt;=inp_yc-inp_cy/2,D466&lt;=inp_yc+inp_cy/2),"Si","No"))</f>
        <v>No</v>
      </c>
      <c r="J466" s="1" t="str">
        <f t="shared" ref="J466:J529" si="70">IF(C466="","","Si")</f>
        <v>Si</v>
      </c>
      <c r="K466" s="1" t="str">
        <f t="shared" ref="K466:K529" si="71">IF(OR(E466&lt;0,G466&lt;0),"Presion negativa","")</f>
        <v/>
      </c>
    </row>
    <row r="467" spans="1:11" x14ac:dyDescent="0.3">
      <c r="A467" s="1">
        <v>8</v>
      </c>
      <c r="B467" s="1">
        <v>41</v>
      </c>
      <c r="C467" s="12">
        <f t="shared" si="63"/>
        <v>-1.2749999999999999</v>
      </c>
      <c r="D467" s="12">
        <f t="shared" si="64"/>
        <v>1.2000000000000002</v>
      </c>
      <c r="E467" s="12">
        <f t="shared" si="65"/>
        <v>11.021533098666666</v>
      </c>
      <c r="F467" s="12">
        <f t="shared" si="66"/>
        <v>11.021533098666666</v>
      </c>
      <c r="G467" s="12">
        <f t="shared" si="67"/>
        <v>14.431801315555555</v>
      </c>
      <c r="H467" s="12">
        <f t="shared" si="68"/>
        <v>14.431801315555555</v>
      </c>
      <c r="I467" s="1" t="str">
        <f t="shared" si="69"/>
        <v>No</v>
      </c>
      <c r="J467" s="1" t="str">
        <f t="shared" si="70"/>
        <v>Si</v>
      </c>
      <c r="K467" s="1" t="str">
        <f t="shared" si="71"/>
        <v/>
      </c>
    </row>
    <row r="468" spans="1:11" x14ac:dyDescent="0.3">
      <c r="A468" s="1">
        <v>8</v>
      </c>
      <c r="B468" s="1">
        <v>42</v>
      </c>
      <c r="C468" s="12">
        <f t="shared" si="63"/>
        <v>-1.2749999999999999</v>
      </c>
      <c r="D468" s="12">
        <f t="shared" si="64"/>
        <v>1.2749999999999999</v>
      </c>
      <c r="E468" s="12">
        <f t="shared" si="65"/>
        <v>11.019045006222221</v>
      </c>
      <c r="F468" s="12">
        <f t="shared" si="66"/>
        <v>11.019045006222221</v>
      </c>
      <c r="G468" s="12">
        <f t="shared" si="67"/>
        <v>14.428296959999999</v>
      </c>
      <c r="H468" s="12">
        <f t="shared" si="68"/>
        <v>14.428296959999999</v>
      </c>
      <c r="I468" s="1" t="str">
        <f t="shared" si="69"/>
        <v>No</v>
      </c>
      <c r="J468" s="1" t="str">
        <f t="shared" si="70"/>
        <v>Si</v>
      </c>
      <c r="K468" s="1" t="str">
        <f t="shared" si="71"/>
        <v/>
      </c>
    </row>
    <row r="469" spans="1:11" x14ac:dyDescent="0.3">
      <c r="A469" s="1">
        <v>8</v>
      </c>
      <c r="B469" s="1">
        <v>43</v>
      </c>
      <c r="C469" s="12">
        <f t="shared" si="63"/>
        <v>-1.2749999999999999</v>
      </c>
      <c r="D469" s="12">
        <f t="shared" si="64"/>
        <v>1.35</v>
      </c>
      <c r="E469" s="12">
        <f t="shared" si="65"/>
        <v>11.016556913777777</v>
      </c>
      <c r="F469" s="12">
        <f t="shared" si="66"/>
        <v>11.016556913777777</v>
      </c>
      <c r="G469" s="12">
        <f t="shared" si="67"/>
        <v>14.424792604444443</v>
      </c>
      <c r="H469" s="12">
        <f t="shared" si="68"/>
        <v>14.424792604444443</v>
      </c>
      <c r="I469" s="1" t="str">
        <f t="shared" si="69"/>
        <v>No</v>
      </c>
      <c r="J469" s="1" t="str">
        <f t="shared" si="70"/>
        <v>Si</v>
      </c>
      <c r="K469" s="1" t="str">
        <f t="shared" si="71"/>
        <v/>
      </c>
    </row>
    <row r="470" spans="1:11" x14ac:dyDescent="0.3">
      <c r="A470" s="1">
        <v>8</v>
      </c>
      <c r="B470" s="1">
        <v>44</v>
      </c>
      <c r="C470" s="12">
        <f t="shared" si="63"/>
        <v>-1.2749999999999999</v>
      </c>
      <c r="D470" s="12">
        <f t="shared" si="64"/>
        <v>1.4249999999999998</v>
      </c>
      <c r="E470" s="12">
        <f t="shared" si="65"/>
        <v>11.014068821333334</v>
      </c>
      <c r="F470" s="12">
        <f t="shared" si="66"/>
        <v>11.014068821333334</v>
      </c>
      <c r="G470" s="12">
        <f t="shared" si="67"/>
        <v>14.421288248888887</v>
      </c>
      <c r="H470" s="12">
        <f t="shared" si="68"/>
        <v>14.421288248888887</v>
      </c>
      <c r="I470" s="1" t="str">
        <f t="shared" si="69"/>
        <v>No</v>
      </c>
      <c r="J470" s="1" t="str">
        <f t="shared" si="70"/>
        <v>Si</v>
      </c>
      <c r="K470" s="1" t="str">
        <f t="shared" si="71"/>
        <v/>
      </c>
    </row>
    <row r="471" spans="1:11" x14ac:dyDescent="0.3">
      <c r="A471" s="1">
        <v>8</v>
      </c>
      <c r="B471" s="1">
        <v>45</v>
      </c>
      <c r="C471" s="12">
        <f t="shared" si="63"/>
        <v>-1.2749999999999999</v>
      </c>
      <c r="D471" s="12">
        <f t="shared" si="64"/>
        <v>1.5</v>
      </c>
      <c r="E471" s="12">
        <f t="shared" si="65"/>
        <v>11.011580728888889</v>
      </c>
      <c r="F471" s="12">
        <f t="shared" si="66"/>
        <v>11.011580728888889</v>
      </c>
      <c r="G471" s="12">
        <f t="shared" si="67"/>
        <v>14.417783893333333</v>
      </c>
      <c r="H471" s="12">
        <f t="shared" si="68"/>
        <v>14.417783893333333</v>
      </c>
      <c r="I471" s="1" t="str">
        <f t="shared" si="69"/>
        <v>No</v>
      </c>
      <c r="J471" s="1" t="str">
        <f t="shared" si="70"/>
        <v>Si</v>
      </c>
      <c r="K471" s="1" t="str">
        <f t="shared" si="71"/>
        <v/>
      </c>
    </row>
    <row r="472" spans="1:11" x14ac:dyDescent="0.3">
      <c r="A472" s="1">
        <v>8</v>
      </c>
      <c r="B472" s="1">
        <v>46</v>
      </c>
      <c r="C472" s="12">
        <f t="shared" si="63"/>
        <v>-1.2749999999999999</v>
      </c>
      <c r="D472" s="12">
        <f t="shared" si="64"/>
        <v>1.5750000000000002</v>
      </c>
      <c r="E472" s="12">
        <f t="shared" si="65"/>
        <v>11.009092636444445</v>
      </c>
      <c r="F472" s="12">
        <f t="shared" si="66"/>
        <v>11.009092636444445</v>
      </c>
      <c r="G472" s="12">
        <f t="shared" si="67"/>
        <v>14.414279537777777</v>
      </c>
      <c r="H472" s="12">
        <f t="shared" si="68"/>
        <v>14.414279537777777</v>
      </c>
      <c r="I472" s="1" t="str">
        <f t="shared" si="69"/>
        <v>No</v>
      </c>
      <c r="J472" s="1" t="str">
        <f t="shared" si="70"/>
        <v>Si</v>
      </c>
      <c r="K472" s="1" t="str">
        <f t="shared" si="71"/>
        <v/>
      </c>
    </row>
    <row r="473" spans="1:11" x14ac:dyDescent="0.3">
      <c r="A473" s="1">
        <v>8</v>
      </c>
      <c r="B473" s="1">
        <v>47</v>
      </c>
      <c r="C473" s="12">
        <f t="shared" si="63"/>
        <v>-1.2749999999999999</v>
      </c>
      <c r="D473" s="12">
        <f t="shared" si="64"/>
        <v>1.65</v>
      </c>
      <c r="E473" s="12">
        <f t="shared" si="65"/>
        <v>11.006604544</v>
      </c>
      <c r="F473" s="12">
        <f t="shared" si="66"/>
        <v>11.006604544</v>
      </c>
      <c r="G473" s="12">
        <f t="shared" si="67"/>
        <v>14.410775182222221</v>
      </c>
      <c r="H473" s="12">
        <f t="shared" si="68"/>
        <v>14.410775182222221</v>
      </c>
      <c r="I473" s="1" t="str">
        <f t="shared" si="69"/>
        <v>No</v>
      </c>
      <c r="J473" s="1" t="str">
        <f t="shared" si="70"/>
        <v>Si</v>
      </c>
      <c r="K473" s="1" t="str">
        <f t="shared" si="71"/>
        <v/>
      </c>
    </row>
    <row r="474" spans="1:11" x14ac:dyDescent="0.3">
      <c r="A474" s="1">
        <v>8</v>
      </c>
      <c r="B474" s="1">
        <v>48</v>
      </c>
      <c r="C474" s="12">
        <f t="shared" si="63"/>
        <v>-1.2749999999999999</v>
      </c>
      <c r="D474" s="12">
        <f t="shared" si="64"/>
        <v>1.7250000000000001</v>
      </c>
      <c r="E474" s="12">
        <f t="shared" si="65"/>
        <v>11.004116451555555</v>
      </c>
      <c r="F474" s="12">
        <f t="shared" si="66"/>
        <v>11.004116451555555</v>
      </c>
      <c r="G474" s="12">
        <f t="shared" si="67"/>
        <v>14.407270826666666</v>
      </c>
      <c r="H474" s="12">
        <f t="shared" si="68"/>
        <v>14.407270826666666</v>
      </c>
      <c r="I474" s="1" t="str">
        <f t="shared" si="69"/>
        <v>No</v>
      </c>
      <c r="J474" s="1" t="str">
        <f t="shared" si="70"/>
        <v>Si</v>
      </c>
      <c r="K474" s="1" t="str">
        <f t="shared" si="71"/>
        <v/>
      </c>
    </row>
    <row r="475" spans="1:11" x14ac:dyDescent="0.3">
      <c r="A475" s="1">
        <v>8</v>
      </c>
      <c r="B475" s="1">
        <v>49</v>
      </c>
      <c r="C475" s="12">
        <f t="shared" si="63"/>
        <v>-1.2749999999999999</v>
      </c>
      <c r="D475" s="12">
        <f t="shared" si="64"/>
        <v>1.7999999999999998</v>
      </c>
      <c r="E475" s="12">
        <f t="shared" si="65"/>
        <v>11.001628359111111</v>
      </c>
      <c r="F475" s="12">
        <f t="shared" si="66"/>
        <v>11.001628359111111</v>
      </c>
      <c r="G475" s="12">
        <f t="shared" si="67"/>
        <v>14.40376647111111</v>
      </c>
      <c r="H475" s="12">
        <f t="shared" si="68"/>
        <v>14.40376647111111</v>
      </c>
      <c r="I475" s="1" t="str">
        <f t="shared" si="69"/>
        <v>No</v>
      </c>
      <c r="J475" s="1" t="str">
        <f t="shared" si="70"/>
        <v>Si</v>
      </c>
      <c r="K475" s="1" t="str">
        <f t="shared" si="71"/>
        <v/>
      </c>
    </row>
    <row r="476" spans="1:11" x14ac:dyDescent="0.3">
      <c r="A476" s="1">
        <v>8</v>
      </c>
      <c r="B476" s="1">
        <v>50</v>
      </c>
      <c r="C476" s="12">
        <f t="shared" si="63"/>
        <v>-1.2749999999999999</v>
      </c>
      <c r="D476" s="12">
        <f t="shared" si="64"/>
        <v>1.875</v>
      </c>
      <c r="E476" s="12">
        <f t="shared" si="65"/>
        <v>10.999140266666666</v>
      </c>
      <c r="F476" s="12">
        <f t="shared" si="66"/>
        <v>10.999140266666666</v>
      </c>
      <c r="G476" s="12">
        <f t="shared" si="67"/>
        <v>14.400262115555554</v>
      </c>
      <c r="H476" s="12">
        <f t="shared" si="68"/>
        <v>14.400262115555554</v>
      </c>
      <c r="I476" s="1" t="str">
        <f t="shared" si="69"/>
        <v>No</v>
      </c>
      <c r="J476" s="1" t="str">
        <f t="shared" si="70"/>
        <v>Si</v>
      </c>
      <c r="K476" s="1" t="str">
        <f t="shared" si="71"/>
        <v/>
      </c>
    </row>
    <row r="477" spans="1:11" x14ac:dyDescent="0.3">
      <c r="A477" s="1">
        <v>9</v>
      </c>
      <c r="B477" s="1">
        <v>0</v>
      </c>
      <c r="C477" s="12">
        <f t="shared" si="63"/>
        <v>-1.2</v>
      </c>
      <c r="D477" s="12">
        <f t="shared" si="64"/>
        <v>-1.875</v>
      </c>
      <c r="E477" s="12">
        <f t="shared" si="65"/>
        <v>11.124238933333332</v>
      </c>
      <c r="F477" s="12">
        <f t="shared" si="66"/>
        <v>11.124238933333332</v>
      </c>
      <c r="G477" s="12">
        <f t="shared" si="67"/>
        <v>14.576517546666665</v>
      </c>
      <c r="H477" s="12">
        <f t="shared" si="68"/>
        <v>14.576517546666665</v>
      </c>
      <c r="I477" s="1" t="str">
        <f t="shared" si="69"/>
        <v>No</v>
      </c>
      <c r="J477" s="1" t="str">
        <f t="shared" si="70"/>
        <v>Si</v>
      </c>
      <c r="K477" s="1" t="str">
        <f t="shared" si="71"/>
        <v/>
      </c>
    </row>
    <row r="478" spans="1:11" x14ac:dyDescent="0.3">
      <c r="A478" s="1">
        <v>9</v>
      </c>
      <c r="B478" s="1">
        <v>1</v>
      </c>
      <c r="C478" s="12">
        <f t="shared" si="63"/>
        <v>-1.2</v>
      </c>
      <c r="D478" s="12">
        <f t="shared" si="64"/>
        <v>-1.8</v>
      </c>
      <c r="E478" s="12">
        <f t="shared" si="65"/>
        <v>11.121750840888888</v>
      </c>
      <c r="F478" s="12">
        <f t="shared" si="66"/>
        <v>11.121750840888888</v>
      </c>
      <c r="G478" s="12">
        <f t="shared" si="67"/>
        <v>14.573013191111109</v>
      </c>
      <c r="H478" s="12">
        <f t="shared" si="68"/>
        <v>14.573013191111109</v>
      </c>
      <c r="I478" s="1" t="str">
        <f t="shared" si="69"/>
        <v>No</v>
      </c>
      <c r="J478" s="1" t="str">
        <f t="shared" si="70"/>
        <v>Si</v>
      </c>
      <c r="K478" s="1" t="str">
        <f t="shared" si="71"/>
        <v/>
      </c>
    </row>
    <row r="479" spans="1:11" x14ac:dyDescent="0.3">
      <c r="A479" s="1">
        <v>9</v>
      </c>
      <c r="B479" s="1">
        <v>2</v>
      </c>
      <c r="C479" s="12">
        <f t="shared" si="63"/>
        <v>-1.2</v>
      </c>
      <c r="D479" s="12">
        <f t="shared" si="64"/>
        <v>-1.7250000000000001</v>
      </c>
      <c r="E479" s="12">
        <f t="shared" si="65"/>
        <v>11.119262748444443</v>
      </c>
      <c r="F479" s="12">
        <f t="shared" si="66"/>
        <v>11.119262748444443</v>
      </c>
      <c r="G479" s="12">
        <f t="shared" si="67"/>
        <v>14.569508835555553</v>
      </c>
      <c r="H479" s="12">
        <f t="shared" si="68"/>
        <v>14.569508835555553</v>
      </c>
      <c r="I479" s="1" t="str">
        <f t="shared" si="69"/>
        <v>No</v>
      </c>
      <c r="J479" s="1" t="str">
        <f t="shared" si="70"/>
        <v>Si</v>
      </c>
      <c r="K479" s="1" t="str">
        <f t="shared" si="71"/>
        <v/>
      </c>
    </row>
    <row r="480" spans="1:11" x14ac:dyDescent="0.3">
      <c r="A480" s="1">
        <v>9</v>
      </c>
      <c r="B480" s="1">
        <v>3</v>
      </c>
      <c r="C480" s="12">
        <f t="shared" si="63"/>
        <v>-1.2</v>
      </c>
      <c r="D480" s="12">
        <f t="shared" si="64"/>
        <v>-1.65</v>
      </c>
      <c r="E480" s="12">
        <f t="shared" si="65"/>
        <v>11.116774655999999</v>
      </c>
      <c r="F480" s="12">
        <f t="shared" si="66"/>
        <v>11.116774655999999</v>
      </c>
      <c r="G480" s="12">
        <f t="shared" si="67"/>
        <v>14.566004479999998</v>
      </c>
      <c r="H480" s="12">
        <f t="shared" si="68"/>
        <v>14.566004479999998</v>
      </c>
      <c r="I480" s="1" t="str">
        <f t="shared" si="69"/>
        <v>No</v>
      </c>
      <c r="J480" s="1" t="str">
        <f t="shared" si="70"/>
        <v>Si</v>
      </c>
      <c r="K480" s="1" t="str">
        <f t="shared" si="71"/>
        <v/>
      </c>
    </row>
    <row r="481" spans="1:11" x14ac:dyDescent="0.3">
      <c r="A481" s="1">
        <v>9</v>
      </c>
      <c r="B481" s="1">
        <v>4</v>
      </c>
      <c r="C481" s="12">
        <f t="shared" si="63"/>
        <v>-1.2</v>
      </c>
      <c r="D481" s="12">
        <f t="shared" si="64"/>
        <v>-1.575</v>
      </c>
      <c r="E481" s="12">
        <f t="shared" si="65"/>
        <v>11.114286563555554</v>
      </c>
      <c r="F481" s="12">
        <f t="shared" si="66"/>
        <v>11.114286563555554</v>
      </c>
      <c r="G481" s="12">
        <f t="shared" si="67"/>
        <v>14.562500124444442</v>
      </c>
      <c r="H481" s="12">
        <f t="shared" si="68"/>
        <v>14.562500124444442</v>
      </c>
      <c r="I481" s="1" t="str">
        <f t="shared" si="69"/>
        <v>No</v>
      </c>
      <c r="J481" s="1" t="str">
        <f t="shared" si="70"/>
        <v>Si</v>
      </c>
      <c r="K481" s="1" t="str">
        <f t="shared" si="71"/>
        <v/>
      </c>
    </row>
    <row r="482" spans="1:11" x14ac:dyDescent="0.3">
      <c r="A482" s="1">
        <v>9</v>
      </c>
      <c r="B482" s="1">
        <v>5</v>
      </c>
      <c r="C482" s="12">
        <f t="shared" si="63"/>
        <v>-1.2</v>
      </c>
      <c r="D482" s="12">
        <f t="shared" si="64"/>
        <v>-1.5</v>
      </c>
      <c r="E482" s="12">
        <f t="shared" si="65"/>
        <v>11.11179847111111</v>
      </c>
      <c r="F482" s="12">
        <f t="shared" si="66"/>
        <v>11.11179847111111</v>
      </c>
      <c r="G482" s="12">
        <f t="shared" si="67"/>
        <v>14.558995768888886</v>
      </c>
      <c r="H482" s="12">
        <f t="shared" si="68"/>
        <v>14.558995768888886</v>
      </c>
      <c r="I482" s="1" t="str">
        <f t="shared" si="69"/>
        <v>No</v>
      </c>
      <c r="J482" s="1" t="str">
        <f t="shared" si="70"/>
        <v>Si</v>
      </c>
      <c r="K482" s="1" t="str">
        <f t="shared" si="71"/>
        <v/>
      </c>
    </row>
    <row r="483" spans="1:11" x14ac:dyDescent="0.3">
      <c r="A483" s="1">
        <v>9</v>
      </c>
      <c r="B483" s="1">
        <v>6</v>
      </c>
      <c r="C483" s="12">
        <f t="shared" si="63"/>
        <v>-1.2</v>
      </c>
      <c r="D483" s="12">
        <f t="shared" si="64"/>
        <v>-1.425</v>
      </c>
      <c r="E483" s="12">
        <f t="shared" si="65"/>
        <v>11.109310378666665</v>
      </c>
      <c r="F483" s="12">
        <f t="shared" si="66"/>
        <v>11.109310378666665</v>
      </c>
      <c r="G483" s="12">
        <f t="shared" si="67"/>
        <v>14.555491413333332</v>
      </c>
      <c r="H483" s="12">
        <f t="shared" si="68"/>
        <v>14.555491413333332</v>
      </c>
      <c r="I483" s="1" t="str">
        <f t="shared" si="69"/>
        <v>No</v>
      </c>
      <c r="J483" s="1" t="str">
        <f t="shared" si="70"/>
        <v>Si</v>
      </c>
      <c r="K483" s="1" t="str">
        <f t="shared" si="71"/>
        <v/>
      </c>
    </row>
    <row r="484" spans="1:11" x14ac:dyDescent="0.3">
      <c r="A484" s="1">
        <v>9</v>
      </c>
      <c r="B484" s="1">
        <v>7</v>
      </c>
      <c r="C484" s="12">
        <f t="shared" si="63"/>
        <v>-1.2</v>
      </c>
      <c r="D484" s="12">
        <f t="shared" si="64"/>
        <v>-1.35</v>
      </c>
      <c r="E484" s="12">
        <f t="shared" si="65"/>
        <v>11.106822286222222</v>
      </c>
      <c r="F484" s="12">
        <f t="shared" si="66"/>
        <v>11.106822286222222</v>
      </c>
      <c r="G484" s="12">
        <f t="shared" si="67"/>
        <v>14.551987057777776</v>
      </c>
      <c r="H484" s="12">
        <f t="shared" si="68"/>
        <v>14.551987057777776</v>
      </c>
      <c r="I484" s="1" t="str">
        <f t="shared" si="69"/>
        <v>No</v>
      </c>
      <c r="J484" s="1" t="str">
        <f t="shared" si="70"/>
        <v>Si</v>
      </c>
      <c r="K484" s="1" t="str">
        <f t="shared" si="71"/>
        <v/>
      </c>
    </row>
    <row r="485" spans="1:11" x14ac:dyDescent="0.3">
      <c r="A485" s="1">
        <v>9</v>
      </c>
      <c r="B485" s="1">
        <v>8</v>
      </c>
      <c r="C485" s="12">
        <f t="shared" si="63"/>
        <v>-1.2</v>
      </c>
      <c r="D485" s="12">
        <f t="shared" si="64"/>
        <v>-1.2749999999999999</v>
      </c>
      <c r="E485" s="12">
        <f t="shared" si="65"/>
        <v>11.104334193777778</v>
      </c>
      <c r="F485" s="12">
        <f t="shared" si="66"/>
        <v>11.104334193777778</v>
      </c>
      <c r="G485" s="12">
        <f t="shared" si="67"/>
        <v>14.54848270222222</v>
      </c>
      <c r="H485" s="12">
        <f t="shared" si="68"/>
        <v>14.54848270222222</v>
      </c>
      <c r="I485" s="1" t="str">
        <f t="shared" si="69"/>
        <v>No</v>
      </c>
      <c r="J485" s="1" t="str">
        <f t="shared" si="70"/>
        <v>Si</v>
      </c>
      <c r="K485" s="1" t="str">
        <f t="shared" si="71"/>
        <v/>
      </c>
    </row>
    <row r="486" spans="1:11" x14ac:dyDescent="0.3">
      <c r="A486" s="1">
        <v>9</v>
      </c>
      <c r="B486" s="1">
        <v>9</v>
      </c>
      <c r="C486" s="12">
        <f t="shared" si="63"/>
        <v>-1.2</v>
      </c>
      <c r="D486" s="12">
        <f t="shared" si="64"/>
        <v>-1.2</v>
      </c>
      <c r="E486" s="12">
        <f t="shared" si="65"/>
        <v>11.101846101333333</v>
      </c>
      <c r="F486" s="12">
        <f t="shared" si="66"/>
        <v>11.101846101333333</v>
      </c>
      <c r="G486" s="12">
        <f t="shared" si="67"/>
        <v>14.544978346666664</v>
      </c>
      <c r="H486" s="12">
        <f t="shared" si="68"/>
        <v>14.544978346666664</v>
      </c>
      <c r="I486" s="1" t="str">
        <f t="shared" si="69"/>
        <v>No</v>
      </c>
      <c r="J486" s="1" t="str">
        <f t="shared" si="70"/>
        <v>Si</v>
      </c>
      <c r="K486" s="1" t="str">
        <f t="shared" si="71"/>
        <v/>
      </c>
    </row>
    <row r="487" spans="1:11" x14ac:dyDescent="0.3">
      <c r="A487" s="1">
        <v>9</v>
      </c>
      <c r="B487" s="1">
        <v>10</v>
      </c>
      <c r="C487" s="12">
        <f t="shared" si="63"/>
        <v>-1.2</v>
      </c>
      <c r="D487" s="12">
        <f t="shared" si="64"/>
        <v>-1.125</v>
      </c>
      <c r="E487" s="12">
        <f t="shared" si="65"/>
        <v>11.099358008888888</v>
      </c>
      <c r="F487" s="12">
        <f t="shared" si="66"/>
        <v>11.099358008888888</v>
      </c>
      <c r="G487" s="12">
        <f t="shared" si="67"/>
        <v>14.541473991111109</v>
      </c>
      <c r="H487" s="12">
        <f t="shared" si="68"/>
        <v>14.541473991111109</v>
      </c>
      <c r="I487" s="1" t="str">
        <f t="shared" si="69"/>
        <v>No</v>
      </c>
      <c r="J487" s="1" t="str">
        <f t="shared" si="70"/>
        <v>Si</v>
      </c>
      <c r="K487" s="1" t="str">
        <f t="shared" si="71"/>
        <v/>
      </c>
    </row>
    <row r="488" spans="1:11" x14ac:dyDescent="0.3">
      <c r="A488" s="1">
        <v>9</v>
      </c>
      <c r="B488" s="1">
        <v>11</v>
      </c>
      <c r="C488" s="12">
        <f t="shared" si="63"/>
        <v>-1.2</v>
      </c>
      <c r="D488" s="12">
        <f t="shared" si="64"/>
        <v>-1.05</v>
      </c>
      <c r="E488" s="12">
        <f t="shared" si="65"/>
        <v>11.096869916444444</v>
      </c>
      <c r="F488" s="12">
        <f t="shared" si="66"/>
        <v>11.096869916444444</v>
      </c>
      <c r="G488" s="12">
        <f t="shared" si="67"/>
        <v>14.537969635555553</v>
      </c>
      <c r="H488" s="12">
        <f t="shared" si="68"/>
        <v>14.537969635555553</v>
      </c>
      <c r="I488" s="1" t="str">
        <f t="shared" si="69"/>
        <v>No</v>
      </c>
      <c r="J488" s="1" t="str">
        <f t="shared" si="70"/>
        <v>Si</v>
      </c>
      <c r="K488" s="1" t="str">
        <f t="shared" si="71"/>
        <v/>
      </c>
    </row>
    <row r="489" spans="1:11" x14ac:dyDescent="0.3">
      <c r="A489" s="1">
        <v>9</v>
      </c>
      <c r="B489" s="1">
        <v>12</v>
      </c>
      <c r="C489" s="12">
        <f t="shared" si="63"/>
        <v>-1.2</v>
      </c>
      <c r="D489" s="12">
        <f t="shared" si="64"/>
        <v>-0.97499999999999998</v>
      </c>
      <c r="E489" s="12">
        <f t="shared" si="65"/>
        <v>11.094381823999999</v>
      </c>
      <c r="F489" s="12">
        <f t="shared" si="66"/>
        <v>11.094381823999999</v>
      </c>
      <c r="G489" s="12">
        <f t="shared" si="67"/>
        <v>14.534465279999997</v>
      </c>
      <c r="H489" s="12">
        <f t="shared" si="68"/>
        <v>14.534465279999997</v>
      </c>
      <c r="I489" s="1" t="str">
        <f t="shared" si="69"/>
        <v>No</v>
      </c>
      <c r="J489" s="1" t="str">
        <f t="shared" si="70"/>
        <v>Si</v>
      </c>
      <c r="K489" s="1" t="str">
        <f t="shared" si="71"/>
        <v/>
      </c>
    </row>
    <row r="490" spans="1:11" x14ac:dyDescent="0.3">
      <c r="A490" s="1">
        <v>9</v>
      </c>
      <c r="B490" s="1">
        <v>13</v>
      </c>
      <c r="C490" s="12">
        <f t="shared" si="63"/>
        <v>-1.2</v>
      </c>
      <c r="D490" s="12">
        <f t="shared" si="64"/>
        <v>-0.9</v>
      </c>
      <c r="E490" s="12">
        <f t="shared" si="65"/>
        <v>11.091893731555555</v>
      </c>
      <c r="F490" s="12">
        <f t="shared" si="66"/>
        <v>11.091893731555555</v>
      </c>
      <c r="G490" s="12">
        <f t="shared" si="67"/>
        <v>14.530960924444443</v>
      </c>
      <c r="H490" s="12">
        <f t="shared" si="68"/>
        <v>14.530960924444443</v>
      </c>
      <c r="I490" s="1" t="str">
        <f t="shared" si="69"/>
        <v>No</v>
      </c>
      <c r="J490" s="1" t="str">
        <f t="shared" si="70"/>
        <v>Si</v>
      </c>
      <c r="K490" s="1" t="str">
        <f t="shared" si="71"/>
        <v/>
      </c>
    </row>
    <row r="491" spans="1:11" x14ac:dyDescent="0.3">
      <c r="A491" s="1">
        <v>9</v>
      </c>
      <c r="B491" s="1">
        <v>14</v>
      </c>
      <c r="C491" s="12">
        <f t="shared" si="63"/>
        <v>-1.2</v>
      </c>
      <c r="D491" s="12">
        <f t="shared" si="64"/>
        <v>-0.82499999999999996</v>
      </c>
      <c r="E491" s="12">
        <f t="shared" si="65"/>
        <v>11.08940563911111</v>
      </c>
      <c r="F491" s="12">
        <f t="shared" si="66"/>
        <v>11.08940563911111</v>
      </c>
      <c r="G491" s="12">
        <f t="shared" si="67"/>
        <v>14.527456568888887</v>
      </c>
      <c r="H491" s="12">
        <f t="shared" si="68"/>
        <v>14.527456568888887</v>
      </c>
      <c r="I491" s="1" t="str">
        <f t="shared" si="69"/>
        <v>No</v>
      </c>
      <c r="J491" s="1" t="str">
        <f t="shared" si="70"/>
        <v>Si</v>
      </c>
      <c r="K491" s="1" t="str">
        <f t="shared" si="71"/>
        <v/>
      </c>
    </row>
    <row r="492" spans="1:11" x14ac:dyDescent="0.3">
      <c r="A492" s="1">
        <v>9</v>
      </c>
      <c r="B492" s="1">
        <v>15</v>
      </c>
      <c r="C492" s="12">
        <f t="shared" si="63"/>
        <v>-1.2</v>
      </c>
      <c r="D492" s="12">
        <f t="shared" si="64"/>
        <v>-0.75</v>
      </c>
      <c r="E492" s="12">
        <f t="shared" si="65"/>
        <v>11.086917546666665</v>
      </c>
      <c r="F492" s="12">
        <f t="shared" si="66"/>
        <v>11.086917546666665</v>
      </c>
      <c r="G492" s="12">
        <f t="shared" si="67"/>
        <v>14.523952213333331</v>
      </c>
      <c r="H492" s="12">
        <f t="shared" si="68"/>
        <v>14.523952213333331</v>
      </c>
      <c r="I492" s="1" t="str">
        <f t="shared" si="69"/>
        <v>No</v>
      </c>
      <c r="J492" s="1" t="str">
        <f t="shared" si="70"/>
        <v>Si</v>
      </c>
      <c r="K492" s="1" t="str">
        <f t="shared" si="71"/>
        <v/>
      </c>
    </row>
    <row r="493" spans="1:11" x14ac:dyDescent="0.3">
      <c r="A493" s="1">
        <v>9</v>
      </c>
      <c r="B493" s="1">
        <v>16</v>
      </c>
      <c r="C493" s="12">
        <f t="shared" si="63"/>
        <v>-1.2</v>
      </c>
      <c r="D493" s="12">
        <f t="shared" si="64"/>
        <v>-0.67500000000000004</v>
      </c>
      <c r="E493" s="12">
        <f t="shared" si="65"/>
        <v>11.084429454222221</v>
      </c>
      <c r="F493" s="12">
        <f t="shared" si="66"/>
        <v>11.084429454222221</v>
      </c>
      <c r="G493" s="12">
        <f t="shared" si="67"/>
        <v>14.520447857777775</v>
      </c>
      <c r="H493" s="12">
        <f t="shared" si="68"/>
        <v>14.520447857777775</v>
      </c>
      <c r="I493" s="1" t="str">
        <f t="shared" si="69"/>
        <v>No</v>
      </c>
      <c r="J493" s="1" t="str">
        <f t="shared" si="70"/>
        <v>Si</v>
      </c>
      <c r="K493" s="1" t="str">
        <f t="shared" si="71"/>
        <v/>
      </c>
    </row>
    <row r="494" spans="1:11" x14ac:dyDescent="0.3">
      <c r="A494" s="1">
        <v>9</v>
      </c>
      <c r="B494" s="1">
        <v>17</v>
      </c>
      <c r="C494" s="12">
        <f t="shared" si="63"/>
        <v>-1.2</v>
      </c>
      <c r="D494" s="12">
        <f t="shared" si="64"/>
        <v>-0.60000000000000009</v>
      </c>
      <c r="E494" s="12">
        <f t="shared" si="65"/>
        <v>11.081941361777776</v>
      </c>
      <c r="F494" s="12">
        <f t="shared" si="66"/>
        <v>11.081941361777776</v>
      </c>
      <c r="G494" s="12">
        <f t="shared" si="67"/>
        <v>14.516943502222221</v>
      </c>
      <c r="H494" s="12">
        <f t="shared" si="68"/>
        <v>14.516943502222221</v>
      </c>
      <c r="I494" s="1" t="str">
        <f t="shared" si="69"/>
        <v>No</v>
      </c>
      <c r="J494" s="1" t="str">
        <f t="shared" si="70"/>
        <v>Si</v>
      </c>
      <c r="K494" s="1" t="str">
        <f t="shared" si="71"/>
        <v/>
      </c>
    </row>
    <row r="495" spans="1:11" x14ac:dyDescent="0.3">
      <c r="A495" s="1">
        <v>9</v>
      </c>
      <c r="B495" s="1">
        <v>18</v>
      </c>
      <c r="C495" s="12">
        <f t="shared" si="63"/>
        <v>-1.2</v>
      </c>
      <c r="D495" s="12">
        <f t="shared" si="64"/>
        <v>-0.52499999999999991</v>
      </c>
      <c r="E495" s="12">
        <f t="shared" si="65"/>
        <v>11.079453269333332</v>
      </c>
      <c r="F495" s="12">
        <f t="shared" si="66"/>
        <v>11.079453269333332</v>
      </c>
      <c r="G495" s="12">
        <f t="shared" si="67"/>
        <v>14.513439146666665</v>
      </c>
      <c r="H495" s="12">
        <f t="shared" si="68"/>
        <v>14.513439146666665</v>
      </c>
      <c r="I495" s="1" t="str">
        <f t="shared" si="69"/>
        <v>No</v>
      </c>
      <c r="J495" s="1" t="str">
        <f t="shared" si="70"/>
        <v>Si</v>
      </c>
      <c r="K495" s="1" t="str">
        <f t="shared" si="71"/>
        <v/>
      </c>
    </row>
    <row r="496" spans="1:11" x14ac:dyDescent="0.3">
      <c r="A496" s="1">
        <v>9</v>
      </c>
      <c r="B496" s="1">
        <v>19</v>
      </c>
      <c r="C496" s="12">
        <f t="shared" si="63"/>
        <v>-1.2</v>
      </c>
      <c r="D496" s="12">
        <f t="shared" si="64"/>
        <v>-0.44999999999999996</v>
      </c>
      <c r="E496" s="12">
        <f t="shared" si="65"/>
        <v>11.076965176888889</v>
      </c>
      <c r="F496" s="12">
        <f t="shared" si="66"/>
        <v>11.076965176888889</v>
      </c>
      <c r="G496" s="12">
        <f t="shared" si="67"/>
        <v>14.509934791111109</v>
      </c>
      <c r="H496" s="12">
        <f t="shared" si="68"/>
        <v>14.509934791111109</v>
      </c>
      <c r="I496" s="1" t="str">
        <f t="shared" si="69"/>
        <v>No</v>
      </c>
      <c r="J496" s="1" t="str">
        <f t="shared" si="70"/>
        <v>Si</v>
      </c>
      <c r="K496" s="1" t="str">
        <f t="shared" si="71"/>
        <v/>
      </c>
    </row>
    <row r="497" spans="1:11" x14ac:dyDescent="0.3">
      <c r="A497" s="1">
        <v>9</v>
      </c>
      <c r="B497" s="1">
        <v>20</v>
      </c>
      <c r="C497" s="12">
        <f t="shared" si="63"/>
        <v>-1.2</v>
      </c>
      <c r="D497" s="12">
        <f t="shared" si="64"/>
        <v>-0.375</v>
      </c>
      <c r="E497" s="12">
        <f t="shared" si="65"/>
        <v>11.074477084444444</v>
      </c>
      <c r="F497" s="12">
        <f t="shared" si="66"/>
        <v>11.074477084444444</v>
      </c>
      <c r="G497" s="12">
        <f t="shared" si="67"/>
        <v>14.506430435555554</v>
      </c>
      <c r="H497" s="12">
        <f t="shared" si="68"/>
        <v>14.506430435555554</v>
      </c>
      <c r="I497" s="1" t="str">
        <f t="shared" si="69"/>
        <v>No</v>
      </c>
      <c r="J497" s="1" t="str">
        <f t="shared" si="70"/>
        <v>Si</v>
      </c>
      <c r="K497" s="1" t="str">
        <f t="shared" si="71"/>
        <v/>
      </c>
    </row>
    <row r="498" spans="1:11" x14ac:dyDescent="0.3">
      <c r="A498" s="1">
        <v>9</v>
      </c>
      <c r="B498" s="1">
        <v>21</v>
      </c>
      <c r="C498" s="12">
        <f t="shared" si="63"/>
        <v>-1.2</v>
      </c>
      <c r="D498" s="12">
        <f t="shared" si="64"/>
        <v>-0.30000000000000004</v>
      </c>
      <c r="E498" s="12">
        <f t="shared" si="65"/>
        <v>11.071988992</v>
      </c>
      <c r="F498" s="12">
        <f t="shared" si="66"/>
        <v>11.071988992</v>
      </c>
      <c r="G498" s="12">
        <f t="shared" si="67"/>
        <v>14.502926079999998</v>
      </c>
      <c r="H498" s="12">
        <f t="shared" si="68"/>
        <v>14.502926079999998</v>
      </c>
      <c r="I498" s="1" t="str">
        <f t="shared" si="69"/>
        <v>No</v>
      </c>
      <c r="J498" s="1" t="str">
        <f t="shared" si="70"/>
        <v>Si</v>
      </c>
      <c r="K498" s="1" t="str">
        <f t="shared" si="71"/>
        <v/>
      </c>
    </row>
    <row r="499" spans="1:11" x14ac:dyDescent="0.3">
      <c r="A499" s="1">
        <v>9</v>
      </c>
      <c r="B499" s="1">
        <v>22</v>
      </c>
      <c r="C499" s="12">
        <f t="shared" si="63"/>
        <v>-1.2</v>
      </c>
      <c r="D499" s="12">
        <f t="shared" si="64"/>
        <v>-0.22500000000000009</v>
      </c>
      <c r="E499" s="12">
        <f t="shared" si="65"/>
        <v>11.069500899555555</v>
      </c>
      <c r="F499" s="12">
        <f t="shared" si="66"/>
        <v>11.069500899555555</v>
      </c>
      <c r="G499" s="12">
        <f t="shared" si="67"/>
        <v>14.499421724444442</v>
      </c>
      <c r="H499" s="12">
        <f t="shared" si="68"/>
        <v>14.499421724444442</v>
      </c>
      <c r="I499" s="1" t="str">
        <f t="shared" si="69"/>
        <v>No</v>
      </c>
      <c r="J499" s="1" t="str">
        <f t="shared" si="70"/>
        <v>Si</v>
      </c>
      <c r="K499" s="1" t="str">
        <f t="shared" si="71"/>
        <v/>
      </c>
    </row>
    <row r="500" spans="1:11" x14ac:dyDescent="0.3">
      <c r="A500" s="1">
        <v>9</v>
      </c>
      <c r="B500" s="1">
        <v>23</v>
      </c>
      <c r="C500" s="12">
        <f t="shared" si="63"/>
        <v>-1.2</v>
      </c>
      <c r="D500" s="12">
        <f t="shared" si="64"/>
        <v>-0.14999999999999991</v>
      </c>
      <c r="E500" s="12">
        <f t="shared" si="65"/>
        <v>11.06701280711111</v>
      </c>
      <c r="F500" s="12">
        <f t="shared" si="66"/>
        <v>11.06701280711111</v>
      </c>
      <c r="G500" s="12">
        <f t="shared" si="67"/>
        <v>14.495917368888886</v>
      </c>
      <c r="H500" s="12">
        <f t="shared" si="68"/>
        <v>14.495917368888886</v>
      </c>
      <c r="I500" s="1" t="str">
        <f t="shared" si="69"/>
        <v>No</v>
      </c>
      <c r="J500" s="1" t="str">
        <f t="shared" si="70"/>
        <v>Si</v>
      </c>
      <c r="K500" s="1" t="str">
        <f t="shared" si="71"/>
        <v/>
      </c>
    </row>
    <row r="501" spans="1:11" x14ac:dyDescent="0.3">
      <c r="A501" s="1">
        <v>9</v>
      </c>
      <c r="B501" s="1">
        <v>24</v>
      </c>
      <c r="C501" s="12">
        <f t="shared" si="63"/>
        <v>-1.2</v>
      </c>
      <c r="D501" s="12">
        <f t="shared" si="64"/>
        <v>-7.4999999999999956E-2</v>
      </c>
      <c r="E501" s="12">
        <f t="shared" si="65"/>
        <v>11.064524714666666</v>
      </c>
      <c r="F501" s="12">
        <f t="shared" si="66"/>
        <v>11.064524714666666</v>
      </c>
      <c r="G501" s="12">
        <f t="shared" si="67"/>
        <v>14.492413013333332</v>
      </c>
      <c r="H501" s="12">
        <f t="shared" si="68"/>
        <v>14.492413013333332</v>
      </c>
      <c r="I501" s="1" t="str">
        <f t="shared" si="69"/>
        <v>No</v>
      </c>
      <c r="J501" s="1" t="str">
        <f t="shared" si="70"/>
        <v>Si</v>
      </c>
      <c r="K501" s="1" t="str">
        <f t="shared" si="71"/>
        <v/>
      </c>
    </row>
    <row r="502" spans="1:11" x14ac:dyDescent="0.3">
      <c r="A502" s="1">
        <v>9</v>
      </c>
      <c r="B502" s="1">
        <v>25</v>
      </c>
      <c r="C502" s="12">
        <f t="shared" si="63"/>
        <v>-1.2</v>
      </c>
      <c r="D502" s="12">
        <f t="shared" si="64"/>
        <v>0</v>
      </c>
      <c r="E502" s="12">
        <f t="shared" si="65"/>
        <v>11.062036622222221</v>
      </c>
      <c r="F502" s="12">
        <f t="shared" si="66"/>
        <v>11.062036622222221</v>
      </c>
      <c r="G502" s="12">
        <f t="shared" si="67"/>
        <v>14.488908657777776</v>
      </c>
      <c r="H502" s="12">
        <f t="shared" si="68"/>
        <v>14.488908657777776</v>
      </c>
      <c r="I502" s="1" t="str">
        <f t="shared" si="69"/>
        <v>No</v>
      </c>
      <c r="J502" s="1" t="str">
        <f t="shared" si="70"/>
        <v>Si</v>
      </c>
      <c r="K502" s="1" t="str">
        <f t="shared" si="71"/>
        <v/>
      </c>
    </row>
    <row r="503" spans="1:11" x14ac:dyDescent="0.3">
      <c r="A503" s="1">
        <v>9</v>
      </c>
      <c r="B503" s="1">
        <v>26</v>
      </c>
      <c r="C503" s="12">
        <f t="shared" si="63"/>
        <v>-1.2</v>
      </c>
      <c r="D503" s="12">
        <f t="shared" si="64"/>
        <v>7.4999999999999956E-2</v>
      </c>
      <c r="E503" s="12">
        <f t="shared" si="65"/>
        <v>11.059548529777777</v>
      </c>
      <c r="F503" s="12">
        <f t="shared" si="66"/>
        <v>11.059548529777777</v>
      </c>
      <c r="G503" s="12">
        <f t="shared" si="67"/>
        <v>14.48540430222222</v>
      </c>
      <c r="H503" s="12">
        <f t="shared" si="68"/>
        <v>14.48540430222222</v>
      </c>
      <c r="I503" s="1" t="str">
        <f t="shared" si="69"/>
        <v>No</v>
      </c>
      <c r="J503" s="1" t="str">
        <f t="shared" si="70"/>
        <v>Si</v>
      </c>
      <c r="K503" s="1" t="str">
        <f t="shared" si="71"/>
        <v/>
      </c>
    </row>
    <row r="504" spans="1:11" x14ac:dyDescent="0.3">
      <c r="A504" s="1">
        <v>9</v>
      </c>
      <c r="B504" s="1">
        <v>27</v>
      </c>
      <c r="C504" s="12">
        <f t="shared" si="63"/>
        <v>-1.2</v>
      </c>
      <c r="D504" s="12">
        <f t="shared" si="64"/>
        <v>0.14999999999999991</v>
      </c>
      <c r="E504" s="12">
        <f t="shared" si="65"/>
        <v>11.057060437333332</v>
      </c>
      <c r="F504" s="12">
        <f t="shared" si="66"/>
        <v>11.057060437333332</v>
      </c>
      <c r="G504" s="12">
        <f t="shared" si="67"/>
        <v>14.481899946666665</v>
      </c>
      <c r="H504" s="12">
        <f t="shared" si="68"/>
        <v>14.481899946666665</v>
      </c>
      <c r="I504" s="1" t="str">
        <f t="shared" si="69"/>
        <v>No</v>
      </c>
      <c r="J504" s="1" t="str">
        <f t="shared" si="70"/>
        <v>Si</v>
      </c>
      <c r="K504" s="1" t="str">
        <f t="shared" si="71"/>
        <v/>
      </c>
    </row>
    <row r="505" spans="1:11" x14ac:dyDescent="0.3">
      <c r="A505" s="1">
        <v>9</v>
      </c>
      <c r="B505" s="1">
        <v>28</v>
      </c>
      <c r="C505" s="12">
        <f t="shared" si="63"/>
        <v>-1.2</v>
      </c>
      <c r="D505" s="12">
        <f t="shared" si="64"/>
        <v>0.22500000000000009</v>
      </c>
      <c r="E505" s="12">
        <f t="shared" si="65"/>
        <v>11.054572344888888</v>
      </c>
      <c r="F505" s="12">
        <f t="shared" si="66"/>
        <v>11.054572344888888</v>
      </c>
      <c r="G505" s="12">
        <f t="shared" si="67"/>
        <v>14.478395591111109</v>
      </c>
      <c r="H505" s="12">
        <f t="shared" si="68"/>
        <v>14.478395591111109</v>
      </c>
      <c r="I505" s="1" t="str">
        <f t="shared" si="69"/>
        <v>No</v>
      </c>
      <c r="J505" s="1" t="str">
        <f t="shared" si="70"/>
        <v>Si</v>
      </c>
      <c r="K505" s="1" t="str">
        <f t="shared" si="71"/>
        <v/>
      </c>
    </row>
    <row r="506" spans="1:11" x14ac:dyDescent="0.3">
      <c r="A506" s="1">
        <v>9</v>
      </c>
      <c r="B506" s="1">
        <v>29</v>
      </c>
      <c r="C506" s="12">
        <f t="shared" si="63"/>
        <v>-1.2</v>
      </c>
      <c r="D506" s="12">
        <f t="shared" si="64"/>
        <v>0.29999999999999982</v>
      </c>
      <c r="E506" s="12">
        <f t="shared" si="65"/>
        <v>11.052084252444443</v>
      </c>
      <c r="F506" s="12">
        <f t="shared" si="66"/>
        <v>11.052084252444443</v>
      </c>
      <c r="G506" s="12">
        <f t="shared" si="67"/>
        <v>14.474891235555553</v>
      </c>
      <c r="H506" s="12">
        <f t="shared" si="68"/>
        <v>14.474891235555553</v>
      </c>
      <c r="I506" s="1" t="str">
        <f t="shared" si="69"/>
        <v>No</v>
      </c>
      <c r="J506" s="1" t="str">
        <f t="shared" si="70"/>
        <v>Si</v>
      </c>
      <c r="K506" s="1" t="str">
        <f t="shared" si="71"/>
        <v/>
      </c>
    </row>
    <row r="507" spans="1:11" x14ac:dyDescent="0.3">
      <c r="A507" s="1">
        <v>9</v>
      </c>
      <c r="B507" s="1">
        <v>30</v>
      </c>
      <c r="C507" s="12">
        <f t="shared" si="63"/>
        <v>-1.2</v>
      </c>
      <c r="D507" s="12">
        <f t="shared" si="64"/>
        <v>0.375</v>
      </c>
      <c r="E507" s="12">
        <f t="shared" si="65"/>
        <v>11.049596159999998</v>
      </c>
      <c r="F507" s="12">
        <f t="shared" si="66"/>
        <v>11.049596159999998</v>
      </c>
      <c r="G507" s="12">
        <f t="shared" si="67"/>
        <v>14.471386879999997</v>
      </c>
      <c r="H507" s="12">
        <f t="shared" si="68"/>
        <v>14.471386879999997</v>
      </c>
      <c r="I507" s="1" t="str">
        <f t="shared" si="69"/>
        <v>No</v>
      </c>
      <c r="J507" s="1" t="str">
        <f t="shared" si="70"/>
        <v>Si</v>
      </c>
      <c r="K507" s="1" t="str">
        <f t="shared" si="71"/>
        <v/>
      </c>
    </row>
    <row r="508" spans="1:11" x14ac:dyDescent="0.3">
      <c r="A508" s="1">
        <v>9</v>
      </c>
      <c r="B508" s="1">
        <v>31</v>
      </c>
      <c r="C508" s="12">
        <f t="shared" si="63"/>
        <v>-1.2</v>
      </c>
      <c r="D508" s="12">
        <f t="shared" si="64"/>
        <v>0.45000000000000018</v>
      </c>
      <c r="E508" s="12">
        <f t="shared" si="65"/>
        <v>11.047108067555554</v>
      </c>
      <c r="F508" s="12">
        <f t="shared" si="66"/>
        <v>11.047108067555554</v>
      </c>
      <c r="G508" s="12">
        <f t="shared" si="67"/>
        <v>14.467882524444443</v>
      </c>
      <c r="H508" s="12">
        <f t="shared" si="68"/>
        <v>14.467882524444443</v>
      </c>
      <c r="I508" s="1" t="str">
        <f t="shared" si="69"/>
        <v>No</v>
      </c>
      <c r="J508" s="1" t="str">
        <f t="shared" si="70"/>
        <v>Si</v>
      </c>
      <c r="K508" s="1" t="str">
        <f t="shared" si="71"/>
        <v/>
      </c>
    </row>
    <row r="509" spans="1:11" x14ac:dyDescent="0.3">
      <c r="A509" s="1">
        <v>9</v>
      </c>
      <c r="B509" s="1">
        <v>32</v>
      </c>
      <c r="C509" s="12">
        <f t="shared" si="63"/>
        <v>-1.2</v>
      </c>
      <c r="D509" s="12">
        <f t="shared" si="64"/>
        <v>0.52499999999999991</v>
      </c>
      <c r="E509" s="12">
        <f t="shared" si="65"/>
        <v>11.044619975111111</v>
      </c>
      <c r="F509" s="12">
        <f t="shared" si="66"/>
        <v>11.044619975111111</v>
      </c>
      <c r="G509" s="12">
        <f t="shared" si="67"/>
        <v>14.464378168888887</v>
      </c>
      <c r="H509" s="12">
        <f t="shared" si="68"/>
        <v>14.464378168888887</v>
      </c>
      <c r="I509" s="1" t="str">
        <f t="shared" si="69"/>
        <v>No</v>
      </c>
      <c r="J509" s="1" t="str">
        <f t="shared" si="70"/>
        <v>Si</v>
      </c>
      <c r="K509" s="1" t="str">
        <f t="shared" si="71"/>
        <v/>
      </c>
    </row>
    <row r="510" spans="1:11" x14ac:dyDescent="0.3">
      <c r="A510" s="1">
        <v>9</v>
      </c>
      <c r="B510" s="1">
        <v>33</v>
      </c>
      <c r="C510" s="12">
        <f t="shared" si="63"/>
        <v>-1.2</v>
      </c>
      <c r="D510" s="12">
        <f t="shared" si="64"/>
        <v>0.60000000000000009</v>
      </c>
      <c r="E510" s="12">
        <f t="shared" si="65"/>
        <v>11.042131882666666</v>
      </c>
      <c r="F510" s="12">
        <f t="shared" si="66"/>
        <v>11.042131882666666</v>
      </c>
      <c r="G510" s="12">
        <f t="shared" si="67"/>
        <v>14.460873813333331</v>
      </c>
      <c r="H510" s="12">
        <f t="shared" si="68"/>
        <v>14.460873813333331</v>
      </c>
      <c r="I510" s="1" t="str">
        <f t="shared" si="69"/>
        <v>No</v>
      </c>
      <c r="J510" s="1" t="str">
        <f t="shared" si="70"/>
        <v>Si</v>
      </c>
      <c r="K510" s="1" t="str">
        <f t="shared" si="71"/>
        <v/>
      </c>
    </row>
    <row r="511" spans="1:11" x14ac:dyDescent="0.3">
      <c r="A511" s="1">
        <v>9</v>
      </c>
      <c r="B511" s="1">
        <v>34</v>
      </c>
      <c r="C511" s="12">
        <f t="shared" si="63"/>
        <v>-1.2</v>
      </c>
      <c r="D511" s="12">
        <f t="shared" si="64"/>
        <v>0.67499999999999982</v>
      </c>
      <c r="E511" s="12">
        <f t="shared" si="65"/>
        <v>11.039643790222222</v>
      </c>
      <c r="F511" s="12">
        <f t="shared" si="66"/>
        <v>11.039643790222222</v>
      </c>
      <c r="G511" s="12">
        <f t="shared" si="67"/>
        <v>14.457369457777776</v>
      </c>
      <c r="H511" s="12">
        <f t="shared" si="68"/>
        <v>14.457369457777776</v>
      </c>
      <c r="I511" s="1" t="str">
        <f t="shared" si="69"/>
        <v>No</v>
      </c>
      <c r="J511" s="1" t="str">
        <f t="shared" si="70"/>
        <v>Si</v>
      </c>
      <c r="K511" s="1" t="str">
        <f t="shared" si="71"/>
        <v/>
      </c>
    </row>
    <row r="512" spans="1:11" x14ac:dyDescent="0.3">
      <c r="A512" s="1">
        <v>9</v>
      </c>
      <c r="B512" s="1">
        <v>35</v>
      </c>
      <c r="C512" s="12">
        <f t="shared" si="63"/>
        <v>-1.2</v>
      </c>
      <c r="D512" s="12">
        <f t="shared" si="64"/>
        <v>0.75</v>
      </c>
      <c r="E512" s="12">
        <f t="shared" si="65"/>
        <v>11.037155697777777</v>
      </c>
      <c r="F512" s="12">
        <f t="shared" si="66"/>
        <v>11.037155697777777</v>
      </c>
      <c r="G512" s="12">
        <f t="shared" si="67"/>
        <v>14.45386510222222</v>
      </c>
      <c r="H512" s="12">
        <f t="shared" si="68"/>
        <v>14.45386510222222</v>
      </c>
      <c r="I512" s="1" t="str">
        <f t="shared" si="69"/>
        <v>No</v>
      </c>
      <c r="J512" s="1" t="str">
        <f t="shared" si="70"/>
        <v>Si</v>
      </c>
      <c r="K512" s="1" t="str">
        <f t="shared" si="71"/>
        <v/>
      </c>
    </row>
    <row r="513" spans="1:11" x14ac:dyDescent="0.3">
      <c r="A513" s="1">
        <v>9</v>
      </c>
      <c r="B513" s="1">
        <v>36</v>
      </c>
      <c r="C513" s="12">
        <f t="shared" si="63"/>
        <v>-1.2</v>
      </c>
      <c r="D513" s="12">
        <f t="shared" si="64"/>
        <v>0.82500000000000018</v>
      </c>
      <c r="E513" s="12">
        <f t="shared" si="65"/>
        <v>11.034667605333333</v>
      </c>
      <c r="F513" s="12">
        <f t="shared" si="66"/>
        <v>11.034667605333333</v>
      </c>
      <c r="G513" s="12">
        <f t="shared" si="67"/>
        <v>14.450360746666664</v>
      </c>
      <c r="H513" s="12">
        <f t="shared" si="68"/>
        <v>14.450360746666664</v>
      </c>
      <c r="I513" s="1" t="str">
        <f t="shared" si="69"/>
        <v>No</v>
      </c>
      <c r="J513" s="1" t="str">
        <f t="shared" si="70"/>
        <v>Si</v>
      </c>
      <c r="K513" s="1" t="str">
        <f t="shared" si="71"/>
        <v/>
      </c>
    </row>
    <row r="514" spans="1:11" x14ac:dyDescent="0.3">
      <c r="A514" s="1">
        <v>9</v>
      </c>
      <c r="B514" s="1">
        <v>37</v>
      </c>
      <c r="C514" s="12">
        <f t="shared" si="63"/>
        <v>-1.2</v>
      </c>
      <c r="D514" s="12">
        <f t="shared" si="64"/>
        <v>0.89999999999999991</v>
      </c>
      <c r="E514" s="12">
        <f t="shared" si="65"/>
        <v>11.032179512888888</v>
      </c>
      <c r="F514" s="12">
        <f t="shared" si="66"/>
        <v>11.032179512888888</v>
      </c>
      <c r="G514" s="12">
        <f t="shared" si="67"/>
        <v>14.446856391111108</v>
      </c>
      <c r="H514" s="12">
        <f t="shared" si="68"/>
        <v>14.446856391111108</v>
      </c>
      <c r="I514" s="1" t="str">
        <f t="shared" si="69"/>
        <v>No</v>
      </c>
      <c r="J514" s="1" t="str">
        <f t="shared" si="70"/>
        <v>Si</v>
      </c>
      <c r="K514" s="1" t="str">
        <f t="shared" si="71"/>
        <v/>
      </c>
    </row>
    <row r="515" spans="1:11" x14ac:dyDescent="0.3">
      <c r="A515" s="1">
        <v>9</v>
      </c>
      <c r="B515" s="1">
        <v>38</v>
      </c>
      <c r="C515" s="12">
        <f t="shared" si="63"/>
        <v>-1.2</v>
      </c>
      <c r="D515" s="12">
        <f t="shared" si="64"/>
        <v>0.97500000000000009</v>
      </c>
      <c r="E515" s="12">
        <f t="shared" si="65"/>
        <v>11.029691420444443</v>
      </c>
      <c r="F515" s="12">
        <f t="shared" si="66"/>
        <v>11.029691420444443</v>
      </c>
      <c r="G515" s="12">
        <f t="shared" si="67"/>
        <v>14.443352035555554</v>
      </c>
      <c r="H515" s="12">
        <f t="shared" si="68"/>
        <v>14.443352035555554</v>
      </c>
      <c r="I515" s="1" t="str">
        <f t="shared" si="69"/>
        <v>No</v>
      </c>
      <c r="J515" s="1" t="str">
        <f t="shared" si="70"/>
        <v>Si</v>
      </c>
      <c r="K515" s="1" t="str">
        <f t="shared" si="71"/>
        <v/>
      </c>
    </row>
    <row r="516" spans="1:11" x14ac:dyDescent="0.3">
      <c r="A516" s="1">
        <v>9</v>
      </c>
      <c r="B516" s="1">
        <v>39</v>
      </c>
      <c r="C516" s="12">
        <f t="shared" si="63"/>
        <v>-1.2</v>
      </c>
      <c r="D516" s="12">
        <f t="shared" si="64"/>
        <v>1.0499999999999998</v>
      </c>
      <c r="E516" s="12">
        <f t="shared" si="65"/>
        <v>11.027203327999999</v>
      </c>
      <c r="F516" s="12">
        <f t="shared" si="66"/>
        <v>11.027203327999999</v>
      </c>
      <c r="G516" s="12">
        <f t="shared" si="67"/>
        <v>14.439847679999998</v>
      </c>
      <c r="H516" s="12">
        <f t="shared" si="68"/>
        <v>14.439847679999998</v>
      </c>
      <c r="I516" s="1" t="str">
        <f t="shared" si="69"/>
        <v>No</v>
      </c>
      <c r="J516" s="1" t="str">
        <f t="shared" si="70"/>
        <v>Si</v>
      </c>
      <c r="K516" s="1" t="str">
        <f t="shared" si="71"/>
        <v/>
      </c>
    </row>
    <row r="517" spans="1:11" x14ac:dyDescent="0.3">
      <c r="A517" s="1">
        <v>9</v>
      </c>
      <c r="B517" s="1">
        <v>40</v>
      </c>
      <c r="C517" s="12">
        <f t="shared" si="63"/>
        <v>-1.2</v>
      </c>
      <c r="D517" s="12">
        <f t="shared" si="64"/>
        <v>1.125</v>
      </c>
      <c r="E517" s="12">
        <f t="shared" si="65"/>
        <v>11.024715235555554</v>
      </c>
      <c r="F517" s="12">
        <f t="shared" si="66"/>
        <v>11.024715235555554</v>
      </c>
      <c r="G517" s="12">
        <f t="shared" si="67"/>
        <v>14.436343324444442</v>
      </c>
      <c r="H517" s="12">
        <f t="shared" si="68"/>
        <v>14.436343324444442</v>
      </c>
      <c r="I517" s="1" t="str">
        <f t="shared" si="69"/>
        <v>No</v>
      </c>
      <c r="J517" s="1" t="str">
        <f t="shared" si="70"/>
        <v>Si</v>
      </c>
      <c r="K517" s="1" t="str">
        <f t="shared" si="71"/>
        <v/>
      </c>
    </row>
    <row r="518" spans="1:11" x14ac:dyDescent="0.3">
      <c r="A518" s="1">
        <v>9</v>
      </c>
      <c r="B518" s="1">
        <v>41</v>
      </c>
      <c r="C518" s="12">
        <f t="shared" si="63"/>
        <v>-1.2</v>
      </c>
      <c r="D518" s="12">
        <f t="shared" si="64"/>
        <v>1.2000000000000002</v>
      </c>
      <c r="E518" s="12">
        <f t="shared" si="65"/>
        <v>11.02222714311111</v>
      </c>
      <c r="F518" s="12">
        <f t="shared" si="66"/>
        <v>11.02222714311111</v>
      </c>
      <c r="G518" s="12">
        <f t="shared" si="67"/>
        <v>14.432838968888888</v>
      </c>
      <c r="H518" s="12">
        <f t="shared" si="68"/>
        <v>14.432838968888888</v>
      </c>
      <c r="I518" s="1" t="str">
        <f t="shared" si="69"/>
        <v>No</v>
      </c>
      <c r="J518" s="1" t="str">
        <f t="shared" si="70"/>
        <v>Si</v>
      </c>
      <c r="K518" s="1" t="str">
        <f t="shared" si="71"/>
        <v/>
      </c>
    </row>
    <row r="519" spans="1:11" x14ac:dyDescent="0.3">
      <c r="A519" s="1">
        <v>9</v>
      </c>
      <c r="B519" s="1">
        <v>42</v>
      </c>
      <c r="C519" s="12">
        <f t="shared" si="63"/>
        <v>-1.2</v>
      </c>
      <c r="D519" s="12">
        <f t="shared" si="64"/>
        <v>1.2749999999999999</v>
      </c>
      <c r="E519" s="12">
        <f t="shared" si="65"/>
        <v>11.019739050666665</v>
      </c>
      <c r="F519" s="12">
        <f t="shared" si="66"/>
        <v>11.019739050666665</v>
      </c>
      <c r="G519" s="12">
        <f t="shared" si="67"/>
        <v>14.429334613333332</v>
      </c>
      <c r="H519" s="12">
        <f t="shared" si="68"/>
        <v>14.429334613333332</v>
      </c>
      <c r="I519" s="1" t="str">
        <f t="shared" si="69"/>
        <v>No</v>
      </c>
      <c r="J519" s="1" t="str">
        <f t="shared" si="70"/>
        <v>Si</v>
      </c>
      <c r="K519" s="1" t="str">
        <f t="shared" si="71"/>
        <v/>
      </c>
    </row>
    <row r="520" spans="1:11" x14ac:dyDescent="0.3">
      <c r="A520" s="1">
        <v>9</v>
      </c>
      <c r="B520" s="1">
        <v>43</v>
      </c>
      <c r="C520" s="12">
        <f t="shared" si="63"/>
        <v>-1.2</v>
      </c>
      <c r="D520" s="12">
        <f t="shared" si="64"/>
        <v>1.35</v>
      </c>
      <c r="E520" s="12">
        <f t="shared" si="65"/>
        <v>11.01725095822222</v>
      </c>
      <c r="F520" s="12">
        <f t="shared" si="66"/>
        <v>11.01725095822222</v>
      </c>
      <c r="G520" s="12">
        <f t="shared" si="67"/>
        <v>14.425830257777776</v>
      </c>
      <c r="H520" s="12">
        <f t="shared" si="68"/>
        <v>14.425830257777776</v>
      </c>
      <c r="I520" s="1" t="str">
        <f t="shared" si="69"/>
        <v>No</v>
      </c>
      <c r="J520" s="1" t="str">
        <f t="shared" si="70"/>
        <v>Si</v>
      </c>
      <c r="K520" s="1" t="str">
        <f t="shared" si="71"/>
        <v/>
      </c>
    </row>
    <row r="521" spans="1:11" x14ac:dyDescent="0.3">
      <c r="A521" s="1">
        <v>9</v>
      </c>
      <c r="B521" s="1">
        <v>44</v>
      </c>
      <c r="C521" s="12">
        <f t="shared" si="63"/>
        <v>-1.2</v>
      </c>
      <c r="D521" s="12">
        <f t="shared" si="64"/>
        <v>1.4249999999999998</v>
      </c>
      <c r="E521" s="12">
        <f t="shared" si="65"/>
        <v>11.014762865777778</v>
      </c>
      <c r="F521" s="12">
        <f t="shared" si="66"/>
        <v>11.014762865777778</v>
      </c>
      <c r="G521" s="12">
        <f t="shared" si="67"/>
        <v>14.422325902222219</v>
      </c>
      <c r="H521" s="12">
        <f t="shared" si="68"/>
        <v>14.422325902222219</v>
      </c>
      <c r="I521" s="1" t="str">
        <f t="shared" si="69"/>
        <v>No</v>
      </c>
      <c r="J521" s="1" t="str">
        <f t="shared" si="70"/>
        <v>Si</v>
      </c>
      <c r="K521" s="1" t="str">
        <f t="shared" si="71"/>
        <v/>
      </c>
    </row>
    <row r="522" spans="1:11" x14ac:dyDescent="0.3">
      <c r="A522" s="1">
        <v>9</v>
      </c>
      <c r="B522" s="1">
        <v>45</v>
      </c>
      <c r="C522" s="12">
        <f t="shared" si="63"/>
        <v>-1.2</v>
      </c>
      <c r="D522" s="12">
        <f t="shared" si="64"/>
        <v>1.5</v>
      </c>
      <c r="E522" s="12">
        <f t="shared" si="65"/>
        <v>11.012274773333333</v>
      </c>
      <c r="F522" s="12">
        <f t="shared" si="66"/>
        <v>11.012274773333333</v>
      </c>
      <c r="G522" s="12">
        <f t="shared" si="67"/>
        <v>14.418821546666665</v>
      </c>
      <c r="H522" s="12">
        <f t="shared" si="68"/>
        <v>14.418821546666665</v>
      </c>
      <c r="I522" s="1" t="str">
        <f t="shared" si="69"/>
        <v>No</v>
      </c>
      <c r="J522" s="1" t="str">
        <f t="shared" si="70"/>
        <v>Si</v>
      </c>
      <c r="K522" s="1" t="str">
        <f t="shared" si="71"/>
        <v/>
      </c>
    </row>
    <row r="523" spans="1:11" x14ac:dyDescent="0.3">
      <c r="A523" s="1">
        <v>9</v>
      </c>
      <c r="B523" s="1">
        <v>46</v>
      </c>
      <c r="C523" s="12">
        <f t="shared" si="63"/>
        <v>-1.2</v>
      </c>
      <c r="D523" s="12">
        <f t="shared" si="64"/>
        <v>1.5750000000000002</v>
      </c>
      <c r="E523" s="12">
        <f t="shared" si="65"/>
        <v>11.009786680888888</v>
      </c>
      <c r="F523" s="12">
        <f t="shared" si="66"/>
        <v>11.009786680888888</v>
      </c>
      <c r="G523" s="12">
        <f t="shared" si="67"/>
        <v>14.415317191111109</v>
      </c>
      <c r="H523" s="12">
        <f t="shared" si="68"/>
        <v>14.415317191111109</v>
      </c>
      <c r="I523" s="1" t="str">
        <f t="shared" si="69"/>
        <v>No</v>
      </c>
      <c r="J523" s="1" t="str">
        <f t="shared" si="70"/>
        <v>Si</v>
      </c>
      <c r="K523" s="1" t="str">
        <f t="shared" si="71"/>
        <v/>
      </c>
    </row>
    <row r="524" spans="1:11" x14ac:dyDescent="0.3">
      <c r="A524" s="1">
        <v>9</v>
      </c>
      <c r="B524" s="1">
        <v>47</v>
      </c>
      <c r="C524" s="12">
        <f t="shared" si="63"/>
        <v>-1.2</v>
      </c>
      <c r="D524" s="12">
        <f t="shared" si="64"/>
        <v>1.65</v>
      </c>
      <c r="E524" s="12">
        <f t="shared" si="65"/>
        <v>11.007298588444444</v>
      </c>
      <c r="F524" s="12">
        <f t="shared" si="66"/>
        <v>11.007298588444444</v>
      </c>
      <c r="G524" s="12">
        <f t="shared" si="67"/>
        <v>14.411812835555553</v>
      </c>
      <c r="H524" s="12">
        <f t="shared" si="68"/>
        <v>14.411812835555553</v>
      </c>
      <c r="I524" s="1" t="str">
        <f t="shared" si="69"/>
        <v>No</v>
      </c>
      <c r="J524" s="1" t="str">
        <f t="shared" si="70"/>
        <v>Si</v>
      </c>
      <c r="K524" s="1" t="str">
        <f t="shared" si="71"/>
        <v/>
      </c>
    </row>
    <row r="525" spans="1:11" x14ac:dyDescent="0.3">
      <c r="A525" s="1">
        <v>9</v>
      </c>
      <c r="B525" s="1">
        <v>48</v>
      </c>
      <c r="C525" s="12">
        <f t="shared" si="63"/>
        <v>-1.2</v>
      </c>
      <c r="D525" s="12">
        <f t="shared" si="64"/>
        <v>1.7250000000000001</v>
      </c>
      <c r="E525" s="12">
        <f t="shared" si="65"/>
        <v>11.004810495999999</v>
      </c>
      <c r="F525" s="12">
        <f t="shared" si="66"/>
        <v>11.004810495999999</v>
      </c>
      <c r="G525" s="12">
        <f t="shared" si="67"/>
        <v>14.408308479999999</v>
      </c>
      <c r="H525" s="12">
        <f t="shared" si="68"/>
        <v>14.408308479999999</v>
      </c>
      <c r="I525" s="1" t="str">
        <f t="shared" si="69"/>
        <v>No</v>
      </c>
      <c r="J525" s="1" t="str">
        <f t="shared" si="70"/>
        <v>Si</v>
      </c>
      <c r="K525" s="1" t="str">
        <f t="shared" si="71"/>
        <v/>
      </c>
    </row>
    <row r="526" spans="1:11" x14ac:dyDescent="0.3">
      <c r="A526" s="1">
        <v>9</v>
      </c>
      <c r="B526" s="1">
        <v>49</v>
      </c>
      <c r="C526" s="12">
        <f t="shared" si="63"/>
        <v>-1.2</v>
      </c>
      <c r="D526" s="12">
        <f t="shared" si="64"/>
        <v>1.7999999999999998</v>
      </c>
      <c r="E526" s="12">
        <f t="shared" si="65"/>
        <v>11.002322403555555</v>
      </c>
      <c r="F526" s="12">
        <f t="shared" si="66"/>
        <v>11.002322403555555</v>
      </c>
      <c r="G526" s="12">
        <f t="shared" si="67"/>
        <v>14.404804124444443</v>
      </c>
      <c r="H526" s="12">
        <f t="shared" si="68"/>
        <v>14.404804124444443</v>
      </c>
      <c r="I526" s="1" t="str">
        <f t="shared" si="69"/>
        <v>No</v>
      </c>
      <c r="J526" s="1" t="str">
        <f t="shared" si="70"/>
        <v>Si</v>
      </c>
      <c r="K526" s="1" t="str">
        <f t="shared" si="71"/>
        <v/>
      </c>
    </row>
    <row r="527" spans="1:11" x14ac:dyDescent="0.3">
      <c r="A527" s="1">
        <v>9</v>
      </c>
      <c r="B527" s="1">
        <v>50</v>
      </c>
      <c r="C527" s="12">
        <f t="shared" si="63"/>
        <v>-1.2</v>
      </c>
      <c r="D527" s="12">
        <f t="shared" si="64"/>
        <v>1.875</v>
      </c>
      <c r="E527" s="12">
        <f t="shared" si="65"/>
        <v>10.99983431111111</v>
      </c>
      <c r="F527" s="12">
        <f t="shared" si="66"/>
        <v>10.99983431111111</v>
      </c>
      <c r="G527" s="12">
        <f t="shared" si="67"/>
        <v>14.401299768888887</v>
      </c>
      <c r="H527" s="12">
        <f t="shared" si="68"/>
        <v>14.401299768888887</v>
      </c>
      <c r="I527" s="1" t="str">
        <f t="shared" si="69"/>
        <v>No</v>
      </c>
      <c r="J527" s="1" t="str">
        <f t="shared" si="70"/>
        <v>Si</v>
      </c>
      <c r="K527" s="1" t="str">
        <f t="shared" si="71"/>
        <v/>
      </c>
    </row>
    <row r="528" spans="1:11" x14ac:dyDescent="0.3">
      <c r="A528" s="1">
        <v>10</v>
      </c>
      <c r="B528" s="1">
        <v>0</v>
      </c>
      <c r="C528" s="12">
        <f t="shared" si="63"/>
        <v>-1.125</v>
      </c>
      <c r="D528" s="12">
        <f t="shared" si="64"/>
        <v>-1.875</v>
      </c>
      <c r="E528" s="12">
        <f t="shared" si="65"/>
        <v>11.124932977777776</v>
      </c>
      <c r="F528" s="12">
        <f t="shared" si="66"/>
        <v>11.124932977777776</v>
      </c>
      <c r="G528" s="12">
        <f t="shared" si="67"/>
        <v>14.577555199999999</v>
      </c>
      <c r="H528" s="12">
        <f t="shared" si="68"/>
        <v>14.577555199999999</v>
      </c>
      <c r="I528" s="1" t="str">
        <f t="shared" si="69"/>
        <v>No</v>
      </c>
      <c r="J528" s="1" t="str">
        <f t="shared" si="70"/>
        <v>Si</v>
      </c>
      <c r="K528" s="1" t="str">
        <f t="shared" si="71"/>
        <v/>
      </c>
    </row>
    <row r="529" spans="1:11" x14ac:dyDescent="0.3">
      <c r="A529" s="1">
        <v>10</v>
      </c>
      <c r="B529" s="1">
        <v>1</v>
      </c>
      <c r="C529" s="12">
        <f t="shared" si="63"/>
        <v>-1.125</v>
      </c>
      <c r="D529" s="12">
        <f t="shared" si="64"/>
        <v>-1.8</v>
      </c>
      <c r="E529" s="12">
        <f t="shared" si="65"/>
        <v>11.122444885333332</v>
      </c>
      <c r="F529" s="12">
        <f t="shared" si="66"/>
        <v>11.122444885333332</v>
      </c>
      <c r="G529" s="12">
        <f t="shared" si="67"/>
        <v>14.574050844444443</v>
      </c>
      <c r="H529" s="12">
        <f t="shared" si="68"/>
        <v>14.574050844444443</v>
      </c>
      <c r="I529" s="1" t="str">
        <f t="shared" si="69"/>
        <v>No</v>
      </c>
      <c r="J529" s="1" t="str">
        <f t="shared" si="70"/>
        <v>Si</v>
      </c>
      <c r="K529" s="1" t="str">
        <f t="shared" si="71"/>
        <v/>
      </c>
    </row>
    <row r="530" spans="1:11" x14ac:dyDescent="0.3">
      <c r="A530" s="1">
        <v>10</v>
      </c>
      <c r="B530" s="1">
        <v>2</v>
      </c>
      <c r="C530" s="12">
        <f t="shared" ref="C530:C593" si="72">IF(OR(A530&gt;inp_n_div_x,B530&gt;inp_n_div_y),"",-inp_bx/2+A530*inp_bx/inp_n_div_x)</f>
        <v>-1.125</v>
      </c>
      <c r="D530" s="12">
        <f t="shared" ref="D530:D593" si="73">IF(C530="","",-inp_by/2+B530*inp_by/inp_n_div_y)</f>
        <v>-1.7250000000000001</v>
      </c>
      <c r="E530" s="12">
        <f t="shared" ref="E530:E593" si="74">IF(C530="","",res_srv_p_tot/geo_area+res_srv_mx_tot/geo_ix*D530+res_srv_my_tot/geo_iy*C530)</f>
        <v>11.119956792888887</v>
      </c>
      <c r="F530" s="12">
        <f t="shared" ref="F530:F593" si="75">IF(E530="","",MAX(0,E530))</f>
        <v>11.119956792888887</v>
      </c>
      <c r="G530" s="12">
        <f t="shared" ref="G530:G593" si="76">IF(C530="","",res_u_p_tot/geo_area+res_u_mx_tot/geo_ix*D530+res_u_my_tot/geo_iy*C530)</f>
        <v>14.570546488888887</v>
      </c>
      <c r="H530" s="12">
        <f t="shared" ref="H530:H593" si="77">IF(G530="","",MAX(0,G530))</f>
        <v>14.570546488888887</v>
      </c>
      <c r="I530" s="1" t="str">
        <f t="shared" ref="I530:I593" si="78">IF(C530="","",IF(AND(C530&gt;=inp_xc-inp_cx/2,C530&lt;=inp_xc+inp_cx/2,D530&gt;=inp_yc-inp_cy/2,D530&lt;=inp_yc+inp_cy/2),"Si","No"))</f>
        <v>No</v>
      </c>
      <c r="J530" s="1" t="str">
        <f t="shared" ref="J530:J593" si="79">IF(C530="","","Si")</f>
        <v>Si</v>
      </c>
      <c r="K530" s="1" t="str">
        <f t="shared" ref="K530:K593" si="80">IF(OR(E530&lt;0,G530&lt;0),"Presion negativa","")</f>
        <v/>
      </c>
    </row>
    <row r="531" spans="1:11" x14ac:dyDescent="0.3">
      <c r="A531" s="1">
        <v>10</v>
      </c>
      <c r="B531" s="1">
        <v>3</v>
      </c>
      <c r="C531" s="12">
        <f t="shared" si="72"/>
        <v>-1.125</v>
      </c>
      <c r="D531" s="12">
        <f t="shared" si="73"/>
        <v>-1.65</v>
      </c>
      <c r="E531" s="12">
        <f t="shared" si="74"/>
        <v>11.117468700444443</v>
      </c>
      <c r="F531" s="12">
        <f t="shared" si="75"/>
        <v>11.117468700444443</v>
      </c>
      <c r="G531" s="12">
        <f t="shared" si="76"/>
        <v>14.567042133333333</v>
      </c>
      <c r="H531" s="12">
        <f t="shared" si="77"/>
        <v>14.567042133333333</v>
      </c>
      <c r="I531" s="1" t="str">
        <f t="shared" si="78"/>
        <v>No</v>
      </c>
      <c r="J531" s="1" t="str">
        <f t="shared" si="79"/>
        <v>Si</v>
      </c>
      <c r="K531" s="1" t="str">
        <f t="shared" si="80"/>
        <v/>
      </c>
    </row>
    <row r="532" spans="1:11" x14ac:dyDescent="0.3">
      <c r="A532" s="1">
        <v>10</v>
      </c>
      <c r="B532" s="1">
        <v>4</v>
      </c>
      <c r="C532" s="12">
        <f t="shared" si="72"/>
        <v>-1.125</v>
      </c>
      <c r="D532" s="12">
        <f t="shared" si="73"/>
        <v>-1.575</v>
      </c>
      <c r="E532" s="12">
        <f t="shared" si="74"/>
        <v>11.114980607999998</v>
      </c>
      <c r="F532" s="12">
        <f t="shared" si="75"/>
        <v>11.114980607999998</v>
      </c>
      <c r="G532" s="12">
        <f t="shared" si="76"/>
        <v>14.563537777777777</v>
      </c>
      <c r="H532" s="12">
        <f t="shared" si="77"/>
        <v>14.563537777777777</v>
      </c>
      <c r="I532" s="1" t="str">
        <f t="shared" si="78"/>
        <v>No</v>
      </c>
      <c r="J532" s="1" t="str">
        <f t="shared" si="79"/>
        <v>Si</v>
      </c>
      <c r="K532" s="1" t="str">
        <f t="shared" si="80"/>
        <v/>
      </c>
    </row>
    <row r="533" spans="1:11" x14ac:dyDescent="0.3">
      <c r="A533" s="1">
        <v>10</v>
      </c>
      <c r="B533" s="1">
        <v>5</v>
      </c>
      <c r="C533" s="12">
        <f t="shared" si="72"/>
        <v>-1.125</v>
      </c>
      <c r="D533" s="12">
        <f t="shared" si="73"/>
        <v>-1.5</v>
      </c>
      <c r="E533" s="12">
        <f t="shared" si="74"/>
        <v>11.112492515555553</v>
      </c>
      <c r="F533" s="12">
        <f t="shared" si="75"/>
        <v>11.112492515555553</v>
      </c>
      <c r="G533" s="12">
        <f t="shared" si="76"/>
        <v>14.560033422222221</v>
      </c>
      <c r="H533" s="12">
        <f t="shared" si="77"/>
        <v>14.560033422222221</v>
      </c>
      <c r="I533" s="1" t="str">
        <f t="shared" si="78"/>
        <v>No</v>
      </c>
      <c r="J533" s="1" t="str">
        <f t="shared" si="79"/>
        <v>Si</v>
      </c>
      <c r="K533" s="1" t="str">
        <f t="shared" si="80"/>
        <v/>
      </c>
    </row>
    <row r="534" spans="1:11" x14ac:dyDescent="0.3">
      <c r="A534" s="1">
        <v>10</v>
      </c>
      <c r="B534" s="1">
        <v>6</v>
      </c>
      <c r="C534" s="12">
        <f t="shared" si="72"/>
        <v>-1.125</v>
      </c>
      <c r="D534" s="12">
        <f t="shared" si="73"/>
        <v>-1.425</v>
      </c>
      <c r="E534" s="12">
        <f t="shared" si="74"/>
        <v>11.110004423111109</v>
      </c>
      <c r="F534" s="12">
        <f t="shared" si="75"/>
        <v>11.110004423111109</v>
      </c>
      <c r="G534" s="12">
        <f t="shared" si="76"/>
        <v>14.556529066666666</v>
      </c>
      <c r="H534" s="12">
        <f t="shared" si="77"/>
        <v>14.556529066666666</v>
      </c>
      <c r="I534" s="1" t="str">
        <f t="shared" si="78"/>
        <v>No</v>
      </c>
      <c r="J534" s="1" t="str">
        <f t="shared" si="79"/>
        <v>Si</v>
      </c>
      <c r="K534" s="1" t="str">
        <f t="shared" si="80"/>
        <v/>
      </c>
    </row>
    <row r="535" spans="1:11" x14ac:dyDescent="0.3">
      <c r="A535" s="1">
        <v>10</v>
      </c>
      <c r="B535" s="1">
        <v>7</v>
      </c>
      <c r="C535" s="12">
        <f t="shared" si="72"/>
        <v>-1.125</v>
      </c>
      <c r="D535" s="12">
        <f t="shared" si="73"/>
        <v>-1.35</v>
      </c>
      <c r="E535" s="12">
        <f t="shared" si="74"/>
        <v>11.107516330666666</v>
      </c>
      <c r="F535" s="12">
        <f t="shared" si="75"/>
        <v>11.107516330666666</v>
      </c>
      <c r="G535" s="12">
        <f t="shared" si="76"/>
        <v>14.55302471111111</v>
      </c>
      <c r="H535" s="12">
        <f t="shared" si="77"/>
        <v>14.55302471111111</v>
      </c>
      <c r="I535" s="1" t="str">
        <f t="shared" si="78"/>
        <v>No</v>
      </c>
      <c r="J535" s="1" t="str">
        <f t="shared" si="79"/>
        <v>Si</v>
      </c>
      <c r="K535" s="1" t="str">
        <f t="shared" si="80"/>
        <v/>
      </c>
    </row>
    <row r="536" spans="1:11" x14ac:dyDescent="0.3">
      <c r="A536" s="1">
        <v>10</v>
      </c>
      <c r="B536" s="1">
        <v>8</v>
      </c>
      <c r="C536" s="12">
        <f t="shared" si="72"/>
        <v>-1.125</v>
      </c>
      <c r="D536" s="12">
        <f t="shared" si="73"/>
        <v>-1.2749999999999999</v>
      </c>
      <c r="E536" s="12">
        <f t="shared" si="74"/>
        <v>11.105028238222221</v>
      </c>
      <c r="F536" s="12">
        <f t="shared" si="75"/>
        <v>11.105028238222221</v>
      </c>
      <c r="G536" s="12">
        <f t="shared" si="76"/>
        <v>14.549520355555554</v>
      </c>
      <c r="H536" s="12">
        <f t="shared" si="77"/>
        <v>14.549520355555554</v>
      </c>
      <c r="I536" s="1" t="str">
        <f t="shared" si="78"/>
        <v>No</v>
      </c>
      <c r="J536" s="1" t="str">
        <f t="shared" si="79"/>
        <v>Si</v>
      </c>
      <c r="K536" s="1" t="str">
        <f t="shared" si="80"/>
        <v/>
      </c>
    </row>
    <row r="537" spans="1:11" x14ac:dyDescent="0.3">
      <c r="A537" s="1">
        <v>10</v>
      </c>
      <c r="B537" s="1">
        <v>9</v>
      </c>
      <c r="C537" s="12">
        <f t="shared" si="72"/>
        <v>-1.125</v>
      </c>
      <c r="D537" s="12">
        <f t="shared" si="73"/>
        <v>-1.2</v>
      </c>
      <c r="E537" s="12">
        <f t="shared" si="74"/>
        <v>11.102540145777777</v>
      </c>
      <c r="F537" s="12">
        <f t="shared" si="75"/>
        <v>11.102540145777777</v>
      </c>
      <c r="G537" s="12">
        <f t="shared" si="76"/>
        <v>14.546015999999998</v>
      </c>
      <c r="H537" s="12">
        <f t="shared" si="77"/>
        <v>14.546015999999998</v>
      </c>
      <c r="I537" s="1" t="str">
        <f t="shared" si="78"/>
        <v>No</v>
      </c>
      <c r="J537" s="1" t="str">
        <f t="shared" si="79"/>
        <v>Si</v>
      </c>
      <c r="K537" s="1" t="str">
        <f t="shared" si="80"/>
        <v/>
      </c>
    </row>
    <row r="538" spans="1:11" x14ac:dyDescent="0.3">
      <c r="A538" s="1">
        <v>10</v>
      </c>
      <c r="B538" s="1">
        <v>10</v>
      </c>
      <c r="C538" s="12">
        <f t="shared" si="72"/>
        <v>-1.125</v>
      </c>
      <c r="D538" s="12">
        <f t="shared" si="73"/>
        <v>-1.125</v>
      </c>
      <c r="E538" s="12">
        <f t="shared" si="74"/>
        <v>11.100052053333332</v>
      </c>
      <c r="F538" s="12">
        <f t="shared" si="75"/>
        <v>11.100052053333332</v>
      </c>
      <c r="G538" s="12">
        <f t="shared" si="76"/>
        <v>14.542511644444444</v>
      </c>
      <c r="H538" s="12">
        <f t="shared" si="77"/>
        <v>14.542511644444444</v>
      </c>
      <c r="I538" s="1" t="str">
        <f t="shared" si="78"/>
        <v>No</v>
      </c>
      <c r="J538" s="1" t="str">
        <f t="shared" si="79"/>
        <v>Si</v>
      </c>
      <c r="K538" s="1" t="str">
        <f t="shared" si="80"/>
        <v/>
      </c>
    </row>
    <row r="539" spans="1:11" x14ac:dyDescent="0.3">
      <c r="A539" s="1">
        <v>10</v>
      </c>
      <c r="B539" s="1">
        <v>11</v>
      </c>
      <c r="C539" s="12">
        <f t="shared" si="72"/>
        <v>-1.125</v>
      </c>
      <c r="D539" s="12">
        <f t="shared" si="73"/>
        <v>-1.05</v>
      </c>
      <c r="E539" s="12">
        <f t="shared" si="74"/>
        <v>11.097563960888888</v>
      </c>
      <c r="F539" s="12">
        <f t="shared" si="75"/>
        <v>11.097563960888888</v>
      </c>
      <c r="G539" s="12">
        <f t="shared" si="76"/>
        <v>14.539007288888888</v>
      </c>
      <c r="H539" s="12">
        <f t="shared" si="77"/>
        <v>14.539007288888888</v>
      </c>
      <c r="I539" s="1" t="str">
        <f t="shared" si="78"/>
        <v>No</v>
      </c>
      <c r="J539" s="1" t="str">
        <f t="shared" si="79"/>
        <v>Si</v>
      </c>
      <c r="K539" s="1" t="str">
        <f t="shared" si="80"/>
        <v/>
      </c>
    </row>
    <row r="540" spans="1:11" x14ac:dyDescent="0.3">
      <c r="A540" s="1">
        <v>10</v>
      </c>
      <c r="B540" s="1">
        <v>12</v>
      </c>
      <c r="C540" s="12">
        <f t="shared" si="72"/>
        <v>-1.125</v>
      </c>
      <c r="D540" s="12">
        <f t="shared" si="73"/>
        <v>-0.97499999999999998</v>
      </c>
      <c r="E540" s="12">
        <f t="shared" si="74"/>
        <v>11.095075868444443</v>
      </c>
      <c r="F540" s="12">
        <f t="shared" si="75"/>
        <v>11.095075868444443</v>
      </c>
      <c r="G540" s="12">
        <f t="shared" si="76"/>
        <v>14.535502933333332</v>
      </c>
      <c r="H540" s="12">
        <f t="shared" si="77"/>
        <v>14.535502933333332</v>
      </c>
      <c r="I540" s="1" t="str">
        <f t="shared" si="78"/>
        <v>No</v>
      </c>
      <c r="J540" s="1" t="str">
        <f t="shared" si="79"/>
        <v>Si</v>
      </c>
      <c r="K540" s="1" t="str">
        <f t="shared" si="80"/>
        <v/>
      </c>
    </row>
    <row r="541" spans="1:11" x14ac:dyDescent="0.3">
      <c r="A541" s="1">
        <v>10</v>
      </c>
      <c r="B541" s="1">
        <v>13</v>
      </c>
      <c r="C541" s="12">
        <f t="shared" si="72"/>
        <v>-1.125</v>
      </c>
      <c r="D541" s="12">
        <f t="shared" si="73"/>
        <v>-0.9</v>
      </c>
      <c r="E541" s="12">
        <f t="shared" si="74"/>
        <v>11.092587775999998</v>
      </c>
      <c r="F541" s="12">
        <f t="shared" si="75"/>
        <v>11.092587775999998</v>
      </c>
      <c r="G541" s="12">
        <f t="shared" si="76"/>
        <v>14.531998577777777</v>
      </c>
      <c r="H541" s="12">
        <f t="shared" si="77"/>
        <v>14.531998577777777</v>
      </c>
      <c r="I541" s="1" t="str">
        <f t="shared" si="78"/>
        <v>No</v>
      </c>
      <c r="J541" s="1" t="str">
        <f t="shared" si="79"/>
        <v>Si</v>
      </c>
      <c r="K541" s="1" t="str">
        <f t="shared" si="80"/>
        <v/>
      </c>
    </row>
    <row r="542" spans="1:11" x14ac:dyDescent="0.3">
      <c r="A542" s="1">
        <v>10</v>
      </c>
      <c r="B542" s="1">
        <v>14</v>
      </c>
      <c r="C542" s="12">
        <f t="shared" si="72"/>
        <v>-1.125</v>
      </c>
      <c r="D542" s="12">
        <f t="shared" si="73"/>
        <v>-0.82499999999999996</v>
      </c>
      <c r="E542" s="12">
        <f t="shared" si="74"/>
        <v>11.090099683555554</v>
      </c>
      <c r="F542" s="12">
        <f t="shared" si="75"/>
        <v>11.090099683555554</v>
      </c>
      <c r="G542" s="12">
        <f t="shared" si="76"/>
        <v>14.528494222222221</v>
      </c>
      <c r="H542" s="12">
        <f t="shared" si="77"/>
        <v>14.528494222222221</v>
      </c>
      <c r="I542" s="1" t="str">
        <f t="shared" si="78"/>
        <v>No</v>
      </c>
      <c r="J542" s="1" t="str">
        <f t="shared" si="79"/>
        <v>Si</v>
      </c>
      <c r="K542" s="1" t="str">
        <f t="shared" si="80"/>
        <v/>
      </c>
    </row>
    <row r="543" spans="1:11" x14ac:dyDescent="0.3">
      <c r="A543" s="1">
        <v>10</v>
      </c>
      <c r="B543" s="1">
        <v>15</v>
      </c>
      <c r="C543" s="12">
        <f t="shared" si="72"/>
        <v>-1.125</v>
      </c>
      <c r="D543" s="12">
        <f t="shared" si="73"/>
        <v>-0.75</v>
      </c>
      <c r="E543" s="12">
        <f t="shared" si="74"/>
        <v>11.087611591111109</v>
      </c>
      <c r="F543" s="12">
        <f t="shared" si="75"/>
        <v>11.087611591111109</v>
      </c>
      <c r="G543" s="12">
        <f t="shared" si="76"/>
        <v>14.524989866666665</v>
      </c>
      <c r="H543" s="12">
        <f t="shared" si="77"/>
        <v>14.524989866666665</v>
      </c>
      <c r="I543" s="1" t="str">
        <f t="shared" si="78"/>
        <v>No</v>
      </c>
      <c r="J543" s="1" t="str">
        <f t="shared" si="79"/>
        <v>Si</v>
      </c>
      <c r="K543" s="1" t="str">
        <f t="shared" si="80"/>
        <v/>
      </c>
    </row>
    <row r="544" spans="1:11" x14ac:dyDescent="0.3">
      <c r="A544" s="1">
        <v>10</v>
      </c>
      <c r="B544" s="1">
        <v>16</v>
      </c>
      <c r="C544" s="12">
        <f t="shared" si="72"/>
        <v>-1.125</v>
      </c>
      <c r="D544" s="12">
        <f t="shared" si="73"/>
        <v>-0.67500000000000004</v>
      </c>
      <c r="E544" s="12">
        <f t="shared" si="74"/>
        <v>11.085123498666665</v>
      </c>
      <c r="F544" s="12">
        <f t="shared" si="75"/>
        <v>11.085123498666665</v>
      </c>
      <c r="G544" s="12">
        <f t="shared" si="76"/>
        <v>14.521485511111109</v>
      </c>
      <c r="H544" s="12">
        <f t="shared" si="77"/>
        <v>14.521485511111109</v>
      </c>
      <c r="I544" s="1" t="str">
        <f t="shared" si="78"/>
        <v>No</v>
      </c>
      <c r="J544" s="1" t="str">
        <f t="shared" si="79"/>
        <v>Si</v>
      </c>
      <c r="K544" s="1" t="str">
        <f t="shared" si="80"/>
        <v/>
      </c>
    </row>
    <row r="545" spans="1:11" x14ac:dyDescent="0.3">
      <c r="A545" s="1">
        <v>10</v>
      </c>
      <c r="B545" s="1">
        <v>17</v>
      </c>
      <c r="C545" s="12">
        <f t="shared" si="72"/>
        <v>-1.125</v>
      </c>
      <c r="D545" s="12">
        <f t="shared" si="73"/>
        <v>-0.60000000000000009</v>
      </c>
      <c r="E545" s="12">
        <f t="shared" si="74"/>
        <v>11.08263540622222</v>
      </c>
      <c r="F545" s="12">
        <f t="shared" si="75"/>
        <v>11.08263540622222</v>
      </c>
      <c r="G545" s="12">
        <f t="shared" si="76"/>
        <v>14.517981155555555</v>
      </c>
      <c r="H545" s="12">
        <f t="shared" si="77"/>
        <v>14.517981155555555</v>
      </c>
      <c r="I545" s="1" t="str">
        <f t="shared" si="78"/>
        <v>No</v>
      </c>
      <c r="J545" s="1" t="str">
        <f t="shared" si="79"/>
        <v>Si</v>
      </c>
      <c r="K545" s="1" t="str">
        <f t="shared" si="80"/>
        <v/>
      </c>
    </row>
    <row r="546" spans="1:11" x14ac:dyDescent="0.3">
      <c r="A546" s="1">
        <v>10</v>
      </c>
      <c r="B546" s="1">
        <v>18</v>
      </c>
      <c r="C546" s="12">
        <f t="shared" si="72"/>
        <v>-1.125</v>
      </c>
      <c r="D546" s="12">
        <f t="shared" si="73"/>
        <v>-0.52499999999999991</v>
      </c>
      <c r="E546" s="12">
        <f t="shared" si="74"/>
        <v>11.080147313777776</v>
      </c>
      <c r="F546" s="12">
        <f t="shared" si="75"/>
        <v>11.080147313777776</v>
      </c>
      <c r="G546" s="12">
        <f t="shared" si="76"/>
        <v>14.514476799999999</v>
      </c>
      <c r="H546" s="12">
        <f t="shared" si="77"/>
        <v>14.514476799999999</v>
      </c>
      <c r="I546" s="1" t="str">
        <f t="shared" si="78"/>
        <v>No</v>
      </c>
      <c r="J546" s="1" t="str">
        <f t="shared" si="79"/>
        <v>Si</v>
      </c>
      <c r="K546" s="1" t="str">
        <f t="shared" si="80"/>
        <v/>
      </c>
    </row>
    <row r="547" spans="1:11" x14ac:dyDescent="0.3">
      <c r="A547" s="1">
        <v>10</v>
      </c>
      <c r="B547" s="1">
        <v>19</v>
      </c>
      <c r="C547" s="12">
        <f t="shared" si="72"/>
        <v>-1.125</v>
      </c>
      <c r="D547" s="12">
        <f t="shared" si="73"/>
        <v>-0.44999999999999996</v>
      </c>
      <c r="E547" s="12">
        <f t="shared" si="74"/>
        <v>11.077659221333333</v>
      </c>
      <c r="F547" s="12">
        <f t="shared" si="75"/>
        <v>11.077659221333333</v>
      </c>
      <c r="G547" s="12">
        <f t="shared" si="76"/>
        <v>14.510972444444443</v>
      </c>
      <c r="H547" s="12">
        <f t="shared" si="77"/>
        <v>14.510972444444443</v>
      </c>
      <c r="I547" s="1" t="str">
        <f t="shared" si="78"/>
        <v>No</v>
      </c>
      <c r="J547" s="1" t="str">
        <f t="shared" si="79"/>
        <v>Si</v>
      </c>
      <c r="K547" s="1" t="str">
        <f t="shared" si="80"/>
        <v/>
      </c>
    </row>
    <row r="548" spans="1:11" x14ac:dyDescent="0.3">
      <c r="A548" s="1">
        <v>10</v>
      </c>
      <c r="B548" s="1">
        <v>20</v>
      </c>
      <c r="C548" s="12">
        <f t="shared" si="72"/>
        <v>-1.125</v>
      </c>
      <c r="D548" s="12">
        <f t="shared" si="73"/>
        <v>-0.375</v>
      </c>
      <c r="E548" s="12">
        <f t="shared" si="74"/>
        <v>11.075171128888888</v>
      </c>
      <c r="F548" s="12">
        <f t="shared" si="75"/>
        <v>11.075171128888888</v>
      </c>
      <c r="G548" s="12">
        <f t="shared" si="76"/>
        <v>14.507468088888889</v>
      </c>
      <c r="H548" s="12">
        <f t="shared" si="77"/>
        <v>14.507468088888889</v>
      </c>
      <c r="I548" s="1" t="str">
        <f t="shared" si="78"/>
        <v>No</v>
      </c>
      <c r="J548" s="1" t="str">
        <f t="shared" si="79"/>
        <v>Si</v>
      </c>
      <c r="K548" s="1" t="str">
        <f t="shared" si="80"/>
        <v/>
      </c>
    </row>
    <row r="549" spans="1:11" x14ac:dyDescent="0.3">
      <c r="A549" s="1">
        <v>10</v>
      </c>
      <c r="B549" s="1">
        <v>21</v>
      </c>
      <c r="C549" s="12">
        <f t="shared" si="72"/>
        <v>-1.125</v>
      </c>
      <c r="D549" s="12">
        <f t="shared" si="73"/>
        <v>-0.30000000000000004</v>
      </c>
      <c r="E549" s="12">
        <f t="shared" si="74"/>
        <v>11.072683036444444</v>
      </c>
      <c r="F549" s="12">
        <f t="shared" si="75"/>
        <v>11.072683036444444</v>
      </c>
      <c r="G549" s="12">
        <f t="shared" si="76"/>
        <v>14.503963733333332</v>
      </c>
      <c r="H549" s="12">
        <f t="shared" si="77"/>
        <v>14.503963733333332</v>
      </c>
      <c r="I549" s="1" t="str">
        <f t="shared" si="78"/>
        <v>No</v>
      </c>
      <c r="J549" s="1" t="str">
        <f t="shared" si="79"/>
        <v>Si</v>
      </c>
      <c r="K549" s="1" t="str">
        <f t="shared" si="80"/>
        <v/>
      </c>
    </row>
    <row r="550" spans="1:11" x14ac:dyDescent="0.3">
      <c r="A550" s="1">
        <v>10</v>
      </c>
      <c r="B550" s="1">
        <v>22</v>
      </c>
      <c r="C550" s="12">
        <f t="shared" si="72"/>
        <v>-1.125</v>
      </c>
      <c r="D550" s="12">
        <f t="shared" si="73"/>
        <v>-0.22500000000000009</v>
      </c>
      <c r="E550" s="12">
        <f t="shared" si="74"/>
        <v>11.070194943999999</v>
      </c>
      <c r="F550" s="12">
        <f t="shared" si="75"/>
        <v>11.070194943999999</v>
      </c>
      <c r="G550" s="12">
        <f t="shared" si="76"/>
        <v>14.500459377777776</v>
      </c>
      <c r="H550" s="12">
        <f t="shared" si="77"/>
        <v>14.500459377777776</v>
      </c>
      <c r="I550" s="1" t="str">
        <f t="shared" si="78"/>
        <v>No</v>
      </c>
      <c r="J550" s="1" t="str">
        <f t="shared" si="79"/>
        <v>Si</v>
      </c>
      <c r="K550" s="1" t="str">
        <f t="shared" si="80"/>
        <v/>
      </c>
    </row>
    <row r="551" spans="1:11" x14ac:dyDescent="0.3">
      <c r="A551" s="1">
        <v>10</v>
      </c>
      <c r="B551" s="1">
        <v>23</v>
      </c>
      <c r="C551" s="12">
        <f t="shared" si="72"/>
        <v>-1.125</v>
      </c>
      <c r="D551" s="12">
        <f t="shared" si="73"/>
        <v>-0.14999999999999991</v>
      </c>
      <c r="E551" s="12">
        <f t="shared" si="74"/>
        <v>11.067706851555554</v>
      </c>
      <c r="F551" s="12">
        <f t="shared" si="75"/>
        <v>11.067706851555554</v>
      </c>
      <c r="G551" s="12">
        <f t="shared" si="76"/>
        <v>14.49695502222222</v>
      </c>
      <c r="H551" s="12">
        <f t="shared" si="77"/>
        <v>14.49695502222222</v>
      </c>
      <c r="I551" s="1" t="str">
        <f t="shared" si="78"/>
        <v>No</v>
      </c>
      <c r="J551" s="1" t="str">
        <f t="shared" si="79"/>
        <v>Si</v>
      </c>
      <c r="K551" s="1" t="str">
        <f t="shared" si="80"/>
        <v/>
      </c>
    </row>
    <row r="552" spans="1:11" x14ac:dyDescent="0.3">
      <c r="A552" s="1">
        <v>10</v>
      </c>
      <c r="B552" s="1">
        <v>24</v>
      </c>
      <c r="C552" s="12">
        <f t="shared" si="72"/>
        <v>-1.125</v>
      </c>
      <c r="D552" s="12">
        <f t="shared" si="73"/>
        <v>-7.4999999999999956E-2</v>
      </c>
      <c r="E552" s="12">
        <f t="shared" si="74"/>
        <v>11.06521875911111</v>
      </c>
      <c r="F552" s="12">
        <f t="shared" si="75"/>
        <v>11.06521875911111</v>
      </c>
      <c r="G552" s="12">
        <f t="shared" si="76"/>
        <v>14.493450666666666</v>
      </c>
      <c r="H552" s="12">
        <f t="shared" si="77"/>
        <v>14.493450666666666</v>
      </c>
      <c r="I552" s="1" t="str">
        <f t="shared" si="78"/>
        <v>No</v>
      </c>
      <c r="J552" s="1" t="str">
        <f t="shared" si="79"/>
        <v>Si</v>
      </c>
      <c r="K552" s="1" t="str">
        <f t="shared" si="80"/>
        <v/>
      </c>
    </row>
    <row r="553" spans="1:11" x14ac:dyDescent="0.3">
      <c r="A553" s="1">
        <v>10</v>
      </c>
      <c r="B553" s="1">
        <v>25</v>
      </c>
      <c r="C553" s="12">
        <f t="shared" si="72"/>
        <v>-1.125</v>
      </c>
      <c r="D553" s="12">
        <f t="shared" si="73"/>
        <v>0</v>
      </c>
      <c r="E553" s="12">
        <f t="shared" si="74"/>
        <v>11.062730666666665</v>
      </c>
      <c r="F553" s="12">
        <f t="shared" si="75"/>
        <v>11.062730666666665</v>
      </c>
      <c r="G553" s="12">
        <f t="shared" si="76"/>
        <v>14.48994631111111</v>
      </c>
      <c r="H553" s="12">
        <f t="shared" si="77"/>
        <v>14.48994631111111</v>
      </c>
      <c r="I553" s="1" t="str">
        <f t="shared" si="78"/>
        <v>No</v>
      </c>
      <c r="J553" s="1" t="str">
        <f t="shared" si="79"/>
        <v>Si</v>
      </c>
      <c r="K553" s="1" t="str">
        <f t="shared" si="80"/>
        <v/>
      </c>
    </row>
    <row r="554" spans="1:11" x14ac:dyDescent="0.3">
      <c r="A554" s="1">
        <v>10</v>
      </c>
      <c r="B554" s="1">
        <v>26</v>
      </c>
      <c r="C554" s="12">
        <f t="shared" si="72"/>
        <v>-1.125</v>
      </c>
      <c r="D554" s="12">
        <f t="shared" si="73"/>
        <v>7.4999999999999956E-2</v>
      </c>
      <c r="E554" s="12">
        <f t="shared" si="74"/>
        <v>11.060242574222221</v>
      </c>
      <c r="F554" s="12">
        <f t="shared" si="75"/>
        <v>11.060242574222221</v>
      </c>
      <c r="G554" s="12">
        <f t="shared" si="76"/>
        <v>14.486441955555554</v>
      </c>
      <c r="H554" s="12">
        <f t="shared" si="77"/>
        <v>14.486441955555554</v>
      </c>
      <c r="I554" s="1" t="str">
        <f t="shared" si="78"/>
        <v>No</v>
      </c>
      <c r="J554" s="1" t="str">
        <f t="shared" si="79"/>
        <v>Si</v>
      </c>
      <c r="K554" s="1" t="str">
        <f t="shared" si="80"/>
        <v/>
      </c>
    </row>
    <row r="555" spans="1:11" x14ac:dyDescent="0.3">
      <c r="A555" s="1">
        <v>10</v>
      </c>
      <c r="B555" s="1">
        <v>27</v>
      </c>
      <c r="C555" s="12">
        <f t="shared" si="72"/>
        <v>-1.125</v>
      </c>
      <c r="D555" s="12">
        <f t="shared" si="73"/>
        <v>0.14999999999999991</v>
      </c>
      <c r="E555" s="12">
        <f t="shared" si="74"/>
        <v>11.057754481777776</v>
      </c>
      <c r="F555" s="12">
        <f t="shared" si="75"/>
        <v>11.057754481777776</v>
      </c>
      <c r="G555" s="12">
        <f t="shared" si="76"/>
        <v>14.4829376</v>
      </c>
      <c r="H555" s="12">
        <f t="shared" si="77"/>
        <v>14.4829376</v>
      </c>
      <c r="I555" s="1" t="str">
        <f t="shared" si="78"/>
        <v>No</v>
      </c>
      <c r="J555" s="1" t="str">
        <f t="shared" si="79"/>
        <v>Si</v>
      </c>
      <c r="K555" s="1" t="str">
        <f t="shared" si="80"/>
        <v/>
      </c>
    </row>
    <row r="556" spans="1:11" x14ac:dyDescent="0.3">
      <c r="A556" s="1">
        <v>10</v>
      </c>
      <c r="B556" s="1">
        <v>28</v>
      </c>
      <c r="C556" s="12">
        <f t="shared" si="72"/>
        <v>-1.125</v>
      </c>
      <c r="D556" s="12">
        <f t="shared" si="73"/>
        <v>0.22500000000000009</v>
      </c>
      <c r="E556" s="12">
        <f t="shared" si="74"/>
        <v>11.055266389333331</v>
      </c>
      <c r="F556" s="12">
        <f t="shared" si="75"/>
        <v>11.055266389333331</v>
      </c>
      <c r="G556" s="12">
        <f t="shared" si="76"/>
        <v>14.479433244444444</v>
      </c>
      <c r="H556" s="12">
        <f t="shared" si="77"/>
        <v>14.479433244444444</v>
      </c>
      <c r="I556" s="1" t="str">
        <f t="shared" si="78"/>
        <v>No</v>
      </c>
      <c r="J556" s="1" t="str">
        <f t="shared" si="79"/>
        <v>Si</v>
      </c>
      <c r="K556" s="1" t="str">
        <f t="shared" si="80"/>
        <v/>
      </c>
    </row>
    <row r="557" spans="1:11" x14ac:dyDescent="0.3">
      <c r="A557" s="1">
        <v>10</v>
      </c>
      <c r="B557" s="1">
        <v>29</v>
      </c>
      <c r="C557" s="12">
        <f t="shared" si="72"/>
        <v>-1.125</v>
      </c>
      <c r="D557" s="12">
        <f t="shared" si="73"/>
        <v>0.29999999999999982</v>
      </c>
      <c r="E557" s="12">
        <f t="shared" si="74"/>
        <v>11.052778296888887</v>
      </c>
      <c r="F557" s="12">
        <f t="shared" si="75"/>
        <v>11.052778296888887</v>
      </c>
      <c r="G557" s="12">
        <f t="shared" si="76"/>
        <v>14.475928888888888</v>
      </c>
      <c r="H557" s="12">
        <f t="shared" si="77"/>
        <v>14.475928888888888</v>
      </c>
      <c r="I557" s="1" t="str">
        <f t="shared" si="78"/>
        <v>No</v>
      </c>
      <c r="J557" s="1" t="str">
        <f t="shared" si="79"/>
        <v>Si</v>
      </c>
      <c r="K557" s="1" t="str">
        <f t="shared" si="80"/>
        <v/>
      </c>
    </row>
    <row r="558" spans="1:11" x14ac:dyDescent="0.3">
      <c r="A558" s="1">
        <v>10</v>
      </c>
      <c r="B558" s="1">
        <v>30</v>
      </c>
      <c r="C558" s="12">
        <f t="shared" si="72"/>
        <v>-1.125</v>
      </c>
      <c r="D558" s="12">
        <f t="shared" si="73"/>
        <v>0.375</v>
      </c>
      <c r="E558" s="12">
        <f t="shared" si="74"/>
        <v>11.050290204444442</v>
      </c>
      <c r="F558" s="12">
        <f t="shared" si="75"/>
        <v>11.050290204444442</v>
      </c>
      <c r="G558" s="12">
        <f t="shared" si="76"/>
        <v>14.472424533333331</v>
      </c>
      <c r="H558" s="12">
        <f t="shared" si="77"/>
        <v>14.472424533333331</v>
      </c>
      <c r="I558" s="1" t="str">
        <f t="shared" si="78"/>
        <v>No</v>
      </c>
      <c r="J558" s="1" t="str">
        <f t="shared" si="79"/>
        <v>Si</v>
      </c>
      <c r="K558" s="1" t="str">
        <f t="shared" si="80"/>
        <v/>
      </c>
    </row>
    <row r="559" spans="1:11" x14ac:dyDescent="0.3">
      <c r="A559" s="1">
        <v>10</v>
      </c>
      <c r="B559" s="1">
        <v>31</v>
      </c>
      <c r="C559" s="12">
        <f t="shared" si="72"/>
        <v>-1.125</v>
      </c>
      <c r="D559" s="12">
        <f t="shared" si="73"/>
        <v>0.45000000000000018</v>
      </c>
      <c r="E559" s="12">
        <f t="shared" si="74"/>
        <v>11.047802111999998</v>
      </c>
      <c r="F559" s="12">
        <f t="shared" si="75"/>
        <v>11.047802111999998</v>
      </c>
      <c r="G559" s="12">
        <f t="shared" si="76"/>
        <v>14.468920177777777</v>
      </c>
      <c r="H559" s="12">
        <f t="shared" si="77"/>
        <v>14.468920177777777</v>
      </c>
      <c r="I559" s="1" t="str">
        <f t="shared" si="78"/>
        <v>No</v>
      </c>
      <c r="J559" s="1" t="str">
        <f t="shared" si="79"/>
        <v>Si</v>
      </c>
      <c r="K559" s="1" t="str">
        <f t="shared" si="80"/>
        <v/>
      </c>
    </row>
    <row r="560" spans="1:11" x14ac:dyDescent="0.3">
      <c r="A560" s="1">
        <v>10</v>
      </c>
      <c r="B560" s="1">
        <v>32</v>
      </c>
      <c r="C560" s="12">
        <f t="shared" si="72"/>
        <v>-1.125</v>
      </c>
      <c r="D560" s="12">
        <f t="shared" si="73"/>
        <v>0.52499999999999991</v>
      </c>
      <c r="E560" s="12">
        <f t="shared" si="74"/>
        <v>11.045314019555555</v>
      </c>
      <c r="F560" s="12">
        <f t="shared" si="75"/>
        <v>11.045314019555555</v>
      </c>
      <c r="G560" s="12">
        <f t="shared" si="76"/>
        <v>14.465415822222221</v>
      </c>
      <c r="H560" s="12">
        <f t="shared" si="77"/>
        <v>14.465415822222221</v>
      </c>
      <c r="I560" s="1" t="str">
        <f t="shared" si="78"/>
        <v>No</v>
      </c>
      <c r="J560" s="1" t="str">
        <f t="shared" si="79"/>
        <v>Si</v>
      </c>
      <c r="K560" s="1" t="str">
        <f t="shared" si="80"/>
        <v/>
      </c>
    </row>
    <row r="561" spans="1:11" x14ac:dyDescent="0.3">
      <c r="A561" s="1">
        <v>10</v>
      </c>
      <c r="B561" s="1">
        <v>33</v>
      </c>
      <c r="C561" s="12">
        <f t="shared" si="72"/>
        <v>-1.125</v>
      </c>
      <c r="D561" s="12">
        <f t="shared" si="73"/>
        <v>0.60000000000000009</v>
      </c>
      <c r="E561" s="12">
        <f t="shared" si="74"/>
        <v>11.04282592711111</v>
      </c>
      <c r="F561" s="12">
        <f t="shared" si="75"/>
        <v>11.04282592711111</v>
      </c>
      <c r="G561" s="12">
        <f t="shared" si="76"/>
        <v>14.461911466666665</v>
      </c>
      <c r="H561" s="12">
        <f t="shared" si="77"/>
        <v>14.461911466666665</v>
      </c>
      <c r="I561" s="1" t="str">
        <f t="shared" si="78"/>
        <v>No</v>
      </c>
      <c r="J561" s="1" t="str">
        <f t="shared" si="79"/>
        <v>Si</v>
      </c>
      <c r="K561" s="1" t="str">
        <f t="shared" si="80"/>
        <v/>
      </c>
    </row>
    <row r="562" spans="1:11" x14ac:dyDescent="0.3">
      <c r="A562" s="1">
        <v>10</v>
      </c>
      <c r="B562" s="1">
        <v>34</v>
      </c>
      <c r="C562" s="12">
        <f t="shared" si="72"/>
        <v>-1.125</v>
      </c>
      <c r="D562" s="12">
        <f t="shared" si="73"/>
        <v>0.67499999999999982</v>
      </c>
      <c r="E562" s="12">
        <f t="shared" si="74"/>
        <v>11.040337834666666</v>
      </c>
      <c r="F562" s="12">
        <f t="shared" si="75"/>
        <v>11.040337834666666</v>
      </c>
      <c r="G562" s="12">
        <f t="shared" si="76"/>
        <v>14.458407111111111</v>
      </c>
      <c r="H562" s="12">
        <f t="shared" si="77"/>
        <v>14.458407111111111</v>
      </c>
      <c r="I562" s="1" t="str">
        <f t="shared" si="78"/>
        <v>No</v>
      </c>
      <c r="J562" s="1" t="str">
        <f t="shared" si="79"/>
        <v>Si</v>
      </c>
      <c r="K562" s="1" t="str">
        <f t="shared" si="80"/>
        <v/>
      </c>
    </row>
    <row r="563" spans="1:11" x14ac:dyDescent="0.3">
      <c r="A563" s="1">
        <v>10</v>
      </c>
      <c r="B563" s="1">
        <v>35</v>
      </c>
      <c r="C563" s="12">
        <f t="shared" si="72"/>
        <v>-1.125</v>
      </c>
      <c r="D563" s="12">
        <f t="shared" si="73"/>
        <v>0.75</v>
      </c>
      <c r="E563" s="12">
        <f t="shared" si="74"/>
        <v>11.037849742222221</v>
      </c>
      <c r="F563" s="12">
        <f t="shared" si="75"/>
        <v>11.037849742222221</v>
      </c>
      <c r="G563" s="12">
        <f t="shared" si="76"/>
        <v>14.454902755555555</v>
      </c>
      <c r="H563" s="12">
        <f t="shared" si="77"/>
        <v>14.454902755555555</v>
      </c>
      <c r="I563" s="1" t="str">
        <f t="shared" si="78"/>
        <v>No</v>
      </c>
      <c r="J563" s="1" t="str">
        <f t="shared" si="79"/>
        <v>Si</v>
      </c>
      <c r="K563" s="1" t="str">
        <f t="shared" si="80"/>
        <v/>
      </c>
    </row>
    <row r="564" spans="1:11" x14ac:dyDescent="0.3">
      <c r="A564" s="1">
        <v>10</v>
      </c>
      <c r="B564" s="1">
        <v>36</v>
      </c>
      <c r="C564" s="12">
        <f t="shared" si="72"/>
        <v>-1.125</v>
      </c>
      <c r="D564" s="12">
        <f t="shared" si="73"/>
        <v>0.82500000000000018</v>
      </c>
      <c r="E564" s="12">
        <f t="shared" si="74"/>
        <v>11.035361649777776</v>
      </c>
      <c r="F564" s="12">
        <f t="shared" si="75"/>
        <v>11.035361649777776</v>
      </c>
      <c r="G564" s="12">
        <f t="shared" si="76"/>
        <v>14.451398399999999</v>
      </c>
      <c r="H564" s="12">
        <f t="shared" si="77"/>
        <v>14.451398399999999</v>
      </c>
      <c r="I564" s="1" t="str">
        <f t="shared" si="78"/>
        <v>No</v>
      </c>
      <c r="J564" s="1" t="str">
        <f t="shared" si="79"/>
        <v>Si</v>
      </c>
      <c r="K564" s="1" t="str">
        <f t="shared" si="80"/>
        <v/>
      </c>
    </row>
    <row r="565" spans="1:11" x14ac:dyDescent="0.3">
      <c r="A565" s="1">
        <v>10</v>
      </c>
      <c r="B565" s="1">
        <v>37</v>
      </c>
      <c r="C565" s="12">
        <f t="shared" si="72"/>
        <v>-1.125</v>
      </c>
      <c r="D565" s="12">
        <f t="shared" si="73"/>
        <v>0.89999999999999991</v>
      </c>
      <c r="E565" s="12">
        <f t="shared" si="74"/>
        <v>11.032873557333332</v>
      </c>
      <c r="F565" s="12">
        <f t="shared" si="75"/>
        <v>11.032873557333332</v>
      </c>
      <c r="G565" s="12">
        <f t="shared" si="76"/>
        <v>14.447894044444443</v>
      </c>
      <c r="H565" s="12">
        <f t="shared" si="77"/>
        <v>14.447894044444443</v>
      </c>
      <c r="I565" s="1" t="str">
        <f t="shared" si="78"/>
        <v>No</v>
      </c>
      <c r="J565" s="1" t="str">
        <f t="shared" si="79"/>
        <v>Si</v>
      </c>
      <c r="K565" s="1" t="str">
        <f t="shared" si="80"/>
        <v/>
      </c>
    </row>
    <row r="566" spans="1:11" x14ac:dyDescent="0.3">
      <c r="A566" s="1">
        <v>10</v>
      </c>
      <c r="B566" s="1">
        <v>38</v>
      </c>
      <c r="C566" s="12">
        <f t="shared" si="72"/>
        <v>-1.125</v>
      </c>
      <c r="D566" s="12">
        <f t="shared" si="73"/>
        <v>0.97500000000000009</v>
      </c>
      <c r="E566" s="12">
        <f t="shared" si="74"/>
        <v>11.030385464888887</v>
      </c>
      <c r="F566" s="12">
        <f t="shared" si="75"/>
        <v>11.030385464888887</v>
      </c>
      <c r="G566" s="12">
        <f t="shared" si="76"/>
        <v>14.444389688888888</v>
      </c>
      <c r="H566" s="12">
        <f t="shared" si="77"/>
        <v>14.444389688888888</v>
      </c>
      <c r="I566" s="1" t="str">
        <f t="shared" si="78"/>
        <v>No</v>
      </c>
      <c r="J566" s="1" t="str">
        <f t="shared" si="79"/>
        <v>Si</v>
      </c>
      <c r="K566" s="1" t="str">
        <f t="shared" si="80"/>
        <v/>
      </c>
    </row>
    <row r="567" spans="1:11" x14ac:dyDescent="0.3">
      <c r="A567" s="1">
        <v>10</v>
      </c>
      <c r="B567" s="1">
        <v>39</v>
      </c>
      <c r="C567" s="12">
        <f t="shared" si="72"/>
        <v>-1.125</v>
      </c>
      <c r="D567" s="12">
        <f t="shared" si="73"/>
        <v>1.0499999999999998</v>
      </c>
      <c r="E567" s="12">
        <f t="shared" si="74"/>
        <v>11.027897372444443</v>
      </c>
      <c r="F567" s="12">
        <f t="shared" si="75"/>
        <v>11.027897372444443</v>
      </c>
      <c r="G567" s="12">
        <f t="shared" si="76"/>
        <v>14.440885333333332</v>
      </c>
      <c r="H567" s="12">
        <f t="shared" si="77"/>
        <v>14.440885333333332</v>
      </c>
      <c r="I567" s="1" t="str">
        <f t="shared" si="78"/>
        <v>No</v>
      </c>
      <c r="J567" s="1" t="str">
        <f t="shared" si="79"/>
        <v>Si</v>
      </c>
      <c r="K567" s="1" t="str">
        <f t="shared" si="80"/>
        <v/>
      </c>
    </row>
    <row r="568" spans="1:11" x14ac:dyDescent="0.3">
      <c r="A568" s="1">
        <v>10</v>
      </c>
      <c r="B568" s="1">
        <v>40</v>
      </c>
      <c r="C568" s="12">
        <f t="shared" si="72"/>
        <v>-1.125</v>
      </c>
      <c r="D568" s="12">
        <f t="shared" si="73"/>
        <v>1.125</v>
      </c>
      <c r="E568" s="12">
        <f t="shared" si="74"/>
        <v>11.025409279999998</v>
      </c>
      <c r="F568" s="12">
        <f t="shared" si="75"/>
        <v>11.025409279999998</v>
      </c>
      <c r="G568" s="12">
        <f t="shared" si="76"/>
        <v>14.437380977777776</v>
      </c>
      <c r="H568" s="12">
        <f t="shared" si="77"/>
        <v>14.437380977777776</v>
      </c>
      <c r="I568" s="1" t="str">
        <f t="shared" si="78"/>
        <v>No</v>
      </c>
      <c r="J568" s="1" t="str">
        <f t="shared" si="79"/>
        <v>Si</v>
      </c>
      <c r="K568" s="1" t="str">
        <f t="shared" si="80"/>
        <v/>
      </c>
    </row>
    <row r="569" spans="1:11" x14ac:dyDescent="0.3">
      <c r="A569" s="1">
        <v>10</v>
      </c>
      <c r="B569" s="1">
        <v>41</v>
      </c>
      <c r="C569" s="12">
        <f t="shared" si="72"/>
        <v>-1.125</v>
      </c>
      <c r="D569" s="12">
        <f t="shared" si="73"/>
        <v>1.2000000000000002</v>
      </c>
      <c r="E569" s="12">
        <f t="shared" si="74"/>
        <v>11.022921187555554</v>
      </c>
      <c r="F569" s="12">
        <f t="shared" si="75"/>
        <v>11.022921187555554</v>
      </c>
      <c r="G569" s="12">
        <f t="shared" si="76"/>
        <v>14.433876622222222</v>
      </c>
      <c r="H569" s="12">
        <f t="shared" si="77"/>
        <v>14.433876622222222</v>
      </c>
      <c r="I569" s="1" t="str">
        <f t="shared" si="78"/>
        <v>No</v>
      </c>
      <c r="J569" s="1" t="str">
        <f t="shared" si="79"/>
        <v>Si</v>
      </c>
      <c r="K569" s="1" t="str">
        <f t="shared" si="80"/>
        <v/>
      </c>
    </row>
    <row r="570" spans="1:11" x14ac:dyDescent="0.3">
      <c r="A570" s="1">
        <v>10</v>
      </c>
      <c r="B570" s="1">
        <v>42</v>
      </c>
      <c r="C570" s="12">
        <f t="shared" si="72"/>
        <v>-1.125</v>
      </c>
      <c r="D570" s="12">
        <f t="shared" si="73"/>
        <v>1.2749999999999999</v>
      </c>
      <c r="E570" s="12">
        <f t="shared" si="74"/>
        <v>11.020433095111109</v>
      </c>
      <c r="F570" s="12">
        <f t="shared" si="75"/>
        <v>11.020433095111109</v>
      </c>
      <c r="G570" s="12">
        <f t="shared" si="76"/>
        <v>14.430372266666666</v>
      </c>
      <c r="H570" s="12">
        <f t="shared" si="77"/>
        <v>14.430372266666666</v>
      </c>
      <c r="I570" s="1" t="str">
        <f t="shared" si="78"/>
        <v>No</v>
      </c>
      <c r="J570" s="1" t="str">
        <f t="shared" si="79"/>
        <v>Si</v>
      </c>
      <c r="K570" s="1" t="str">
        <f t="shared" si="80"/>
        <v/>
      </c>
    </row>
    <row r="571" spans="1:11" x14ac:dyDescent="0.3">
      <c r="A571" s="1">
        <v>10</v>
      </c>
      <c r="B571" s="1">
        <v>43</v>
      </c>
      <c r="C571" s="12">
        <f t="shared" si="72"/>
        <v>-1.125</v>
      </c>
      <c r="D571" s="12">
        <f t="shared" si="73"/>
        <v>1.35</v>
      </c>
      <c r="E571" s="12">
        <f t="shared" si="74"/>
        <v>11.017945002666664</v>
      </c>
      <c r="F571" s="12">
        <f t="shared" si="75"/>
        <v>11.017945002666664</v>
      </c>
      <c r="G571" s="12">
        <f t="shared" si="76"/>
        <v>14.42686791111111</v>
      </c>
      <c r="H571" s="12">
        <f t="shared" si="77"/>
        <v>14.42686791111111</v>
      </c>
      <c r="I571" s="1" t="str">
        <f t="shared" si="78"/>
        <v>No</v>
      </c>
      <c r="J571" s="1" t="str">
        <f t="shared" si="79"/>
        <v>Si</v>
      </c>
      <c r="K571" s="1" t="str">
        <f t="shared" si="80"/>
        <v/>
      </c>
    </row>
    <row r="572" spans="1:11" x14ac:dyDescent="0.3">
      <c r="A572" s="1">
        <v>10</v>
      </c>
      <c r="B572" s="1">
        <v>44</v>
      </c>
      <c r="C572" s="12">
        <f t="shared" si="72"/>
        <v>-1.125</v>
      </c>
      <c r="D572" s="12">
        <f t="shared" si="73"/>
        <v>1.4249999999999998</v>
      </c>
      <c r="E572" s="12">
        <f t="shared" si="74"/>
        <v>11.015456910222222</v>
      </c>
      <c r="F572" s="12">
        <f t="shared" si="75"/>
        <v>11.015456910222222</v>
      </c>
      <c r="G572" s="12">
        <f t="shared" si="76"/>
        <v>14.423363555555554</v>
      </c>
      <c r="H572" s="12">
        <f t="shared" si="77"/>
        <v>14.423363555555554</v>
      </c>
      <c r="I572" s="1" t="str">
        <f t="shared" si="78"/>
        <v>No</v>
      </c>
      <c r="J572" s="1" t="str">
        <f t="shared" si="79"/>
        <v>Si</v>
      </c>
      <c r="K572" s="1" t="str">
        <f t="shared" si="80"/>
        <v/>
      </c>
    </row>
    <row r="573" spans="1:11" x14ac:dyDescent="0.3">
      <c r="A573" s="1">
        <v>10</v>
      </c>
      <c r="B573" s="1">
        <v>45</v>
      </c>
      <c r="C573" s="12">
        <f t="shared" si="72"/>
        <v>-1.125</v>
      </c>
      <c r="D573" s="12">
        <f t="shared" si="73"/>
        <v>1.5</v>
      </c>
      <c r="E573" s="12">
        <f t="shared" si="74"/>
        <v>11.012968817777777</v>
      </c>
      <c r="F573" s="12">
        <f t="shared" si="75"/>
        <v>11.012968817777777</v>
      </c>
      <c r="G573" s="12">
        <f t="shared" si="76"/>
        <v>14.419859199999999</v>
      </c>
      <c r="H573" s="12">
        <f t="shared" si="77"/>
        <v>14.419859199999999</v>
      </c>
      <c r="I573" s="1" t="str">
        <f t="shared" si="78"/>
        <v>No</v>
      </c>
      <c r="J573" s="1" t="str">
        <f t="shared" si="79"/>
        <v>Si</v>
      </c>
      <c r="K573" s="1" t="str">
        <f t="shared" si="80"/>
        <v/>
      </c>
    </row>
    <row r="574" spans="1:11" x14ac:dyDescent="0.3">
      <c r="A574" s="1">
        <v>10</v>
      </c>
      <c r="B574" s="1">
        <v>46</v>
      </c>
      <c r="C574" s="12">
        <f t="shared" si="72"/>
        <v>-1.125</v>
      </c>
      <c r="D574" s="12">
        <f t="shared" si="73"/>
        <v>1.5750000000000002</v>
      </c>
      <c r="E574" s="12">
        <f t="shared" si="74"/>
        <v>11.010480725333332</v>
      </c>
      <c r="F574" s="12">
        <f t="shared" si="75"/>
        <v>11.010480725333332</v>
      </c>
      <c r="G574" s="12">
        <f t="shared" si="76"/>
        <v>14.416354844444443</v>
      </c>
      <c r="H574" s="12">
        <f t="shared" si="77"/>
        <v>14.416354844444443</v>
      </c>
      <c r="I574" s="1" t="str">
        <f t="shared" si="78"/>
        <v>No</v>
      </c>
      <c r="J574" s="1" t="str">
        <f t="shared" si="79"/>
        <v>Si</v>
      </c>
      <c r="K574" s="1" t="str">
        <f t="shared" si="80"/>
        <v/>
      </c>
    </row>
    <row r="575" spans="1:11" x14ac:dyDescent="0.3">
      <c r="A575" s="1">
        <v>10</v>
      </c>
      <c r="B575" s="1">
        <v>47</v>
      </c>
      <c r="C575" s="12">
        <f t="shared" si="72"/>
        <v>-1.125</v>
      </c>
      <c r="D575" s="12">
        <f t="shared" si="73"/>
        <v>1.65</v>
      </c>
      <c r="E575" s="12">
        <f t="shared" si="74"/>
        <v>11.007992632888888</v>
      </c>
      <c r="F575" s="12">
        <f t="shared" si="75"/>
        <v>11.007992632888888</v>
      </c>
      <c r="G575" s="12">
        <f t="shared" si="76"/>
        <v>14.412850488888887</v>
      </c>
      <c r="H575" s="12">
        <f t="shared" si="77"/>
        <v>14.412850488888887</v>
      </c>
      <c r="I575" s="1" t="str">
        <f t="shared" si="78"/>
        <v>No</v>
      </c>
      <c r="J575" s="1" t="str">
        <f t="shared" si="79"/>
        <v>Si</v>
      </c>
      <c r="K575" s="1" t="str">
        <f t="shared" si="80"/>
        <v/>
      </c>
    </row>
    <row r="576" spans="1:11" x14ac:dyDescent="0.3">
      <c r="A576" s="1">
        <v>10</v>
      </c>
      <c r="B576" s="1">
        <v>48</v>
      </c>
      <c r="C576" s="12">
        <f t="shared" si="72"/>
        <v>-1.125</v>
      </c>
      <c r="D576" s="12">
        <f t="shared" si="73"/>
        <v>1.7250000000000001</v>
      </c>
      <c r="E576" s="12">
        <f t="shared" si="74"/>
        <v>11.005504540444443</v>
      </c>
      <c r="F576" s="12">
        <f t="shared" si="75"/>
        <v>11.005504540444443</v>
      </c>
      <c r="G576" s="12">
        <f t="shared" si="76"/>
        <v>14.409346133333333</v>
      </c>
      <c r="H576" s="12">
        <f t="shared" si="77"/>
        <v>14.409346133333333</v>
      </c>
      <c r="I576" s="1" t="str">
        <f t="shared" si="78"/>
        <v>No</v>
      </c>
      <c r="J576" s="1" t="str">
        <f t="shared" si="79"/>
        <v>Si</v>
      </c>
      <c r="K576" s="1" t="str">
        <f t="shared" si="80"/>
        <v/>
      </c>
    </row>
    <row r="577" spans="1:11" x14ac:dyDescent="0.3">
      <c r="A577" s="1">
        <v>10</v>
      </c>
      <c r="B577" s="1">
        <v>49</v>
      </c>
      <c r="C577" s="12">
        <f t="shared" si="72"/>
        <v>-1.125</v>
      </c>
      <c r="D577" s="12">
        <f t="shared" si="73"/>
        <v>1.7999999999999998</v>
      </c>
      <c r="E577" s="12">
        <f t="shared" si="74"/>
        <v>11.003016447999999</v>
      </c>
      <c r="F577" s="12">
        <f t="shared" si="75"/>
        <v>11.003016447999999</v>
      </c>
      <c r="G577" s="12">
        <f t="shared" si="76"/>
        <v>14.405841777777777</v>
      </c>
      <c r="H577" s="12">
        <f t="shared" si="77"/>
        <v>14.405841777777777</v>
      </c>
      <c r="I577" s="1" t="str">
        <f t="shared" si="78"/>
        <v>No</v>
      </c>
      <c r="J577" s="1" t="str">
        <f t="shared" si="79"/>
        <v>Si</v>
      </c>
      <c r="K577" s="1" t="str">
        <f t="shared" si="80"/>
        <v/>
      </c>
    </row>
    <row r="578" spans="1:11" x14ac:dyDescent="0.3">
      <c r="A578" s="1">
        <v>10</v>
      </c>
      <c r="B578" s="1">
        <v>50</v>
      </c>
      <c r="C578" s="12">
        <f t="shared" si="72"/>
        <v>-1.125</v>
      </c>
      <c r="D578" s="12">
        <f t="shared" si="73"/>
        <v>1.875</v>
      </c>
      <c r="E578" s="12">
        <f t="shared" si="74"/>
        <v>11.000528355555554</v>
      </c>
      <c r="F578" s="12">
        <f t="shared" si="75"/>
        <v>11.000528355555554</v>
      </c>
      <c r="G578" s="12">
        <f t="shared" si="76"/>
        <v>14.402337422222221</v>
      </c>
      <c r="H578" s="12">
        <f t="shared" si="77"/>
        <v>14.402337422222221</v>
      </c>
      <c r="I578" s="1" t="str">
        <f t="shared" si="78"/>
        <v>No</v>
      </c>
      <c r="J578" s="1" t="str">
        <f t="shared" si="79"/>
        <v>Si</v>
      </c>
      <c r="K578" s="1" t="str">
        <f t="shared" si="80"/>
        <v/>
      </c>
    </row>
    <row r="579" spans="1:11" x14ac:dyDescent="0.3">
      <c r="A579" s="1">
        <v>11</v>
      </c>
      <c r="B579" s="1">
        <v>0</v>
      </c>
      <c r="C579" s="12">
        <f t="shared" si="72"/>
        <v>-1.05</v>
      </c>
      <c r="D579" s="12">
        <f t="shared" si="73"/>
        <v>-1.875</v>
      </c>
      <c r="E579" s="12">
        <f t="shared" si="74"/>
        <v>11.125627022222222</v>
      </c>
      <c r="F579" s="12">
        <f t="shared" si="75"/>
        <v>11.125627022222222</v>
      </c>
      <c r="G579" s="12">
        <f t="shared" si="76"/>
        <v>14.578592853333332</v>
      </c>
      <c r="H579" s="12">
        <f t="shared" si="77"/>
        <v>14.578592853333332</v>
      </c>
      <c r="I579" s="1" t="str">
        <f t="shared" si="78"/>
        <v>No</v>
      </c>
      <c r="J579" s="1" t="str">
        <f t="shared" si="79"/>
        <v>Si</v>
      </c>
      <c r="K579" s="1" t="str">
        <f t="shared" si="80"/>
        <v/>
      </c>
    </row>
    <row r="580" spans="1:11" x14ac:dyDescent="0.3">
      <c r="A580" s="1">
        <v>11</v>
      </c>
      <c r="B580" s="1">
        <v>1</v>
      </c>
      <c r="C580" s="12">
        <f t="shared" si="72"/>
        <v>-1.05</v>
      </c>
      <c r="D580" s="12">
        <f t="shared" si="73"/>
        <v>-1.8</v>
      </c>
      <c r="E580" s="12">
        <f t="shared" si="74"/>
        <v>11.123138929777777</v>
      </c>
      <c r="F580" s="12">
        <f t="shared" si="75"/>
        <v>11.123138929777777</v>
      </c>
      <c r="G580" s="12">
        <f t="shared" si="76"/>
        <v>14.575088497777775</v>
      </c>
      <c r="H580" s="12">
        <f t="shared" si="77"/>
        <v>14.575088497777775</v>
      </c>
      <c r="I580" s="1" t="str">
        <f t="shared" si="78"/>
        <v>No</v>
      </c>
      <c r="J580" s="1" t="str">
        <f t="shared" si="79"/>
        <v>Si</v>
      </c>
      <c r="K580" s="1" t="str">
        <f t="shared" si="80"/>
        <v/>
      </c>
    </row>
    <row r="581" spans="1:11" x14ac:dyDescent="0.3">
      <c r="A581" s="1">
        <v>11</v>
      </c>
      <c r="B581" s="1">
        <v>2</v>
      </c>
      <c r="C581" s="12">
        <f t="shared" si="72"/>
        <v>-1.05</v>
      </c>
      <c r="D581" s="12">
        <f t="shared" si="73"/>
        <v>-1.7250000000000001</v>
      </c>
      <c r="E581" s="12">
        <f t="shared" si="74"/>
        <v>11.120650837333333</v>
      </c>
      <c r="F581" s="12">
        <f t="shared" si="75"/>
        <v>11.120650837333333</v>
      </c>
      <c r="G581" s="12">
        <f t="shared" si="76"/>
        <v>14.571584142222219</v>
      </c>
      <c r="H581" s="12">
        <f t="shared" si="77"/>
        <v>14.571584142222219</v>
      </c>
      <c r="I581" s="1" t="str">
        <f t="shared" si="78"/>
        <v>No</v>
      </c>
      <c r="J581" s="1" t="str">
        <f t="shared" si="79"/>
        <v>Si</v>
      </c>
      <c r="K581" s="1" t="str">
        <f t="shared" si="80"/>
        <v/>
      </c>
    </row>
    <row r="582" spans="1:11" x14ac:dyDescent="0.3">
      <c r="A582" s="1">
        <v>11</v>
      </c>
      <c r="B582" s="1">
        <v>3</v>
      </c>
      <c r="C582" s="12">
        <f t="shared" si="72"/>
        <v>-1.05</v>
      </c>
      <c r="D582" s="12">
        <f t="shared" si="73"/>
        <v>-1.65</v>
      </c>
      <c r="E582" s="12">
        <f t="shared" si="74"/>
        <v>11.118162744888888</v>
      </c>
      <c r="F582" s="12">
        <f t="shared" si="75"/>
        <v>11.118162744888888</v>
      </c>
      <c r="G582" s="12">
        <f t="shared" si="76"/>
        <v>14.568079786666665</v>
      </c>
      <c r="H582" s="12">
        <f t="shared" si="77"/>
        <v>14.568079786666665</v>
      </c>
      <c r="I582" s="1" t="str">
        <f t="shared" si="78"/>
        <v>No</v>
      </c>
      <c r="J582" s="1" t="str">
        <f t="shared" si="79"/>
        <v>Si</v>
      </c>
      <c r="K582" s="1" t="str">
        <f t="shared" si="80"/>
        <v/>
      </c>
    </row>
    <row r="583" spans="1:11" x14ac:dyDescent="0.3">
      <c r="A583" s="1">
        <v>11</v>
      </c>
      <c r="B583" s="1">
        <v>4</v>
      </c>
      <c r="C583" s="12">
        <f t="shared" si="72"/>
        <v>-1.05</v>
      </c>
      <c r="D583" s="12">
        <f t="shared" si="73"/>
        <v>-1.575</v>
      </c>
      <c r="E583" s="12">
        <f t="shared" si="74"/>
        <v>11.115674652444444</v>
      </c>
      <c r="F583" s="12">
        <f t="shared" si="75"/>
        <v>11.115674652444444</v>
      </c>
      <c r="G583" s="12">
        <f t="shared" si="76"/>
        <v>14.564575431111109</v>
      </c>
      <c r="H583" s="12">
        <f t="shared" si="77"/>
        <v>14.564575431111109</v>
      </c>
      <c r="I583" s="1" t="str">
        <f t="shared" si="78"/>
        <v>No</v>
      </c>
      <c r="J583" s="1" t="str">
        <f t="shared" si="79"/>
        <v>Si</v>
      </c>
      <c r="K583" s="1" t="str">
        <f t="shared" si="80"/>
        <v/>
      </c>
    </row>
    <row r="584" spans="1:11" x14ac:dyDescent="0.3">
      <c r="A584" s="1">
        <v>11</v>
      </c>
      <c r="B584" s="1">
        <v>5</v>
      </c>
      <c r="C584" s="12">
        <f t="shared" si="72"/>
        <v>-1.05</v>
      </c>
      <c r="D584" s="12">
        <f t="shared" si="73"/>
        <v>-1.5</v>
      </c>
      <c r="E584" s="12">
        <f t="shared" si="74"/>
        <v>11.113186559999999</v>
      </c>
      <c r="F584" s="12">
        <f t="shared" si="75"/>
        <v>11.113186559999999</v>
      </c>
      <c r="G584" s="12">
        <f t="shared" si="76"/>
        <v>14.561071075555553</v>
      </c>
      <c r="H584" s="12">
        <f t="shared" si="77"/>
        <v>14.561071075555553</v>
      </c>
      <c r="I584" s="1" t="str">
        <f t="shared" si="78"/>
        <v>No</v>
      </c>
      <c r="J584" s="1" t="str">
        <f t="shared" si="79"/>
        <v>Si</v>
      </c>
      <c r="K584" s="1" t="str">
        <f t="shared" si="80"/>
        <v/>
      </c>
    </row>
    <row r="585" spans="1:11" x14ac:dyDescent="0.3">
      <c r="A585" s="1">
        <v>11</v>
      </c>
      <c r="B585" s="1">
        <v>6</v>
      </c>
      <c r="C585" s="12">
        <f t="shared" si="72"/>
        <v>-1.05</v>
      </c>
      <c r="D585" s="12">
        <f t="shared" si="73"/>
        <v>-1.425</v>
      </c>
      <c r="E585" s="12">
        <f t="shared" si="74"/>
        <v>11.110698467555554</v>
      </c>
      <c r="F585" s="12">
        <f t="shared" si="75"/>
        <v>11.110698467555554</v>
      </c>
      <c r="G585" s="12">
        <f t="shared" si="76"/>
        <v>14.557566719999999</v>
      </c>
      <c r="H585" s="12">
        <f t="shared" si="77"/>
        <v>14.557566719999999</v>
      </c>
      <c r="I585" s="1" t="str">
        <f t="shared" si="78"/>
        <v>No</v>
      </c>
      <c r="J585" s="1" t="str">
        <f t="shared" si="79"/>
        <v>Si</v>
      </c>
      <c r="K585" s="1" t="str">
        <f t="shared" si="80"/>
        <v/>
      </c>
    </row>
    <row r="586" spans="1:11" x14ac:dyDescent="0.3">
      <c r="A586" s="1">
        <v>11</v>
      </c>
      <c r="B586" s="1">
        <v>7</v>
      </c>
      <c r="C586" s="12">
        <f t="shared" si="72"/>
        <v>-1.05</v>
      </c>
      <c r="D586" s="12">
        <f t="shared" si="73"/>
        <v>-1.35</v>
      </c>
      <c r="E586" s="12">
        <f t="shared" si="74"/>
        <v>11.108210375111112</v>
      </c>
      <c r="F586" s="12">
        <f t="shared" si="75"/>
        <v>11.108210375111112</v>
      </c>
      <c r="G586" s="12">
        <f t="shared" si="76"/>
        <v>14.554062364444443</v>
      </c>
      <c r="H586" s="12">
        <f t="shared" si="77"/>
        <v>14.554062364444443</v>
      </c>
      <c r="I586" s="1" t="str">
        <f t="shared" si="78"/>
        <v>No</v>
      </c>
      <c r="J586" s="1" t="str">
        <f t="shared" si="79"/>
        <v>Si</v>
      </c>
      <c r="K586" s="1" t="str">
        <f t="shared" si="80"/>
        <v/>
      </c>
    </row>
    <row r="587" spans="1:11" x14ac:dyDescent="0.3">
      <c r="A587" s="1">
        <v>11</v>
      </c>
      <c r="B587" s="1">
        <v>8</v>
      </c>
      <c r="C587" s="12">
        <f t="shared" si="72"/>
        <v>-1.05</v>
      </c>
      <c r="D587" s="12">
        <f t="shared" si="73"/>
        <v>-1.2749999999999999</v>
      </c>
      <c r="E587" s="12">
        <f t="shared" si="74"/>
        <v>11.105722282666667</v>
      </c>
      <c r="F587" s="12">
        <f t="shared" si="75"/>
        <v>11.105722282666667</v>
      </c>
      <c r="G587" s="12">
        <f t="shared" si="76"/>
        <v>14.550558008888887</v>
      </c>
      <c r="H587" s="12">
        <f t="shared" si="77"/>
        <v>14.550558008888887</v>
      </c>
      <c r="I587" s="1" t="str">
        <f t="shared" si="78"/>
        <v>No</v>
      </c>
      <c r="J587" s="1" t="str">
        <f t="shared" si="79"/>
        <v>Si</v>
      </c>
      <c r="K587" s="1" t="str">
        <f t="shared" si="80"/>
        <v/>
      </c>
    </row>
    <row r="588" spans="1:11" x14ac:dyDescent="0.3">
      <c r="A588" s="1">
        <v>11</v>
      </c>
      <c r="B588" s="1">
        <v>9</v>
      </c>
      <c r="C588" s="12">
        <f t="shared" si="72"/>
        <v>-1.05</v>
      </c>
      <c r="D588" s="12">
        <f t="shared" si="73"/>
        <v>-1.2</v>
      </c>
      <c r="E588" s="12">
        <f t="shared" si="74"/>
        <v>11.103234190222222</v>
      </c>
      <c r="F588" s="12">
        <f t="shared" si="75"/>
        <v>11.103234190222222</v>
      </c>
      <c r="G588" s="12">
        <f t="shared" si="76"/>
        <v>14.547053653333331</v>
      </c>
      <c r="H588" s="12">
        <f t="shared" si="77"/>
        <v>14.547053653333331</v>
      </c>
      <c r="I588" s="1" t="str">
        <f t="shared" si="78"/>
        <v>No</v>
      </c>
      <c r="J588" s="1" t="str">
        <f t="shared" si="79"/>
        <v>Si</v>
      </c>
      <c r="K588" s="1" t="str">
        <f t="shared" si="80"/>
        <v/>
      </c>
    </row>
    <row r="589" spans="1:11" x14ac:dyDescent="0.3">
      <c r="A589" s="1">
        <v>11</v>
      </c>
      <c r="B589" s="1">
        <v>10</v>
      </c>
      <c r="C589" s="12">
        <f t="shared" si="72"/>
        <v>-1.05</v>
      </c>
      <c r="D589" s="12">
        <f t="shared" si="73"/>
        <v>-1.125</v>
      </c>
      <c r="E589" s="12">
        <f t="shared" si="74"/>
        <v>11.100746097777778</v>
      </c>
      <c r="F589" s="12">
        <f t="shared" si="75"/>
        <v>11.100746097777778</v>
      </c>
      <c r="G589" s="12">
        <f t="shared" si="76"/>
        <v>14.543549297777776</v>
      </c>
      <c r="H589" s="12">
        <f t="shared" si="77"/>
        <v>14.543549297777776</v>
      </c>
      <c r="I589" s="1" t="str">
        <f t="shared" si="78"/>
        <v>No</v>
      </c>
      <c r="J589" s="1" t="str">
        <f t="shared" si="79"/>
        <v>Si</v>
      </c>
      <c r="K589" s="1" t="str">
        <f t="shared" si="80"/>
        <v/>
      </c>
    </row>
    <row r="590" spans="1:11" x14ac:dyDescent="0.3">
      <c r="A590" s="1">
        <v>11</v>
      </c>
      <c r="B590" s="1">
        <v>11</v>
      </c>
      <c r="C590" s="12">
        <f t="shared" si="72"/>
        <v>-1.05</v>
      </c>
      <c r="D590" s="12">
        <f t="shared" si="73"/>
        <v>-1.05</v>
      </c>
      <c r="E590" s="12">
        <f t="shared" si="74"/>
        <v>11.098258005333333</v>
      </c>
      <c r="F590" s="12">
        <f t="shared" si="75"/>
        <v>11.098258005333333</v>
      </c>
      <c r="G590" s="12">
        <f t="shared" si="76"/>
        <v>14.54004494222222</v>
      </c>
      <c r="H590" s="12">
        <f t="shared" si="77"/>
        <v>14.54004494222222</v>
      </c>
      <c r="I590" s="1" t="str">
        <f t="shared" si="78"/>
        <v>No</v>
      </c>
      <c r="J590" s="1" t="str">
        <f t="shared" si="79"/>
        <v>Si</v>
      </c>
      <c r="K590" s="1" t="str">
        <f t="shared" si="80"/>
        <v/>
      </c>
    </row>
    <row r="591" spans="1:11" x14ac:dyDescent="0.3">
      <c r="A591" s="1">
        <v>11</v>
      </c>
      <c r="B591" s="1">
        <v>12</v>
      </c>
      <c r="C591" s="12">
        <f t="shared" si="72"/>
        <v>-1.05</v>
      </c>
      <c r="D591" s="12">
        <f t="shared" si="73"/>
        <v>-0.97499999999999998</v>
      </c>
      <c r="E591" s="12">
        <f t="shared" si="74"/>
        <v>11.095769912888889</v>
      </c>
      <c r="F591" s="12">
        <f t="shared" si="75"/>
        <v>11.095769912888889</v>
      </c>
      <c r="G591" s="12">
        <f t="shared" si="76"/>
        <v>14.536540586666664</v>
      </c>
      <c r="H591" s="12">
        <f t="shared" si="77"/>
        <v>14.536540586666664</v>
      </c>
      <c r="I591" s="1" t="str">
        <f t="shared" si="78"/>
        <v>No</v>
      </c>
      <c r="J591" s="1" t="str">
        <f t="shared" si="79"/>
        <v>Si</v>
      </c>
      <c r="K591" s="1" t="str">
        <f t="shared" si="80"/>
        <v/>
      </c>
    </row>
    <row r="592" spans="1:11" x14ac:dyDescent="0.3">
      <c r="A592" s="1">
        <v>11</v>
      </c>
      <c r="B592" s="1">
        <v>13</v>
      </c>
      <c r="C592" s="12">
        <f t="shared" si="72"/>
        <v>-1.05</v>
      </c>
      <c r="D592" s="12">
        <f t="shared" si="73"/>
        <v>-0.9</v>
      </c>
      <c r="E592" s="12">
        <f t="shared" si="74"/>
        <v>11.093281820444444</v>
      </c>
      <c r="F592" s="12">
        <f t="shared" si="75"/>
        <v>11.093281820444444</v>
      </c>
      <c r="G592" s="12">
        <f t="shared" si="76"/>
        <v>14.53303623111111</v>
      </c>
      <c r="H592" s="12">
        <f t="shared" si="77"/>
        <v>14.53303623111111</v>
      </c>
      <c r="I592" s="1" t="str">
        <f t="shared" si="78"/>
        <v>No</v>
      </c>
      <c r="J592" s="1" t="str">
        <f t="shared" si="79"/>
        <v>Si</v>
      </c>
      <c r="K592" s="1" t="str">
        <f t="shared" si="80"/>
        <v/>
      </c>
    </row>
    <row r="593" spans="1:11" x14ac:dyDescent="0.3">
      <c r="A593" s="1">
        <v>11</v>
      </c>
      <c r="B593" s="1">
        <v>14</v>
      </c>
      <c r="C593" s="12">
        <f t="shared" si="72"/>
        <v>-1.05</v>
      </c>
      <c r="D593" s="12">
        <f t="shared" si="73"/>
        <v>-0.82499999999999996</v>
      </c>
      <c r="E593" s="12">
        <f t="shared" si="74"/>
        <v>11.090793728</v>
      </c>
      <c r="F593" s="12">
        <f t="shared" si="75"/>
        <v>11.090793728</v>
      </c>
      <c r="G593" s="12">
        <f t="shared" si="76"/>
        <v>14.529531875555554</v>
      </c>
      <c r="H593" s="12">
        <f t="shared" si="77"/>
        <v>14.529531875555554</v>
      </c>
      <c r="I593" s="1" t="str">
        <f t="shared" si="78"/>
        <v>No</v>
      </c>
      <c r="J593" s="1" t="str">
        <f t="shared" si="79"/>
        <v>Si</v>
      </c>
      <c r="K593" s="1" t="str">
        <f t="shared" si="80"/>
        <v/>
      </c>
    </row>
    <row r="594" spans="1:11" x14ac:dyDescent="0.3">
      <c r="A594" s="1">
        <v>11</v>
      </c>
      <c r="B594" s="1">
        <v>15</v>
      </c>
      <c r="C594" s="12">
        <f t="shared" ref="C594:C657" si="81">IF(OR(A594&gt;inp_n_div_x,B594&gt;inp_n_div_y),"",-inp_bx/2+A594*inp_bx/inp_n_div_x)</f>
        <v>-1.05</v>
      </c>
      <c r="D594" s="12">
        <f t="shared" ref="D594:D657" si="82">IF(C594="","",-inp_by/2+B594*inp_by/inp_n_div_y)</f>
        <v>-0.75</v>
      </c>
      <c r="E594" s="12">
        <f t="shared" ref="E594:E657" si="83">IF(C594="","",res_srv_p_tot/geo_area+res_srv_mx_tot/geo_ix*D594+res_srv_my_tot/geo_iy*C594)</f>
        <v>11.088305635555555</v>
      </c>
      <c r="F594" s="12">
        <f t="shared" ref="F594:F657" si="84">IF(E594="","",MAX(0,E594))</f>
        <v>11.088305635555555</v>
      </c>
      <c r="G594" s="12">
        <f t="shared" ref="G594:G657" si="85">IF(C594="","",res_u_p_tot/geo_area+res_u_mx_tot/geo_ix*D594+res_u_my_tot/geo_iy*C594)</f>
        <v>14.526027519999998</v>
      </c>
      <c r="H594" s="12">
        <f t="shared" ref="H594:H657" si="86">IF(G594="","",MAX(0,G594))</f>
        <v>14.526027519999998</v>
      </c>
      <c r="I594" s="1" t="str">
        <f t="shared" ref="I594:I657" si="87">IF(C594="","",IF(AND(C594&gt;=inp_xc-inp_cx/2,C594&lt;=inp_xc+inp_cx/2,D594&gt;=inp_yc-inp_cy/2,D594&lt;=inp_yc+inp_cy/2),"Si","No"))</f>
        <v>No</v>
      </c>
      <c r="J594" s="1" t="str">
        <f t="shared" ref="J594:J657" si="88">IF(C594="","","Si")</f>
        <v>Si</v>
      </c>
      <c r="K594" s="1" t="str">
        <f t="shared" ref="K594:K657" si="89">IF(OR(E594&lt;0,G594&lt;0),"Presion negativa","")</f>
        <v/>
      </c>
    </row>
    <row r="595" spans="1:11" x14ac:dyDescent="0.3">
      <c r="A595" s="1">
        <v>11</v>
      </c>
      <c r="B595" s="1">
        <v>16</v>
      </c>
      <c r="C595" s="12">
        <f t="shared" si="81"/>
        <v>-1.05</v>
      </c>
      <c r="D595" s="12">
        <f t="shared" si="82"/>
        <v>-0.67500000000000004</v>
      </c>
      <c r="E595" s="12">
        <f t="shared" si="83"/>
        <v>11.08581754311111</v>
      </c>
      <c r="F595" s="12">
        <f t="shared" si="84"/>
        <v>11.08581754311111</v>
      </c>
      <c r="G595" s="12">
        <f t="shared" si="85"/>
        <v>14.522523164444442</v>
      </c>
      <c r="H595" s="12">
        <f t="shared" si="86"/>
        <v>14.522523164444442</v>
      </c>
      <c r="I595" s="1" t="str">
        <f t="shared" si="87"/>
        <v>No</v>
      </c>
      <c r="J595" s="1" t="str">
        <f t="shared" si="88"/>
        <v>Si</v>
      </c>
      <c r="K595" s="1" t="str">
        <f t="shared" si="89"/>
        <v/>
      </c>
    </row>
    <row r="596" spans="1:11" x14ac:dyDescent="0.3">
      <c r="A596" s="1">
        <v>11</v>
      </c>
      <c r="B596" s="1">
        <v>17</v>
      </c>
      <c r="C596" s="12">
        <f t="shared" si="81"/>
        <v>-1.05</v>
      </c>
      <c r="D596" s="12">
        <f t="shared" si="82"/>
        <v>-0.60000000000000009</v>
      </c>
      <c r="E596" s="12">
        <f t="shared" si="83"/>
        <v>11.083329450666666</v>
      </c>
      <c r="F596" s="12">
        <f t="shared" si="84"/>
        <v>11.083329450666666</v>
      </c>
      <c r="G596" s="12">
        <f t="shared" si="85"/>
        <v>14.519018808888887</v>
      </c>
      <c r="H596" s="12">
        <f t="shared" si="86"/>
        <v>14.519018808888887</v>
      </c>
      <c r="I596" s="1" t="str">
        <f t="shared" si="87"/>
        <v>No</v>
      </c>
      <c r="J596" s="1" t="str">
        <f t="shared" si="88"/>
        <v>Si</v>
      </c>
      <c r="K596" s="1" t="str">
        <f t="shared" si="89"/>
        <v/>
      </c>
    </row>
    <row r="597" spans="1:11" x14ac:dyDescent="0.3">
      <c r="A597" s="1">
        <v>11</v>
      </c>
      <c r="B597" s="1">
        <v>18</v>
      </c>
      <c r="C597" s="12">
        <f t="shared" si="81"/>
        <v>-1.05</v>
      </c>
      <c r="D597" s="12">
        <f t="shared" si="82"/>
        <v>-0.52499999999999991</v>
      </c>
      <c r="E597" s="12">
        <f t="shared" si="83"/>
        <v>11.080841358222221</v>
      </c>
      <c r="F597" s="12">
        <f t="shared" si="84"/>
        <v>11.080841358222221</v>
      </c>
      <c r="G597" s="12">
        <f t="shared" si="85"/>
        <v>14.515514453333331</v>
      </c>
      <c r="H597" s="12">
        <f t="shared" si="86"/>
        <v>14.515514453333331</v>
      </c>
      <c r="I597" s="1" t="str">
        <f t="shared" si="87"/>
        <v>No</v>
      </c>
      <c r="J597" s="1" t="str">
        <f t="shared" si="88"/>
        <v>Si</v>
      </c>
      <c r="K597" s="1" t="str">
        <f t="shared" si="89"/>
        <v/>
      </c>
    </row>
    <row r="598" spans="1:11" x14ac:dyDescent="0.3">
      <c r="A598" s="1">
        <v>11</v>
      </c>
      <c r="B598" s="1">
        <v>19</v>
      </c>
      <c r="C598" s="12">
        <f t="shared" si="81"/>
        <v>-1.05</v>
      </c>
      <c r="D598" s="12">
        <f t="shared" si="82"/>
        <v>-0.44999999999999996</v>
      </c>
      <c r="E598" s="12">
        <f t="shared" si="83"/>
        <v>11.078353265777778</v>
      </c>
      <c r="F598" s="12">
        <f t="shared" si="84"/>
        <v>11.078353265777778</v>
      </c>
      <c r="G598" s="12">
        <f t="shared" si="85"/>
        <v>14.512010097777775</v>
      </c>
      <c r="H598" s="12">
        <f t="shared" si="86"/>
        <v>14.512010097777775</v>
      </c>
      <c r="I598" s="1" t="str">
        <f t="shared" si="87"/>
        <v>No</v>
      </c>
      <c r="J598" s="1" t="str">
        <f t="shared" si="88"/>
        <v>Si</v>
      </c>
      <c r="K598" s="1" t="str">
        <f t="shared" si="89"/>
        <v/>
      </c>
    </row>
    <row r="599" spans="1:11" x14ac:dyDescent="0.3">
      <c r="A599" s="1">
        <v>11</v>
      </c>
      <c r="B599" s="1">
        <v>20</v>
      </c>
      <c r="C599" s="12">
        <f t="shared" si="81"/>
        <v>-1.05</v>
      </c>
      <c r="D599" s="12">
        <f t="shared" si="82"/>
        <v>-0.375</v>
      </c>
      <c r="E599" s="12">
        <f t="shared" si="83"/>
        <v>11.075865173333334</v>
      </c>
      <c r="F599" s="12">
        <f t="shared" si="84"/>
        <v>11.075865173333334</v>
      </c>
      <c r="G599" s="12">
        <f t="shared" si="85"/>
        <v>14.508505742222221</v>
      </c>
      <c r="H599" s="12">
        <f t="shared" si="86"/>
        <v>14.508505742222221</v>
      </c>
      <c r="I599" s="1" t="str">
        <f t="shared" si="87"/>
        <v>No</v>
      </c>
      <c r="J599" s="1" t="str">
        <f t="shared" si="88"/>
        <v>Si</v>
      </c>
      <c r="K599" s="1" t="str">
        <f t="shared" si="89"/>
        <v/>
      </c>
    </row>
    <row r="600" spans="1:11" x14ac:dyDescent="0.3">
      <c r="A600" s="1">
        <v>11</v>
      </c>
      <c r="B600" s="1">
        <v>21</v>
      </c>
      <c r="C600" s="12">
        <f t="shared" si="81"/>
        <v>-1.05</v>
      </c>
      <c r="D600" s="12">
        <f t="shared" si="82"/>
        <v>-0.30000000000000004</v>
      </c>
      <c r="E600" s="12">
        <f t="shared" si="83"/>
        <v>11.073377080888889</v>
      </c>
      <c r="F600" s="12">
        <f t="shared" si="84"/>
        <v>11.073377080888889</v>
      </c>
      <c r="G600" s="12">
        <f t="shared" si="85"/>
        <v>14.505001386666665</v>
      </c>
      <c r="H600" s="12">
        <f t="shared" si="86"/>
        <v>14.505001386666665</v>
      </c>
      <c r="I600" s="1" t="str">
        <f t="shared" si="87"/>
        <v>No</v>
      </c>
      <c r="J600" s="1" t="str">
        <f t="shared" si="88"/>
        <v>Si</v>
      </c>
      <c r="K600" s="1" t="str">
        <f t="shared" si="89"/>
        <v/>
      </c>
    </row>
    <row r="601" spans="1:11" x14ac:dyDescent="0.3">
      <c r="A601" s="1">
        <v>11</v>
      </c>
      <c r="B601" s="1">
        <v>22</v>
      </c>
      <c r="C601" s="12">
        <f t="shared" si="81"/>
        <v>-1.05</v>
      </c>
      <c r="D601" s="12">
        <f t="shared" si="82"/>
        <v>-0.22500000000000009</v>
      </c>
      <c r="E601" s="12">
        <f t="shared" si="83"/>
        <v>11.070888988444445</v>
      </c>
      <c r="F601" s="12">
        <f t="shared" si="84"/>
        <v>11.070888988444445</v>
      </c>
      <c r="G601" s="12">
        <f t="shared" si="85"/>
        <v>14.501497031111109</v>
      </c>
      <c r="H601" s="12">
        <f t="shared" si="86"/>
        <v>14.501497031111109</v>
      </c>
      <c r="I601" s="1" t="str">
        <f t="shared" si="87"/>
        <v>No</v>
      </c>
      <c r="J601" s="1" t="str">
        <f t="shared" si="88"/>
        <v>Si</v>
      </c>
      <c r="K601" s="1" t="str">
        <f t="shared" si="89"/>
        <v/>
      </c>
    </row>
    <row r="602" spans="1:11" x14ac:dyDescent="0.3">
      <c r="A602" s="1">
        <v>11</v>
      </c>
      <c r="B602" s="1">
        <v>23</v>
      </c>
      <c r="C602" s="12">
        <f t="shared" si="81"/>
        <v>-1.05</v>
      </c>
      <c r="D602" s="12">
        <f t="shared" si="82"/>
        <v>-0.14999999999999991</v>
      </c>
      <c r="E602" s="12">
        <f t="shared" si="83"/>
        <v>11.068400896</v>
      </c>
      <c r="F602" s="12">
        <f t="shared" si="84"/>
        <v>11.068400896</v>
      </c>
      <c r="G602" s="12">
        <f t="shared" si="85"/>
        <v>14.497992675555553</v>
      </c>
      <c r="H602" s="12">
        <f t="shared" si="86"/>
        <v>14.497992675555553</v>
      </c>
      <c r="I602" s="1" t="str">
        <f t="shared" si="87"/>
        <v>No</v>
      </c>
      <c r="J602" s="1" t="str">
        <f t="shared" si="88"/>
        <v>Si</v>
      </c>
      <c r="K602" s="1" t="str">
        <f t="shared" si="89"/>
        <v/>
      </c>
    </row>
    <row r="603" spans="1:11" x14ac:dyDescent="0.3">
      <c r="A603" s="1">
        <v>11</v>
      </c>
      <c r="B603" s="1">
        <v>24</v>
      </c>
      <c r="C603" s="12">
        <f t="shared" si="81"/>
        <v>-1.05</v>
      </c>
      <c r="D603" s="12">
        <f t="shared" si="82"/>
        <v>-7.4999999999999956E-2</v>
      </c>
      <c r="E603" s="12">
        <f t="shared" si="83"/>
        <v>11.065912803555555</v>
      </c>
      <c r="F603" s="12">
        <f t="shared" si="84"/>
        <v>11.065912803555555</v>
      </c>
      <c r="G603" s="12">
        <f t="shared" si="85"/>
        <v>14.494488319999999</v>
      </c>
      <c r="H603" s="12">
        <f t="shared" si="86"/>
        <v>14.494488319999999</v>
      </c>
      <c r="I603" s="1" t="str">
        <f t="shared" si="87"/>
        <v>No</v>
      </c>
      <c r="J603" s="1" t="str">
        <f t="shared" si="88"/>
        <v>Si</v>
      </c>
      <c r="K603" s="1" t="str">
        <f t="shared" si="89"/>
        <v/>
      </c>
    </row>
    <row r="604" spans="1:11" x14ac:dyDescent="0.3">
      <c r="A604" s="1">
        <v>11</v>
      </c>
      <c r="B604" s="1">
        <v>25</v>
      </c>
      <c r="C604" s="12">
        <f t="shared" si="81"/>
        <v>-1.05</v>
      </c>
      <c r="D604" s="12">
        <f t="shared" si="82"/>
        <v>0</v>
      </c>
      <c r="E604" s="12">
        <f t="shared" si="83"/>
        <v>11.063424711111111</v>
      </c>
      <c r="F604" s="12">
        <f t="shared" si="84"/>
        <v>11.063424711111111</v>
      </c>
      <c r="G604" s="12">
        <f t="shared" si="85"/>
        <v>14.490983964444442</v>
      </c>
      <c r="H604" s="12">
        <f t="shared" si="86"/>
        <v>14.490983964444442</v>
      </c>
      <c r="I604" s="1" t="str">
        <f t="shared" si="87"/>
        <v>No</v>
      </c>
      <c r="J604" s="1" t="str">
        <f t="shared" si="88"/>
        <v>Si</v>
      </c>
      <c r="K604" s="1" t="str">
        <f t="shared" si="89"/>
        <v/>
      </c>
    </row>
    <row r="605" spans="1:11" x14ac:dyDescent="0.3">
      <c r="A605" s="1">
        <v>11</v>
      </c>
      <c r="B605" s="1">
        <v>26</v>
      </c>
      <c r="C605" s="12">
        <f t="shared" si="81"/>
        <v>-1.05</v>
      </c>
      <c r="D605" s="12">
        <f t="shared" si="82"/>
        <v>7.4999999999999956E-2</v>
      </c>
      <c r="E605" s="12">
        <f t="shared" si="83"/>
        <v>11.060936618666666</v>
      </c>
      <c r="F605" s="12">
        <f t="shared" si="84"/>
        <v>11.060936618666666</v>
      </c>
      <c r="G605" s="12">
        <f t="shared" si="85"/>
        <v>14.487479608888886</v>
      </c>
      <c r="H605" s="12">
        <f t="shared" si="86"/>
        <v>14.487479608888886</v>
      </c>
      <c r="I605" s="1" t="str">
        <f t="shared" si="87"/>
        <v>No</v>
      </c>
      <c r="J605" s="1" t="str">
        <f t="shared" si="88"/>
        <v>Si</v>
      </c>
      <c r="K605" s="1" t="str">
        <f t="shared" si="89"/>
        <v/>
      </c>
    </row>
    <row r="606" spans="1:11" x14ac:dyDescent="0.3">
      <c r="A606" s="1">
        <v>11</v>
      </c>
      <c r="B606" s="1">
        <v>27</v>
      </c>
      <c r="C606" s="12">
        <f t="shared" si="81"/>
        <v>-1.05</v>
      </c>
      <c r="D606" s="12">
        <f t="shared" si="82"/>
        <v>0.14999999999999991</v>
      </c>
      <c r="E606" s="12">
        <f t="shared" si="83"/>
        <v>11.058448526222222</v>
      </c>
      <c r="F606" s="12">
        <f t="shared" si="84"/>
        <v>11.058448526222222</v>
      </c>
      <c r="G606" s="12">
        <f t="shared" si="85"/>
        <v>14.483975253333332</v>
      </c>
      <c r="H606" s="12">
        <f t="shared" si="86"/>
        <v>14.483975253333332</v>
      </c>
      <c r="I606" s="1" t="str">
        <f t="shared" si="87"/>
        <v>No</v>
      </c>
      <c r="J606" s="1" t="str">
        <f t="shared" si="88"/>
        <v>Si</v>
      </c>
      <c r="K606" s="1" t="str">
        <f t="shared" si="89"/>
        <v/>
      </c>
    </row>
    <row r="607" spans="1:11" x14ac:dyDescent="0.3">
      <c r="A607" s="1">
        <v>11</v>
      </c>
      <c r="B607" s="1">
        <v>28</v>
      </c>
      <c r="C607" s="12">
        <f t="shared" si="81"/>
        <v>-1.05</v>
      </c>
      <c r="D607" s="12">
        <f t="shared" si="82"/>
        <v>0.22500000000000009</v>
      </c>
      <c r="E607" s="12">
        <f t="shared" si="83"/>
        <v>11.055960433777777</v>
      </c>
      <c r="F607" s="12">
        <f t="shared" si="84"/>
        <v>11.055960433777777</v>
      </c>
      <c r="G607" s="12">
        <f t="shared" si="85"/>
        <v>14.480470897777776</v>
      </c>
      <c r="H607" s="12">
        <f t="shared" si="86"/>
        <v>14.480470897777776</v>
      </c>
      <c r="I607" s="1" t="str">
        <f t="shared" si="87"/>
        <v>No</v>
      </c>
      <c r="J607" s="1" t="str">
        <f t="shared" si="88"/>
        <v>Si</v>
      </c>
      <c r="K607" s="1" t="str">
        <f t="shared" si="89"/>
        <v/>
      </c>
    </row>
    <row r="608" spans="1:11" x14ac:dyDescent="0.3">
      <c r="A608" s="1">
        <v>11</v>
      </c>
      <c r="B608" s="1">
        <v>29</v>
      </c>
      <c r="C608" s="12">
        <f t="shared" si="81"/>
        <v>-1.05</v>
      </c>
      <c r="D608" s="12">
        <f t="shared" si="82"/>
        <v>0.29999999999999982</v>
      </c>
      <c r="E608" s="12">
        <f t="shared" si="83"/>
        <v>11.053472341333332</v>
      </c>
      <c r="F608" s="12">
        <f t="shared" si="84"/>
        <v>11.053472341333332</v>
      </c>
      <c r="G608" s="12">
        <f t="shared" si="85"/>
        <v>14.47696654222222</v>
      </c>
      <c r="H608" s="12">
        <f t="shared" si="86"/>
        <v>14.47696654222222</v>
      </c>
      <c r="I608" s="1" t="str">
        <f t="shared" si="87"/>
        <v>No</v>
      </c>
      <c r="J608" s="1" t="str">
        <f t="shared" si="88"/>
        <v>Si</v>
      </c>
      <c r="K608" s="1" t="str">
        <f t="shared" si="89"/>
        <v/>
      </c>
    </row>
    <row r="609" spans="1:11" x14ac:dyDescent="0.3">
      <c r="A609" s="1">
        <v>11</v>
      </c>
      <c r="B609" s="1">
        <v>30</v>
      </c>
      <c r="C609" s="12">
        <f t="shared" si="81"/>
        <v>-1.05</v>
      </c>
      <c r="D609" s="12">
        <f t="shared" si="82"/>
        <v>0.375</v>
      </c>
      <c r="E609" s="12">
        <f t="shared" si="83"/>
        <v>11.050984248888888</v>
      </c>
      <c r="F609" s="12">
        <f t="shared" si="84"/>
        <v>11.050984248888888</v>
      </c>
      <c r="G609" s="12">
        <f t="shared" si="85"/>
        <v>14.473462186666664</v>
      </c>
      <c r="H609" s="12">
        <f t="shared" si="86"/>
        <v>14.473462186666664</v>
      </c>
      <c r="I609" s="1" t="str">
        <f t="shared" si="87"/>
        <v>No</v>
      </c>
      <c r="J609" s="1" t="str">
        <f t="shared" si="88"/>
        <v>Si</v>
      </c>
      <c r="K609" s="1" t="str">
        <f t="shared" si="89"/>
        <v/>
      </c>
    </row>
    <row r="610" spans="1:11" x14ac:dyDescent="0.3">
      <c r="A610" s="1">
        <v>11</v>
      </c>
      <c r="B610" s="1">
        <v>31</v>
      </c>
      <c r="C610" s="12">
        <f t="shared" si="81"/>
        <v>-1.05</v>
      </c>
      <c r="D610" s="12">
        <f t="shared" si="82"/>
        <v>0.45000000000000018</v>
      </c>
      <c r="E610" s="12">
        <f t="shared" si="83"/>
        <v>11.048496156444443</v>
      </c>
      <c r="F610" s="12">
        <f t="shared" si="84"/>
        <v>11.048496156444443</v>
      </c>
      <c r="G610" s="12">
        <f t="shared" si="85"/>
        <v>14.46995783111111</v>
      </c>
      <c r="H610" s="12">
        <f t="shared" si="86"/>
        <v>14.46995783111111</v>
      </c>
      <c r="I610" s="1" t="str">
        <f t="shared" si="87"/>
        <v>No</v>
      </c>
      <c r="J610" s="1" t="str">
        <f t="shared" si="88"/>
        <v>Si</v>
      </c>
      <c r="K610" s="1" t="str">
        <f t="shared" si="89"/>
        <v/>
      </c>
    </row>
    <row r="611" spans="1:11" x14ac:dyDescent="0.3">
      <c r="A611" s="1">
        <v>11</v>
      </c>
      <c r="B611" s="1">
        <v>32</v>
      </c>
      <c r="C611" s="12">
        <f t="shared" si="81"/>
        <v>-1.05</v>
      </c>
      <c r="D611" s="12">
        <f t="shared" si="82"/>
        <v>0.52499999999999991</v>
      </c>
      <c r="E611" s="12">
        <f t="shared" si="83"/>
        <v>11.046008064</v>
      </c>
      <c r="F611" s="12">
        <f t="shared" si="84"/>
        <v>11.046008064</v>
      </c>
      <c r="G611" s="12">
        <f t="shared" si="85"/>
        <v>14.466453475555554</v>
      </c>
      <c r="H611" s="12">
        <f t="shared" si="86"/>
        <v>14.466453475555554</v>
      </c>
      <c r="I611" s="1" t="str">
        <f t="shared" si="87"/>
        <v>No</v>
      </c>
      <c r="J611" s="1" t="str">
        <f t="shared" si="88"/>
        <v>Si</v>
      </c>
      <c r="K611" s="1" t="str">
        <f t="shared" si="89"/>
        <v/>
      </c>
    </row>
    <row r="612" spans="1:11" x14ac:dyDescent="0.3">
      <c r="A612" s="1">
        <v>11</v>
      </c>
      <c r="B612" s="1">
        <v>33</v>
      </c>
      <c r="C612" s="12">
        <f t="shared" si="81"/>
        <v>-1.05</v>
      </c>
      <c r="D612" s="12">
        <f t="shared" si="82"/>
        <v>0.60000000000000009</v>
      </c>
      <c r="E612" s="12">
        <f t="shared" si="83"/>
        <v>11.043519971555556</v>
      </c>
      <c r="F612" s="12">
        <f t="shared" si="84"/>
        <v>11.043519971555556</v>
      </c>
      <c r="G612" s="12">
        <f t="shared" si="85"/>
        <v>14.462949119999998</v>
      </c>
      <c r="H612" s="12">
        <f t="shared" si="86"/>
        <v>14.462949119999998</v>
      </c>
      <c r="I612" s="1" t="str">
        <f t="shared" si="87"/>
        <v>No</v>
      </c>
      <c r="J612" s="1" t="str">
        <f t="shared" si="88"/>
        <v>Si</v>
      </c>
      <c r="K612" s="1" t="str">
        <f t="shared" si="89"/>
        <v/>
      </c>
    </row>
    <row r="613" spans="1:11" x14ac:dyDescent="0.3">
      <c r="A613" s="1">
        <v>11</v>
      </c>
      <c r="B613" s="1">
        <v>34</v>
      </c>
      <c r="C613" s="12">
        <f t="shared" si="81"/>
        <v>-1.05</v>
      </c>
      <c r="D613" s="12">
        <f t="shared" si="82"/>
        <v>0.67499999999999982</v>
      </c>
      <c r="E613" s="12">
        <f t="shared" si="83"/>
        <v>11.041031879111111</v>
      </c>
      <c r="F613" s="12">
        <f t="shared" si="84"/>
        <v>11.041031879111111</v>
      </c>
      <c r="G613" s="12">
        <f t="shared" si="85"/>
        <v>14.459444764444443</v>
      </c>
      <c r="H613" s="12">
        <f t="shared" si="86"/>
        <v>14.459444764444443</v>
      </c>
      <c r="I613" s="1" t="str">
        <f t="shared" si="87"/>
        <v>No</v>
      </c>
      <c r="J613" s="1" t="str">
        <f t="shared" si="88"/>
        <v>Si</v>
      </c>
      <c r="K613" s="1" t="str">
        <f t="shared" si="89"/>
        <v/>
      </c>
    </row>
    <row r="614" spans="1:11" x14ac:dyDescent="0.3">
      <c r="A614" s="1">
        <v>11</v>
      </c>
      <c r="B614" s="1">
        <v>35</v>
      </c>
      <c r="C614" s="12">
        <f t="shared" si="81"/>
        <v>-1.05</v>
      </c>
      <c r="D614" s="12">
        <f t="shared" si="82"/>
        <v>0.75</v>
      </c>
      <c r="E614" s="12">
        <f t="shared" si="83"/>
        <v>11.038543786666667</v>
      </c>
      <c r="F614" s="12">
        <f t="shared" si="84"/>
        <v>11.038543786666667</v>
      </c>
      <c r="G614" s="12">
        <f t="shared" si="85"/>
        <v>14.455940408888887</v>
      </c>
      <c r="H614" s="12">
        <f t="shared" si="86"/>
        <v>14.455940408888887</v>
      </c>
      <c r="I614" s="1" t="str">
        <f t="shared" si="87"/>
        <v>No</v>
      </c>
      <c r="J614" s="1" t="str">
        <f t="shared" si="88"/>
        <v>Si</v>
      </c>
      <c r="K614" s="1" t="str">
        <f t="shared" si="89"/>
        <v/>
      </c>
    </row>
    <row r="615" spans="1:11" x14ac:dyDescent="0.3">
      <c r="A615" s="1">
        <v>11</v>
      </c>
      <c r="B615" s="1">
        <v>36</v>
      </c>
      <c r="C615" s="12">
        <f t="shared" si="81"/>
        <v>-1.05</v>
      </c>
      <c r="D615" s="12">
        <f t="shared" si="82"/>
        <v>0.82500000000000018</v>
      </c>
      <c r="E615" s="12">
        <f t="shared" si="83"/>
        <v>11.036055694222222</v>
      </c>
      <c r="F615" s="12">
        <f t="shared" si="84"/>
        <v>11.036055694222222</v>
      </c>
      <c r="G615" s="12">
        <f t="shared" si="85"/>
        <v>14.452436053333331</v>
      </c>
      <c r="H615" s="12">
        <f t="shared" si="86"/>
        <v>14.452436053333331</v>
      </c>
      <c r="I615" s="1" t="str">
        <f t="shared" si="87"/>
        <v>No</v>
      </c>
      <c r="J615" s="1" t="str">
        <f t="shared" si="88"/>
        <v>Si</v>
      </c>
      <c r="K615" s="1" t="str">
        <f t="shared" si="89"/>
        <v/>
      </c>
    </row>
    <row r="616" spans="1:11" x14ac:dyDescent="0.3">
      <c r="A616" s="1">
        <v>11</v>
      </c>
      <c r="B616" s="1">
        <v>37</v>
      </c>
      <c r="C616" s="12">
        <f t="shared" si="81"/>
        <v>-1.05</v>
      </c>
      <c r="D616" s="12">
        <f t="shared" si="82"/>
        <v>0.89999999999999991</v>
      </c>
      <c r="E616" s="12">
        <f t="shared" si="83"/>
        <v>11.033567601777778</v>
      </c>
      <c r="F616" s="12">
        <f t="shared" si="84"/>
        <v>11.033567601777778</v>
      </c>
      <c r="G616" s="12">
        <f t="shared" si="85"/>
        <v>14.448931697777775</v>
      </c>
      <c r="H616" s="12">
        <f t="shared" si="86"/>
        <v>14.448931697777775</v>
      </c>
      <c r="I616" s="1" t="str">
        <f t="shared" si="87"/>
        <v>No</v>
      </c>
      <c r="J616" s="1" t="str">
        <f t="shared" si="88"/>
        <v>Si</v>
      </c>
      <c r="K616" s="1" t="str">
        <f t="shared" si="89"/>
        <v/>
      </c>
    </row>
    <row r="617" spans="1:11" x14ac:dyDescent="0.3">
      <c r="A617" s="1">
        <v>11</v>
      </c>
      <c r="B617" s="1">
        <v>38</v>
      </c>
      <c r="C617" s="12">
        <f t="shared" si="81"/>
        <v>-1.05</v>
      </c>
      <c r="D617" s="12">
        <f t="shared" si="82"/>
        <v>0.97500000000000009</v>
      </c>
      <c r="E617" s="12">
        <f t="shared" si="83"/>
        <v>11.031079509333333</v>
      </c>
      <c r="F617" s="12">
        <f t="shared" si="84"/>
        <v>11.031079509333333</v>
      </c>
      <c r="G617" s="12">
        <f t="shared" si="85"/>
        <v>14.445427342222221</v>
      </c>
      <c r="H617" s="12">
        <f t="shared" si="86"/>
        <v>14.445427342222221</v>
      </c>
      <c r="I617" s="1" t="str">
        <f t="shared" si="87"/>
        <v>No</v>
      </c>
      <c r="J617" s="1" t="str">
        <f t="shared" si="88"/>
        <v>Si</v>
      </c>
      <c r="K617" s="1" t="str">
        <f t="shared" si="89"/>
        <v/>
      </c>
    </row>
    <row r="618" spans="1:11" x14ac:dyDescent="0.3">
      <c r="A618" s="1">
        <v>11</v>
      </c>
      <c r="B618" s="1">
        <v>39</v>
      </c>
      <c r="C618" s="12">
        <f t="shared" si="81"/>
        <v>-1.05</v>
      </c>
      <c r="D618" s="12">
        <f t="shared" si="82"/>
        <v>1.0499999999999998</v>
      </c>
      <c r="E618" s="12">
        <f t="shared" si="83"/>
        <v>11.028591416888888</v>
      </c>
      <c r="F618" s="12">
        <f t="shared" si="84"/>
        <v>11.028591416888888</v>
      </c>
      <c r="G618" s="12">
        <f t="shared" si="85"/>
        <v>14.441922986666665</v>
      </c>
      <c r="H618" s="12">
        <f t="shared" si="86"/>
        <v>14.441922986666665</v>
      </c>
      <c r="I618" s="1" t="str">
        <f t="shared" si="87"/>
        <v>No</v>
      </c>
      <c r="J618" s="1" t="str">
        <f t="shared" si="88"/>
        <v>Si</v>
      </c>
      <c r="K618" s="1" t="str">
        <f t="shared" si="89"/>
        <v/>
      </c>
    </row>
    <row r="619" spans="1:11" x14ac:dyDescent="0.3">
      <c r="A619" s="1">
        <v>11</v>
      </c>
      <c r="B619" s="1">
        <v>40</v>
      </c>
      <c r="C619" s="12">
        <f t="shared" si="81"/>
        <v>-1.05</v>
      </c>
      <c r="D619" s="12">
        <f t="shared" si="82"/>
        <v>1.125</v>
      </c>
      <c r="E619" s="12">
        <f t="shared" si="83"/>
        <v>11.026103324444444</v>
      </c>
      <c r="F619" s="12">
        <f t="shared" si="84"/>
        <v>11.026103324444444</v>
      </c>
      <c r="G619" s="12">
        <f t="shared" si="85"/>
        <v>14.438418631111109</v>
      </c>
      <c r="H619" s="12">
        <f t="shared" si="86"/>
        <v>14.438418631111109</v>
      </c>
      <c r="I619" s="1" t="str">
        <f t="shared" si="87"/>
        <v>No</v>
      </c>
      <c r="J619" s="1" t="str">
        <f t="shared" si="88"/>
        <v>Si</v>
      </c>
      <c r="K619" s="1" t="str">
        <f t="shared" si="89"/>
        <v/>
      </c>
    </row>
    <row r="620" spans="1:11" x14ac:dyDescent="0.3">
      <c r="A620" s="1">
        <v>11</v>
      </c>
      <c r="B620" s="1">
        <v>41</v>
      </c>
      <c r="C620" s="12">
        <f t="shared" si="81"/>
        <v>-1.05</v>
      </c>
      <c r="D620" s="12">
        <f t="shared" si="82"/>
        <v>1.2000000000000002</v>
      </c>
      <c r="E620" s="12">
        <f t="shared" si="83"/>
        <v>11.023615231999999</v>
      </c>
      <c r="F620" s="12">
        <f t="shared" si="84"/>
        <v>11.023615231999999</v>
      </c>
      <c r="G620" s="12">
        <f t="shared" si="85"/>
        <v>14.434914275555554</v>
      </c>
      <c r="H620" s="12">
        <f t="shared" si="86"/>
        <v>14.434914275555554</v>
      </c>
      <c r="I620" s="1" t="str">
        <f t="shared" si="87"/>
        <v>No</v>
      </c>
      <c r="J620" s="1" t="str">
        <f t="shared" si="88"/>
        <v>Si</v>
      </c>
      <c r="K620" s="1" t="str">
        <f t="shared" si="89"/>
        <v/>
      </c>
    </row>
    <row r="621" spans="1:11" x14ac:dyDescent="0.3">
      <c r="A621" s="1">
        <v>11</v>
      </c>
      <c r="B621" s="1">
        <v>42</v>
      </c>
      <c r="C621" s="12">
        <f t="shared" si="81"/>
        <v>-1.05</v>
      </c>
      <c r="D621" s="12">
        <f t="shared" si="82"/>
        <v>1.2749999999999999</v>
      </c>
      <c r="E621" s="12">
        <f t="shared" si="83"/>
        <v>11.021127139555555</v>
      </c>
      <c r="F621" s="12">
        <f t="shared" si="84"/>
        <v>11.021127139555555</v>
      </c>
      <c r="G621" s="12">
        <f t="shared" si="85"/>
        <v>14.431409919999998</v>
      </c>
      <c r="H621" s="12">
        <f t="shared" si="86"/>
        <v>14.431409919999998</v>
      </c>
      <c r="I621" s="1" t="str">
        <f t="shared" si="87"/>
        <v>No</v>
      </c>
      <c r="J621" s="1" t="str">
        <f t="shared" si="88"/>
        <v>Si</v>
      </c>
      <c r="K621" s="1" t="str">
        <f t="shared" si="89"/>
        <v/>
      </c>
    </row>
    <row r="622" spans="1:11" x14ac:dyDescent="0.3">
      <c r="A622" s="1">
        <v>11</v>
      </c>
      <c r="B622" s="1">
        <v>43</v>
      </c>
      <c r="C622" s="12">
        <f t="shared" si="81"/>
        <v>-1.05</v>
      </c>
      <c r="D622" s="12">
        <f t="shared" si="82"/>
        <v>1.35</v>
      </c>
      <c r="E622" s="12">
        <f t="shared" si="83"/>
        <v>11.01863904711111</v>
      </c>
      <c r="F622" s="12">
        <f t="shared" si="84"/>
        <v>11.01863904711111</v>
      </c>
      <c r="G622" s="12">
        <f t="shared" si="85"/>
        <v>14.427905564444442</v>
      </c>
      <c r="H622" s="12">
        <f t="shared" si="86"/>
        <v>14.427905564444442</v>
      </c>
      <c r="I622" s="1" t="str">
        <f t="shared" si="87"/>
        <v>No</v>
      </c>
      <c r="J622" s="1" t="str">
        <f t="shared" si="88"/>
        <v>Si</v>
      </c>
      <c r="K622" s="1" t="str">
        <f t="shared" si="89"/>
        <v/>
      </c>
    </row>
    <row r="623" spans="1:11" x14ac:dyDescent="0.3">
      <c r="A623" s="1">
        <v>11</v>
      </c>
      <c r="B623" s="1">
        <v>44</v>
      </c>
      <c r="C623" s="12">
        <f t="shared" si="81"/>
        <v>-1.05</v>
      </c>
      <c r="D623" s="12">
        <f t="shared" si="82"/>
        <v>1.4249999999999998</v>
      </c>
      <c r="E623" s="12">
        <f t="shared" si="83"/>
        <v>11.016150954666667</v>
      </c>
      <c r="F623" s="12">
        <f t="shared" si="84"/>
        <v>11.016150954666667</v>
      </c>
      <c r="G623" s="12">
        <f t="shared" si="85"/>
        <v>14.424401208888886</v>
      </c>
      <c r="H623" s="12">
        <f t="shared" si="86"/>
        <v>14.424401208888886</v>
      </c>
      <c r="I623" s="1" t="str">
        <f t="shared" si="87"/>
        <v>No</v>
      </c>
      <c r="J623" s="1" t="str">
        <f t="shared" si="88"/>
        <v>Si</v>
      </c>
      <c r="K623" s="1" t="str">
        <f t="shared" si="89"/>
        <v/>
      </c>
    </row>
    <row r="624" spans="1:11" x14ac:dyDescent="0.3">
      <c r="A624" s="1">
        <v>11</v>
      </c>
      <c r="B624" s="1">
        <v>45</v>
      </c>
      <c r="C624" s="12">
        <f t="shared" si="81"/>
        <v>-1.05</v>
      </c>
      <c r="D624" s="12">
        <f t="shared" si="82"/>
        <v>1.5</v>
      </c>
      <c r="E624" s="12">
        <f t="shared" si="83"/>
        <v>11.013662862222223</v>
      </c>
      <c r="F624" s="12">
        <f t="shared" si="84"/>
        <v>11.013662862222223</v>
      </c>
      <c r="G624" s="12">
        <f t="shared" si="85"/>
        <v>14.420896853333332</v>
      </c>
      <c r="H624" s="12">
        <f t="shared" si="86"/>
        <v>14.420896853333332</v>
      </c>
      <c r="I624" s="1" t="str">
        <f t="shared" si="87"/>
        <v>No</v>
      </c>
      <c r="J624" s="1" t="str">
        <f t="shared" si="88"/>
        <v>Si</v>
      </c>
      <c r="K624" s="1" t="str">
        <f t="shared" si="89"/>
        <v/>
      </c>
    </row>
    <row r="625" spans="1:11" x14ac:dyDescent="0.3">
      <c r="A625" s="1">
        <v>11</v>
      </c>
      <c r="B625" s="1">
        <v>46</v>
      </c>
      <c r="C625" s="12">
        <f t="shared" si="81"/>
        <v>-1.05</v>
      </c>
      <c r="D625" s="12">
        <f t="shared" si="82"/>
        <v>1.5750000000000002</v>
      </c>
      <c r="E625" s="12">
        <f t="shared" si="83"/>
        <v>11.011174769777778</v>
      </c>
      <c r="F625" s="12">
        <f t="shared" si="84"/>
        <v>11.011174769777778</v>
      </c>
      <c r="G625" s="12">
        <f t="shared" si="85"/>
        <v>14.417392497777776</v>
      </c>
      <c r="H625" s="12">
        <f t="shared" si="86"/>
        <v>14.417392497777776</v>
      </c>
      <c r="I625" s="1" t="str">
        <f t="shared" si="87"/>
        <v>No</v>
      </c>
      <c r="J625" s="1" t="str">
        <f t="shared" si="88"/>
        <v>Si</v>
      </c>
      <c r="K625" s="1" t="str">
        <f t="shared" si="89"/>
        <v/>
      </c>
    </row>
    <row r="626" spans="1:11" x14ac:dyDescent="0.3">
      <c r="A626" s="1">
        <v>11</v>
      </c>
      <c r="B626" s="1">
        <v>47</v>
      </c>
      <c r="C626" s="12">
        <f t="shared" si="81"/>
        <v>-1.05</v>
      </c>
      <c r="D626" s="12">
        <f t="shared" si="82"/>
        <v>1.65</v>
      </c>
      <c r="E626" s="12">
        <f t="shared" si="83"/>
        <v>11.008686677333333</v>
      </c>
      <c r="F626" s="12">
        <f t="shared" si="84"/>
        <v>11.008686677333333</v>
      </c>
      <c r="G626" s="12">
        <f t="shared" si="85"/>
        <v>14.41388814222222</v>
      </c>
      <c r="H626" s="12">
        <f t="shared" si="86"/>
        <v>14.41388814222222</v>
      </c>
      <c r="I626" s="1" t="str">
        <f t="shared" si="87"/>
        <v>No</v>
      </c>
      <c r="J626" s="1" t="str">
        <f t="shared" si="88"/>
        <v>Si</v>
      </c>
      <c r="K626" s="1" t="str">
        <f t="shared" si="89"/>
        <v/>
      </c>
    </row>
    <row r="627" spans="1:11" x14ac:dyDescent="0.3">
      <c r="A627" s="1">
        <v>11</v>
      </c>
      <c r="B627" s="1">
        <v>48</v>
      </c>
      <c r="C627" s="12">
        <f t="shared" si="81"/>
        <v>-1.05</v>
      </c>
      <c r="D627" s="12">
        <f t="shared" si="82"/>
        <v>1.7250000000000001</v>
      </c>
      <c r="E627" s="12">
        <f t="shared" si="83"/>
        <v>11.006198584888889</v>
      </c>
      <c r="F627" s="12">
        <f t="shared" si="84"/>
        <v>11.006198584888889</v>
      </c>
      <c r="G627" s="12">
        <f t="shared" si="85"/>
        <v>14.410383786666666</v>
      </c>
      <c r="H627" s="12">
        <f t="shared" si="86"/>
        <v>14.410383786666666</v>
      </c>
      <c r="I627" s="1" t="str">
        <f t="shared" si="87"/>
        <v>No</v>
      </c>
      <c r="J627" s="1" t="str">
        <f t="shared" si="88"/>
        <v>Si</v>
      </c>
      <c r="K627" s="1" t="str">
        <f t="shared" si="89"/>
        <v/>
      </c>
    </row>
    <row r="628" spans="1:11" x14ac:dyDescent="0.3">
      <c r="A628" s="1">
        <v>11</v>
      </c>
      <c r="B628" s="1">
        <v>49</v>
      </c>
      <c r="C628" s="12">
        <f t="shared" si="81"/>
        <v>-1.05</v>
      </c>
      <c r="D628" s="12">
        <f t="shared" si="82"/>
        <v>1.7999999999999998</v>
      </c>
      <c r="E628" s="12">
        <f t="shared" si="83"/>
        <v>11.003710492444444</v>
      </c>
      <c r="F628" s="12">
        <f t="shared" si="84"/>
        <v>11.003710492444444</v>
      </c>
      <c r="G628" s="12">
        <f t="shared" si="85"/>
        <v>14.406879431111109</v>
      </c>
      <c r="H628" s="12">
        <f t="shared" si="86"/>
        <v>14.406879431111109</v>
      </c>
      <c r="I628" s="1" t="str">
        <f t="shared" si="87"/>
        <v>No</v>
      </c>
      <c r="J628" s="1" t="str">
        <f t="shared" si="88"/>
        <v>Si</v>
      </c>
      <c r="K628" s="1" t="str">
        <f t="shared" si="89"/>
        <v/>
      </c>
    </row>
    <row r="629" spans="1:11" x14ac:dyDescent="0.3">
      <c r="A629" s="1">
        <v>11</v>
      </c>
      <c r="B629" s="1">
        <v>50</v>
      </c>
      <c r="C629" s="12">
        <f t="shared" si="81"/>
        <v>-1.05</v>
      </c>
      <c r="D629" s="12">
        <f t="shared" si="82"/>
        <v>1.875</v>
      </c>
      <c r="E629" s="12">
        <f t="shared" si="83"/>
        <v>11.0012224</v>
      </c>
      <c r="F629" s="12">
        <f t="shared" si="84"/>
        <v>11.0012224</v>
      </c>
      <c r="G629" s="12">
        <f t="shared" si="85"/>
        <v>14.403375075555553</v>
      </c>
      <c r="H629" s="12">
        <f t="shared" si="86"/>
        <v>14.403375075555553</v>
      </c>
      <c r="I629" s="1" t="str">
        <f t="shared" si="87"/>
        <v>No</v>
      </c>
      <c r="J629" s="1" t="str">
        <f t="shared" si="88"/>
        <v>Si</v>
      </c>
      <c r="K629" s="1" t="str">
        <f t="shared" si="89"/>
        <v/>
      </c>
    </row>
    <row r="630" spans="1:11" x14ac:dyDescent="0.3">
      <c r="A630" s="1">
        <v>12</v>
      </c>
      <c r="B630" s="1">
        <v>0</v>
      </c>
      <c r="C630" s="12">
        <f t="shared" si="81"/>
        <v>-0.97499999999999998</v>
      </c>
      <c r="D630" s="12">
        <f t="shared" si="82"/>
        <v>-1.875</v>
      </c>
      <c r="E630" s="12">
        <f t="shared" si="83"/>
        <v>11.126321066666666</v>
      </c>
      <c r="F630" s="12">
        <f t="shared" si="84"/>
        <v>11.126321066666666</v>
      </c>
      <c r="G630" s="12">
        <f t="shared" si="85"/>
        <v>14.579630506666666</v>
      </c>
      <c r="H630" s="12">
        <f t="shared" si="86"/>
        <v>14.579630506666666</v>
      </c>
      <c r="I630" s="1" t="str">
        <f t="shared" si="87"/>
        <v>No</v>
      </c>
      <c r="J630" s="1" t="str">
        <f t="shared" si="88"/>
        <v>Si</v>
      </c>
      <c r="K630" s="1" t="str">
        <f t="shared" si="89"/>
        <v/>
      </c>
    </row>
    <row r="631" spans="1:11" x14ac:dyDescent="0.3">
      <c r="A631" s="1">
        <v>12</v>
      </c>
      <c r="B631" s="1">
        <v>1</v>
      </c>
      <c r="C631" s="12">
        <f t="shared" si="81"/>
        <v>-0.97499999999999998</v>
      </c>
      <c r="D631" s="12">
        <f t="shared" si="82"/>
        <v>-1.8</v>
      </c>
      <c r="E631" s="12">
        <f t="shared" si="83"/>
        <v>11.123832974222221</v>
      </c>
      <c r="F631" s="12">
        <f t="shared" si="84"/>
        <v>11.123832974222221</v>
      </c>
      <c r="G631" s="12">
        <f t="shared" si="85"/>
        <v>14.57612615111111</v>
      </c>
      <c r="H631" s="12">
        <f t="shared" si="86"/>
        <v>14.57612615111111</v>
      </c>
      <c r="I631" s="1" t="str">
        <f t="shared" si="87"/>
        <v>No</v>
      </c>
      <c r="J631" s="1" t="str">
        <f t="shared" si="88"/>
        <v>Si</v>
      </c>
      <c r="K631" s="1" t="str">
        <f t="shared" si="89"/>
        <v/>
      </c>
    </row>
    <row r="632" spans="1:11" x14ac:dyDescent="0.3">
      <c r="A632" s="1">
        <v>12</v>
      </c>
      <c r="B632" s="1">
        <v>2</v>
      </c>
      <c r="C632" s="12">
        <f t="shared" si="81"/>
        <v>-0.97499999999999998</v>
      </c>
      <c r="D632" s="12">
        <f t="shared" si="82"/>
        <v>-1.7250000000000001</v>
      </c>
      <c r="E632" s="12">
        <f t="shared" si="83"/>
        <v>11.121344881777777</v>
      </c>
      <c r="F632" s="12">
        <f t="shared" si="84"/>
        <v>11.121344881777777</v>
      </c>
      <c r="G632" s="12">
        <f t="shared" si="85"/>
        <v>14.572621795555554</v>
      </c>
      <c r="H632" s="12">
        <f t="shared" si="86"/>
        <v>14.572621795555554</v>
      </c>
      <c r="I632" s="1" t="str">
        <f t="shared" si="87"/>
        <v>No</v>
      </c>
      <c r="J632" s="1" t="str">
        <f t="shared" si="88"/>
        <v>Si</v>
      </c>
      <c r="K632" s="1" t="str">
        <f t="shared" si="89"/>
        <v/>
      </c>
    </row>
    <row r="633" spans="1:11" x14ac:dyDescent="0.3">
      <c r="A633" s="1">
        <v>12</v>
      </c>
      <c r="B633" s="1">
        <v>3</v>
      </c>
      <c r="C633" s="12">
        <f t="shared" si="81"/>
        <v>-0.97499999999999998</v>
      </c>
      <c r="D633" s="12">
        <f t="shared" si="82"/>
        <v>-1.65</v>
      </c>
      <c r="E633" s="12">
        <f t="shared" si="83"/>
        <v>11.118856789333332</v>
      </c>
      <c r="F633" s="12">
        <f t="shared" si="84"/>
        <v>11.118856789333332</v>
      </c>
      <c r="G633" s="12">
        <f t="shared" si="85"/>
        <v>14.569117439999999</v>
      </c>
      <c r="H633" s="12">
        <f t="shared" si="86"/>
        <v>14.569117439999999</v>
      </c>
      <c r="I633" s="1" t="str">
        <f t="shared" si="87"/>
        <v>No</v>
      </c>
      <c r="J633" s="1" t="str">
        <f t="shared" si="88"/>
        <v>Si</v>
      </c>
      <c r="K633" s="1" t="str">
        <f t="shared" si="89"/>
        <v/>
      </c>
    </row>
    <row r="634" spans="1:11" x14ac:dyDescent="0.3">
      <c r="A634" s="1">
        <v>12</v>
      </c>
      <c r="B634" s="1">
        <v>4</v>
      </c>
      <c r="C634" s="12">
        <f t="shared" si="81"/>
        <v>-0.97499999999999998</v>
      </c>
      <c r="D634" s="12">
        <f t="shared" si="82"/>
        <v>-1.575</v>
      </c>
      <c r="E634" s="12">
        <f t="shared" si="83"/>
        <v>11.116368696888888</v>
      </c>
      <c r="F634" s="12">
        <f t="shared" si="84"/>
        <v>11.116368696888888</v>
      </c>
      <c r="G634" s="12">
        <f t="shared" si="85"/>
        <v>14.565613084444443</v>
      </c>
      <c r="H634" s="12">
        <f t="shared" si="86"/>
        <v>14.565613084444443</v>
      </c>
      <c r="I634" s="1" t="str">
        <f t="shared" si="87"/>
        <v>No</v>
      </c>
      <c r="J634" s="1" t="str">
        <f t="shared" si="88"/>
        <v>Si</v>
      </c>
      <c r="K634" s="1" t="str">
        <f t="shared" si="89"/>
        <v/>
      </c>
    </row>
    <row r="635" spans="1:11" x14ac:dyDescent="0.3">
      <c r="A635" s="1">
        <v>12</v>
      </c>
      <c r="B635" s="1">
        <v>5</v>
      </c>
      <c r="C635" s="12">
        <f t="shared" si="81"/>
        <v>-0.97499999999999998</v>
      </c>
      <c r="D635" s="12">
        <f t="shared" si="82"/>
        <v>-1.5</v>
      </c>
      <c r="E635" s="12">
        <f t="shared" si="83"/>
        <v>11.113880604444443</v>
      </c>
      <c r="F635" s="12">
        <f t="shared" si="84"/>
        <v>11.113880604444443</v>
      </c>
      <c r="G635" s="12">
        <f t="shared" si="85"/>
        <v>14.562108728888887</v>
      </c>
      <c r="H635" s="12">
        <f t="shared" si="86"/>
        <v>14.562108728888887</v>
      </c>
      <c r="I635" s="1" t="str">
        <f t="shared" si="87"/>
        <v>No</v>
      </c>
      <c r="J635" s="1" t="str">
        <f t="shared" si="88"/>
        <v>Si</v>
      </c>
      <c r="K635" s="1" t="str">
        <f t="shared" si="89"/>
        <v/>
      </c>
    </row>
    <row r="636" spans="1:11" x14ac:dyDescent="0.3">
      <c r="A636" s="1">
        <v>12</v>
      </c>
      <c r="B636" s="1">
        <v>6</v>
      </c>
      <c r="C636" s="12">
        <f t="shared" si="81"/>
        <v>-0.97499999999999998</v>
      </c>
      <c r="D636" s="12">
        <f t="shared" si="82"/>
        <v>-1.425</v>
      </c>
      <c r="E636" s="12">
        <f t="shared" si="83"/>
        <v>11.111392511999998</v>
      </c>
      <c r="F636" s="12">
        <f t="shared" si="84"/>
        <v>11.111392511999998</v>
      </c>
      <c r="G636" s="12">
        <f t="shared" si="85"/>
        <v>14.558604373333333</v>
      </c>
      <c r="H636" s="12">
        <f t="shared" si="86"/>
        <v>14.558604373333333</v>
      </c>
      <c r="I636" s="1" t="str">
        <f t="shared" si="87"/>
        <v>No</v>
      </c>
      <c r="J636" s="1" t="str">
        <f t="shared" si="88"/>
        <v>Si</v>
      </c>
      <c r="K636" s="1" t="str">
        <f t="shared" si="89"/>
        <v/>
      </c>
    </row>
    <row r="637" spans="1:11" x14ac:dyDescent="0.3">
      <c r="A637" s="1">
        <v>12</v>
      </c>
      <c r="B637" s="1">
        <v>7</v>
      </c>
      <c r="C637" s="12">
        <f t="shared" si="81"/>
        <v>-0.97499999999999998</v>
      </c>
      <c r="D637" s="12">
        <f t="shared" si="82"/>
        <v>-1.35</v>
      </c>
      <c r="E637" s="12">
        <f t="shared" si="83"/>
        <v>11.108904419555556</v>
      </c>
      <c r="F637" s="12">
        <f t="shared" si="84"/>
        <v>11.108904419555556</v>
      </c>
      <c r="G637" s="12">
        <f t="shared" si="85"/>
        <v>14.555100017777777</v>
      </c>
      <c r="H637" s="12">
        <f t="shared" si="86"/>
        <v>14.555100017777777</v>
      </c>
      <c r="I637" s="1" t="str">
        <f t="shared" si="87"/>
        <v>No</v>
      </c>
      <c r="J637" s="1" t="str">
        <f t="shared" si="88"/>
        <v>Si</v>
      </c>
      <c r="K637" s="1" t="str">
        <f t="shared" si="89"/>
        <v/>
      </c>
    </row>
    <row r="638" spans="1:11" x14ac:dyDescent="0.3">
      <c r="A638" s="1">
        <v>12</v>
      </c>
      <c r="B638" s="1">
        <v>8</v>
      </c>
      <c r="C638" s="12">
        <f t="shared" si="81"/>
        <v>-0.97499999999999998</v>
      </c>
      <c r="D638" s="12">
        <f t="shared" si="82"/>
        <v>-1.2749999999999999</v>
      </c>
      <c r="E638" s="12">
        <f t="shared" si="83"/>
        <v>11.106416327111111</v>
      </c>
      <c r="F638" s="12">
        <f t="shared" si="84"/>
        <v>11.106416327111111</v>
      </c>
      <c r="G638" s="12">
        <f t="shared" si="85"/>
        <v>14.551595662222221</v>
      </c>
      <c r="H638" s="12">
        <f t="shared" si="86"/>
        <v>14.551595662222221</v>
      </c>
      <c r="I638" s="1" t="str">
        <f t="shared" si="87"/>
        <v>No</v>
      </c>
      <c r="J638" s="1" t="str">
        <f t="shared" si="88"/>
        <v>Si</v>
      </c>
      <c r="K638" s="1" t="str">
        <f t="shared" si="89"/>
        <v/>
      </c>
    </row>
    <row r="639" spans="1:11" x14ac:dyDescent="0.3">
      <c r="A639" s="1">
        <v>12</v>
      </c>
      <c r="B639" s="1">
        <v>9</v>
      </c>
      <c r="C639" s="12">
        <f t="shared" si="81"/>
        <v>-0.97499999999999998</v>
      </c>
      <c r="D639" s="12">
        <f t="shared" si="82"/>
        <v>-1.2</v>
      </c>
      <c r="E639" s="12">
        <f t="shared" si="83"/>
        <v>11.103928234666666</v>
      </c>
      <c r="F639" s="12">
        <f t="shared" si="84"/>
        <v>11.103928234666666</v>
      </c>
      <c r="G639" s="12">
        <f t="shared" si="85"/>
        <v>14.548091306666665</v>
      </c>
      <c r="H639" s="12">
        <f t="shared" si="86"/>
        <v>14.548091306666665</v>
      </c>
      <c r="I639" s="1" t="str">
        <f t="shared" si="87"/>
        <v>No</v>
      </c>
      <c r="J639" s="1" t="str">
        <f t="shared" si="88"/>
        <v>Si</v>
      </c>
      <c r="K639" s="1" t="str">
        <f t="shared" si="89"/>
        <v/>
      </c>
    </row>
    <row r="640" spans="1:11" x14ac:dyDescent="0.3">
      <c r="A640" s="1">
        <v>12</v>
      </c>
      <c r="B640" s="1">
        <v>10</v>
      </c>
      <c r="C640" s="12">
        <f t="shared" si="81"/>
        <v>-0.97499999999999998</v>
      </c>
      <c r="D640" s="12">
        <f t="shared" si="82"/>
        <v>-1.125</v>
      </c>
      <c r="E640" s="12">
        <f t="shared" si="83"/>
        <v>11.101440142222222</v>
      </c>
      <c r="F640" s="12">
        <f t="shared" si="84"/>
        <v>11.101440142222222</v>
      </c>
      <c r="G640" s="12">
        <f t="shared" si="85"/>
        <v>14.544586951111111</v>
      </c>
      <c r="H640" s="12">
        <f t="shared" si="86"/>
        <v>14.544586951111111</v>
      </c>
      <c r="I640" s="1" t="str">
        <f t="shared" si="87"/>
        <v>No</v>
      </c>
      <c r="J640" s="1" t="str">
        <f t="shared" si="88"/>
        <v>Si</v>
      </c>
      <c r="K640" s="1" t="str">
        <f t="shared" si="89"/>
        <v/>
      </c>
    </row>
    <row r="641" spans="1:11" x14ac:dyDescent="0.3">
      <c r="A641" s="1">
        <v>12</v>
      </c>
      <c r="B641" s="1">
        <v>11</v>
      </c>
      <c r="C641" s="12">
        <f t="shared" si="81"/>
        <v>-0.97499999999999998</v>
      </c>
      <c r="D641" s="12">
        <f t="shared" si="82"/>
        <v>-1.05</v>
      </c>
      <c r="E641" s="12">
        <f t="shared" si="83"/>
        <v>11.098952049777777</v>
      </c>
      <c r="F641" s="12">
        <f t="shared" si="84"/>
        <v>11.098952049777777</v>
      </c>
      <c r="G641" s="12">
        <f t="shared" si="85"/>
        <v>14.541082595555554</v>
      </c>
      <c r="H641" s="12">
        <f t="shared" si="86"/>
        <v>14.541082595555554</v>
      </c>
      <c r="I641" s="1" t="str">
        <f t="shared" si="87"/>
        <v>No</v>
      </c>
      <c r="J641" s="1" t="str">
        <f t="shared" si="88"/>
        <v>Si</v>
      </c>
      <c r="K641" s="1" t="str">
        <f t="shared" si="89"/>
        <v/>
      </c>
    </row>
    <row r="642" spans="1:11" x14ac:dyDescent="0.3">
      <c r="A642" s="1">
        <v>12</v>
      </c>
      <c r="B642" s="1">
        <v>12</v>
      </c>
      <c r="C642" s="12">
        <f t="shared" si="81"/>
        <v>-0.97499999999999998</v>
      </c>
      <c r="D642" s="12">
        <f t="shared" si="82"/>
        <v>-0.97499999999999998</v>
      </c>
      <c r="E642" s="12">
        <f t="shared" si="83"/>
        <v>11.096463957333333</v>
      </c>
      <c r="F642" s="12">
        <f t="shared" si="84"/>
        <v>11.096463957333333</v>
      </c>
      <c r="G642" s="12">
        <f t="shared" si="85"/>
        <v>14.537578239999998</v>
      </c>
      <c r="H642" s="12">
        <f t="shared" si="86"/>
        <v>14.537578239999998</v>
      </c>
      <c r="I642" s="1" t="str">
        <f t="shared" si="87"/>
        <v>No</v>
      </c>
      <c r="J642" s="1" t="str">
        <f t="shared" si="88"/>
        <v>Si</v>
      </c>
      <c r="K642" s="1" t="str">
        <f t="shared" si="89"/>
        <v/>
      </c>
    </row>
    <row r="643" spans="1:11" x14ac:dyDescent="0.3">
      <c r="A643" s="1">
        <v>12</v>
      </c>
      <c r="B643" s="1">
        <v>13</v>
      </c>
      <c r="C643" s="12">
        <f t="shared" si="81"/>
        <v>-0.97499999999999998</v>
      </c>
      <c r="D643" s="12">
        <f t="shared" si="82"/>
        <v>-0.9</v>
      </c>
      <c r="E643" s="12">
        <f t="shared" si="83"/>
        <v>11.093975864888888</v>
      </c>
      <c r="F643" s="12">
        <f t="shared" si="84"/>
        <v>11.093975864888888</v>
      </c>
      <c r="G643" s="12">
        <f t="shared" si="85"/>
        <v>14.534073884444444</v>
      </c>
      <c r="H643" s="12">
        <f t="shared" si="86"/>
        <v>14.534073884444444</v>
      </c>
      <c r="I643" s="1" t="str">
        <f t="shared" si="87"/>
        <v>No</v>
      </c>
      <c r="J643" s="1" t="str">
        <f t="shared" si="88"/>
        <v>Si</v>
      </c>
      <c r="K643" s="1" t="str">
        <f t="shared" si="89"/>
        <v/>
      </c>
    </row>
    <row r="644" spans="1:11" x14ac:dyDescent="0.3">
      <c r="A644" s="1">
        <v>12</v>
      </c>
      <c r="B644" s="1">
        <v>14</v>
      </c>
      <c r="C644" s="12">
        <f t="shared" si="81"/>
        <v>-0.97499999999999998</v>
      </c>
      <c r="D644" s="12">
        <f t="shared" si="82"/>
        <v>-0.82499999999999996</v>
      </c>
      <c r="E644" s="12">
        <f t="shared" si="83"/>
        <v>11.091487772444443</v>
      </c>
      <c r="F644" s="12">
        <f t="shared" si="84"/>
        <v>11.091487772444443</v>
      </c>
      <c r="G644" s="12">
        <f t="shared" si="85"/>
        <v>14.530569528888888</v>
      </c>
      <c r="H644" s="12">
        <f t="shared" si="86"/>
        <v>14.530569528888888</v>
      </c>
      <c r="I644" s="1" t="str">
        <f t="shared" si="87"/>
        <v>No</v>
      </c>
      <c r="J644" s="1" t="str">
        <f t="shared" si="88"/>
        <v>Si</v>
      </c>
      <c r="K644" s="1" t="str">
        <f t="shared" si="89"/>
        <v/>
      </c>
    </row>
    <row r="645" spans="1:11" x14ac:dyDescent="0.3">
      <c r="A645" s="1">
        <v>12</v>
      </c>
      <c r="B645" s="1">
        <v>15</v>
      </c>
      <c r="C645" s="12">
        <f t="shared" si="81"/>
        <v>-0.97499999999999998</v>
      </c>
      <c r="D645" s="12">
        <f t="shared" si="82"/>
        <v>-0.75</v>
      </c>
      <c r="E645" s="12">
        <f t="shared" si="83"/>
        <v>11.088999679999999</v>
      </c>
      <c r="F645" s="12">
        <f t="shared" si="84"/>
        <v>11.088999679999999</v>
      </c>
      <c r="G645" s="12">
        <f t="shared" si="85"/>
        <v>14.527065173333332</v>
      </c>
      <c r="H645" s="12">
        <f t="shared" si="86"/>
        <v>14.527065173333332</v>
      </c>
      <c r="I645" s="1" t="str">
        <f t="shared" si="87"/>
        <v>No</v>
      </c>
      <c r="J645" s="1" t="str">
        <f t="shared" si="88"/>
        <v>Si</v>
      </c>
      <c r="K645" s="1" t="str">
        <f t="shared" si="89"/>
        <v/>
      </c>
    </row>
    <row r="646" spans="1:11" x14ac:dyDescent="0.3">
      <c r="A646" s="1">
        <v>12</v>
      </c>
      <c r="B646" s="1">
        <v>16</v>
      </c>
      <c r="C646" s="12">
        <f t="shared" si="81"/>
        <v>-0.97499999999999998</v>
      </c>
      <c r="D646" s="12">
        <f t="shared" si="82"/>
        <v>-0.67500000000000004</v>
      </c>
      <c r="E646" s="12">
        <f t="shared" si="83"/>
        <v>11.086511587555554</v>
      </c>
      <c r="F646" s="12">
        <f t="shared" si="84"/>
        <v>11.086511587555554</v>
      </c>
      <c r="G646" s="12">
        <f t="shared" si="85"/>
        <v>14.523560817777776</v>
      </c>
      <c r="H646" s="12">
        <f t="shared" si="86"/>
        <v>14.523560817777776</v>
      </c>
      <c r="I646" s="1" t="str">
        <f t="shared" si="87"/>
        <v>No</v>
      </c>
      <c r="J646" s="1" t="str">
        <f t="shared" si="88"/>
        <v>Si</v>
      </c>
      <c r="K646" s="1" t="str">
        <f t="shared" si="89"/>
        <v/>
      </c>
    </row>
    <row r="647" spans="1:11" x14ac:dyDescent="0.3">
      <c r="A647" s="1">
        <v>12</v>
      </c>
      <c r="B647" s="1">
        <v>17</v>
      </c>
      <c r="C647" s="12">
        <f t="shared" si="81"/>
        <v>-0.97499999999999998</v>
      </c>
      <c r="D647" s="12">
        <f t="shared" si="82"/>
        <v>-0.60000000000000009</v>
      </c>
      <c r="E647" s="12">
        <f t="shared" si="83"/>
        <v>11.08402349511111</v>
      </c>
      <c r="F647" s="12">
        <f t="shared" si="84"/>
        <v>11.08402349511111</v>
      </c>
      <c r="G647" s="12">
        <f t="shared" si="85"/>
        <v>14.520056462222222</v>
      </c>
      <c r="H647" s="12">
        <f t="shared" si="86"/>
        <v>14.520056462222222</v>
      </c>
      <c r="I647" s="1" t="str">
        <f t="shared" si="87"/>
        <v>No</v>
      </c>
      <c r="J647" s="1" t="str">
        <f t="shared" si="88"/>
        <v>Si</v>
      </c>
      <c r="K647" s="1" t="str">
        <f t="shared" si="89"/>
        <v/>
      </c>
    </row>
    <row r="648" spans="1:11" x14ac:dyDescent="0.3">
      <c r="A648" s="1">
        <v>12</v>
      </c>
      <c r="B648" s="1">
        <v>18</v>
      </c>
      <c r="C648" s="12">
        <f t="shared" si="81"/>
        <v>-0.97499999999999998</v>
      </c>
      <c r="D648" s="12">
        <f t="shared" si="82"/>
        <v>-0.52499999999999991</v>
      </c>
      <c r="E648" s="12">
        <f t="shared" si="83"/>
        <v>11.081535402666665</v>
      </c>
      <c r="F648" s="12">
        <f t="shared" si="84"/>
        <v>11.081535402666665</v>
      </c>
      <c r="G648" s="12">
        <f t="shared" si="85"/>
        <v>14.516552106666666</v>
      </c>
      <c r="H648" s="12">
        <f t="shared" si="86"/>
        <v>14.516552106666666</v>
      </c>
      <c r="I648" s="1" t="str">
        <f t="shared" si="87"/>
        <v>No</v>
      </c>
      <c r="J648" s="1" t="str">
        <f t="shared" si="88"/>
        <v>Si</v>
      </c>
      <c r="K648" s="1" t="str">
        <f t="shared" si="89"/>
        <v/>
      </c>
    </row>
    <row r="649" spans="1:11" x14ac:dyDescent="0.3">
      <c r="A649" s="1">
        <v>12</v>
      </c>
      <c r="B649" s="1">
        <v>19</v>
      </c>
      <c r="C649" s="12">
        <f t="shared" si="81"/>
        <v>-0.97499999999999998</v>
      </c>
      <c r="D649" s="12">
        <f t="shared" si="82"/>
        <v>-0.44999999999999996</v>
      </c>
      <c r="E649" s="12">
        <f t="shared" si="83"/>
        <v>11.079047310222222</v>
      </c>
      <c r="F649" s="12">
        <f t="shared" si="84"/>
        <v>11.079047310222222</v>
      </c>
      <c r="G649" s="12">
        <f t="shared" si="85"/>
        <v>14.51304775111111</v>
      </c>
      <c r="H649" s="12">
        <f t="shared" si="86"/>
        <v>14.51304775111111</v>
      </c>
      <c r="I649" s="1" t="str">
        <f t="shared" si="87"/>
        <v>No</v>
      </c>
      <c r="J649" s="1" t="str">
        <f t="shared" si="88"/>
        <v>Si</v>
      </c>
      <c r="K649" s="1" t="str">
        <f t="shared" si="89"/>
        <v/>
      </c>
    </row>
    <row r="650" spans="1:11" x14ac:dyDescent="0.3">
      <c r="A650" s="1">
        <v>12</v>
      </c>
      <c r="B650" s="1">
        <v>20</v>
      </c>
      <c r="C650" s="12">
        <f t="shared" si="81"/>
        <v>-0.97499999999999998</v>
      </c>
      <c r="D650" s="12">
        <f t="shared" si="82"/>
        <v>-0.375</v>
      </c>
      <c r="E650" s="12">
        <f t="shared" si="83"/>
        <v>11.076559217777778</v>
      </c>
      <c r="F650" s="12">
        <f t="shared" si="84"/>
        <v>11.076559217777778</v>
      </c>
      <c r="G650" s="12">
        <f t="shared" si="85"/>
        <v>14.509543395555555</v>
      </c>
      <c r="H650" s="12">
        <f t="shared" si="86"/>
        <v>14.509543395555555</v>
      </c>
      <c r="I650" s="1" t="str">
        <f t="shared" si="87"/>
        <v>No</v>
      </c>
      <c r="J650" s="1" t="str">
        <f t="shared" si="88"/>
        <v>Si</v>
      </c>
      <c r="K650" s="1" t="str">
        <f t="shared" si="89"/>
        <v/>
      </c>
    </row>
    <row r="651" spans="1:11" x14ac:dyDescent="0.3">
      <c r="A651" s="1">
        <v>12</v>
      </c>
      <c r="B651" s="1">
        <v>21</v>
      </c>
      <c r="C651" s="12">
        <f t="shared" si="81"/>
        <v>-0.97499999999999998</v>
      </c>
      <c r="D651" s="12">
        <f t="shared" si="82"/>
        <v>-0.30000000000000004</v>
      </c>
      <c r="E651" s="12">
        <f t="shared" si="83"/>
        <v>11.074071125333333</v>
      </c>
      <c r="F651" s="12">
        <f t="shared" si="84"/>
        <v>11.074071125333333</v>
      </c>
      <c r="G651" s="12">
        <f t="shared" si="85"/>
        <v>14.506039039999999</v>
      </c>
      <c r="H651" s="12">
        <f t="shared" si="86"/>
        <v>14.506039039999999</v>
      </c>
      <c r="I651" s="1" t="str">
        <f t="shared" si="87"/>
        <v>No</v>
      </c>
      <c r="J651" s="1" t="str">
        <f t="shared" si="88"/>
        <v>Si</v>
      </c>
      <c r="K651" s="1" t="str">
        <f t="shared" si="89"/>
        <v/>
      </c>
    </row>
    <row r="652" spans="1:11" x14ac:dyDescent="0.3">
      <c r="A652" s="1">
        <v>12</v>
      </c>
      <c r="B652" s="1">
        <v>22</v>
      </c>
      <c r="C652" s="12">
        <f t="shared" si="81"/>
        <v>-0.97499999999999998</v>
      </c>
      <c r="D652" s="12">
        <f t="shared" si="82"/>
        <v>-0.22500000000000009</v>
      </c>
      <c r="E652" s="12">
        <f t="shared" si="83"/>
        <v>11.071583032888888</v>
      </c>
      <c r="F652" s="12">
        <f t="shared" si="84"/>
        <v>11.071583032888888</v>
      </c>
      <c r="G652" s="12">
        <f t="shared" si="85"/>
        <v>14.502534684444443</v>
      </c>
      <c r="H652" s="12">
        <f t="shared" si="86"/>
        <v>14.502534684444443</v>
      </c>
      <c r="I652" s="1" t="str">
        <f t="shared" si="87"/>
        <v>No</v>
      </c>
      <c r="J652" s="1" t="str">
        <f t="shared" si="88"/>
        <v>Si</v>
      </c>
      <c r="K652" s="1" t="str">
        <f t="shared" si="89"/>
        <v/>
      </c>
    </row>
    <row r="653" spans="1:11" x14ac:dyDescent="0.3">
      <c r="A653" s="1">
        <v>12</v>
      </c>
      <c r="B653" s="1">
        <v>23</v>
      </c>
      <c r="C653" s="12">
        <f t="shared" si="81"/>
        <v>-0.97499999999999998</v>
      </c>
      <c r="D653" s="12">
        <f t="shared" si="82"/>
        <v>-0.14999999999999991</v>
      </c>
      <c r="E653" s="12">
        <f t="shared" si="83"/>
        <v>11.069094940444444</v>
      </c>
      <c r="F653" s="12">
        <f t="shared" si="84"/>
        <v>11.069094940444444</v>
      </c>
      <c r="G653" s="12">
        <f t="shared" si="85"/>
        <v>14.499030328888887</v>
      </c>
      <c r="H653" s="12">
        <f t="shared" si="86"/>
        <v>14.499030328888887</v>
      </c>
      <c r="I653" s="1" t="str">
        <f t="shared" si="87"/>
        <v>No</v>
      </c>
      <c r="J653" s="1" t="str">
        <f t="shared" si="88"/>
        <v>Si</v>
      </c>
      <c r="K653" s="1" t="str">
        <f t="shared" si="89"/>
        <v/>
      </c>
    </row>
    <row r="654" spans="1:11" x14ac:dyDescent="0.3">
      <c r="A654" s="1">
        <v>12</v>
      </c>
      <c r="B654" s="1">
        <v>24</v>
      </c>
      <c r="C654" s="12">
        <f t="shared" si="81"/>
        <v>-0.97499999999999998</v>
      </c>
      <c r="D654" s="12">
        <f t="shared" si="82"/>
        <v>-7.4999999999999956E-2</v>
      </c>
      <c r="E654" s="12">
        <f t="shared" si="83"/>
        <v>11.066606847999999</v>
      </c>
      <c r="F654" s="12">
        <f t="shared" si="84"/>
        <v>11.066606847999999</v>
      </c>
      <c r="G654" s="12">
        <f t="shared" si="85"/>
        <v>14.495525973333333</v>
      </c>
      <c r="H654" s="12">
        <f t="shared" si="86"/>
        <v>14.495525973333333</v>
      </c>
      <c r="I654" s="1" t="str">
        <f t="shared" si="87"/>
        <v>No</v>
      </c>
      <c r="J654" s="1" t="str">
        <f t="shared" si="88"/>
        <v>Si</v>
      </c>
      <c r="K654" s="1" t="str">
        <f t="shared" si="89"/>
        <v/>
      </c>
    </row>
    <row r="655" spans="1:11" x14ac:dyDescent="0.3">
      <c r="A655" s="1">
        <v>12</v>
      </c>
      <c r="B655" s="1">
        <v>25</v>
      </c>
      <c r="C655" s="12">
        <f t="shared" si="81"/>
        <v>-0.97499999999999998</v>
      </c>
      <c r="D655" s="12">
        <f t="shared" si="82"/>
        <v>0</v>
      </c>
      <c r="E655" s="12">
        <f t="shared" si="83"/>
        <v>11.064118755555555</v>
      </c>
      <c r="F655" s="12">
        <f t="shared" si="84"/>
        <v>11.064118755555555</v>
      </c>
      <c r="G655" s="12">
        <f t="shared" si="85"/>
        <v>14.492021617777777</v>
      </c>
      <c r="H655" s="12">
        <f t="shared" si="86"/>
        <v>14.492021617777777</v>
      </c>
      <c r="I655" s="1" t="str">
        <f t="shared" si="87"/>
        <v>No</v>
      </c>
      <c r="J655" s="1" t="str">
        <f t="shared" si="88"/>
        <v>Si</v>
      </c>
      <c r="K655" s="1" t="str">
        <f t="shared" si="89"/>
        <v/>
      </c>
    </row>
    <row r="656" spans="1:11" x14ac:dyDescent="0.3">
      <c r="A656" s="1">
        <v>12</v>
      </c>
      <c r="B656" s="1">
        <v>26</v>
      </c>
      <c r="C656" s="12">
        <f t="shared" si="81"/>
        <v>-0.97499999999999998</v>
      </c>
      <c r="D656" s="12">
        <f t="shared" si="82"/>
        <v>7.4999999999999956E-2</v>
      </c>
      <c r="E656" s="12">
        <f t="shared" si="83"/>
        <v>11.06163066311111</v>
      </c>
      <c r="F656" s="12">
        <f t="shared" si="84"/>
        <v>11.06163066311111</v>
      </c>
      <c r="G656" s="12">
        <f t="shared" si="85"/>
        <v>14.488517262222221</v>
      </c>
      <c r="H656" s="12">
        <f t="shared" si="86"/>
        <v>14.488517262222221</v>
      </c>
      <c r="I656" s="1" t="str">
        <f t="shared" si="87"/>
        <v>No</v>
      </c>
      <c r="J656" s="1" t="str">
        <f t="shared" si="88"/>
        <v>Si</v>
      </c>
      <c r="K656" s="1" t="str">
        <f t="shared" si="89"/>
        <v/>
      </c>
    </row>
    <row r="657" spans="1:11" x14ac:dyDescent="0.3">
      <c r="A657" s="1">
        <v>12</v>
      </c>
      <c r="B657" s="1">
        <v>27</v>
      </c>
      <c r="C657" s="12">
        <f t="shared" si="81"/>
        <v>-0.97499999999999998</v>
      </c>
      <c r="D657" s="12">
        <f t="shared" si="82"/>
        <v>0.14999999999999991</v>
      </c>
      <c r="E657" s="12">
        <f t="shared" si="83"/>
        <v>11.059142570666666</v>
      </c>
      <c r="F657" s="12">
        <f t="shared" si="84"/>
        <v>11.059142570666666</v>
      </c>
      <c r="G657" s="12">
        <f t="shared" si="85"/>
        <v>14.485012906666666</v>
      </c>
      <c r="H657" s="12">
        <f t="shared" si="86"/>
        <v>14.485012906666666</v>
      </c>
      <c r="I657" s="1" t="str">
        <f t="shared" si="87"/>
        <v>No</v>
      </c>
      <c r="J657" s="1" t="str">
        <f t="shared" si="88"/>
        <v>Si</v>
      </c>
      <c r="K657" s="1" t="str">
        <f t="shared" si="89"/>
        <v/>
      </c>
    </row>
    <row r="658" spans="1:11" x14ac:dyDescent="0.3">
      <c r="A658" s="1">
        <v>12</v>
      </c>
      <c r="B658" s="1">
        <v>28</v>
      </c>
      <c r="C658" s="12">
        <f t="shared" ref="C658:C721" si="90">IF(OR(A658&gt;inp_n_div_x,B658&gt;inp_n_div_y),"",-inp_bx/2+A658*inp_bx/inp_n_div_x)</f>
        <v>-0.97499999999999998</v>
      </c>
      <c r="D658" s="12">
        <f t="shared" ref="D658:D721" si="91">IF(C658="","",-inp_by/2+B658*inp_by/inp_n_div_y)</f>
        <v>0.22500000000000009</v>
      </c>
      <c r="E658" s="12">
        <f t="shared" ref="E658:E721" si="92">IF(C658="","",res_srv_p_tot/geo_area+res_srv_mx_tot/geo_ix*D658+res_srv_my_tot/geo_iy*C658)</f>
        <v>11.056654478222221</v>
      </c>
      <c r="F658" s="12">
        <f t="shared" ref="F658:F721" si="93">IF(E658="","",MAX(0,E658))</f>
        <v>11.056654478222221</v>
      </c>
      <c r="G658" s="12">
        <f t="shared" ref="G658:G721" si="94">IF(C658="","",res_u_p_tot/geo_area+res_u_mx_tot/geo_ix*D658+res_u_my_tot/geo_iy*C658)</f>
        <v>14.48150855111111</v>
      </c>
      <c r="H658" s="12">
        <f t="shared" ref="H658:H721" si="95">IF(G658="","",MAX(0,G658))</f>
        <v>14.48150855111111</v>
      </c>
      <c r="I658" s="1" t="str">
        <f t="shared" ref="I658:I721" si="96">IF(C658="","",IF(AND(C658&gt;=inp_xc-inp_cx/2,C658&lt;=inp_xc+inp_cx/2,D658&gt;=inp_yc-inp_cy/2,D658&lt;=inp_yc+inp_cy/2),"Si","No"))</f>
        <v>No</v>
      </c>
      <c r="J658" s="1" t="str">
        <f t="shared" ref="J658:J721" si="97">IF(C658="","","Si")</f>
        <v>Si</v>
      </c>
      <c r="K658" s="1" t="str">
        <f t="shared" ref="K658:K721" si="98">IF(OR(E658&lt;0,G658&lt;0),"Presion negativa","")</f>
        <v/>
      </c>
    </row>
    <row r="659" spans="1:11" x14ac:dyDescent="0.3">
      <c r="A659" s="1">
        <v>12</v>
      </c>
      <c r="B659" s="1">
        <v>29</v>
      </c>
      <c r="C659" s="12">
        <f t="shared" si="90"/>
        <v>-0.97499999999999998</v>
      </c>
      <c r="D659" s="12">
        <f t="shared" si="91"/>
        <v>0.29999999999999982</v>
      </c>
      <c r="E659" s="12">
        <f t="shared" si="92"/>
        <v>11.054166385777776</v>
      </c>
      <c r="F659" s="12">
        <f t="shared" si="93"/>
        <v>11.054166385777776</v>
      </c>
      <c r="G659" s="12">
        <f t="shared" si="94"/>
        <v>14.478004195555554</v>
      </c>
      <c r="H659" s="12">
        <f t="shared" si="95"/>
        <v>14.478004195555554</v>
      </c>
      <c r="I659" s="1" t="str">
        <f t="shared" si="96"/>
        <v>No</v>
      </c>
      <c r="J659" s="1" t="str">
        <f t="shared" si="97"/>
        <v>Si</v>
      </c>
      <c r="K659" s="1" t="str">
        <f t="shared" si="98"/>
        <v/>
      </c>
    </row>
    <row r="660" spans="1:11" x14ac:dyDescent="0.3">
      <c r="A660" s="1">
        <v>12</v>
      </c>
      <c r="B660" s="1">
        <v>30</v>
      </c>
      <c r="C660" s="12">
        <f t="shared" si="90"/>
        <v>-0.97499999999999998</v>
      </c>
      <c r="D660" s="12">
        <f t="shared" si="91"/>
        <v>0.375</v>
      </c>
      <c r="E660" s="12">
        <f t="shared" si="92"/>
        <v>11.051678293333332</v>
      </c>
      <c r="F660" s="12">
        <f t="shared" si="93"/>
        <v>11.051678293333332</v>
      </c>
      <c r="G660" s="12">
        <f t="shared" si="94"/>
        <v>14.474499839999998</v>
      </c>
      <c r="H660" s="12">
        <f t="shared" si="95"/>
        <v>14.474499839999998</v>
      </c>
      <c r="I660" s="1" t="str">
        <f t="shared" si="96"/>
        <v>No</v>
      </c>
      <c r="J660" s="1" t="str">
        <f t="shared" si="97"/>
        <v>Si</v>
      </c>
      <c r="K660" s="1" t="str">
        <f t="shared" si="98"/>
        <v/>
      </c>
    </row>
    <row r="661" spans="1:11" x14ac:dyDescent="0.3">
      <c r="A661" s="1">
        <v>12</v>
      </c>
      <c r="B661" s="1">
        <v>31</v>
      </c>
      <c r="C661" s="12">
        <f t="shared" si="90"/>
        <v>-0.97499999999999998</v>
      </c>
      <c r="D661" s="12">
        <f t="shared" si="91"/>
        <v>0.45000000000000018</v>
      </c>
      <c r="E661" s="12">
        <f t="shared" si="92"/>
        <v>11.049190200888887</v>
      </c>
      <c r="F661" s="12">
        <f t="shared" si="93"/>
        <v>11.049190200888887</v>
      </c>
      <c r="G661" s="12">
        <f t="shared" si="94"/>
        <v>14.470995484444444</v>
      </c>
      <c r="H661" s="12">
        <f t="shared" si="95"/>
        <v>14.470995484444444</v>
      </c>
      <c r="I661" s="1" t="str">
        <f t="shared" si="96"/>
        <v>No</v>
      </c>
      <c r="J661" s="1" t="str">
        <f t="shared" si="97"/>
        <v>Si</v>
      </c>
      <c r="K661" s="1" t="str">
        <f t="shared" si="98"/>
        <v/>
      </c>
    </row>
    <row r="662" spans="1:11" x14ac:dyDescent="0.3">
      <c r="A662" s="1">
        <v>12</v>
      </c>
      <c r="B662" s="1">
        <v>32</v>
      </c>
      <c r="C662" s="12">
        <f t="shared" si="90"/>
        <v>-0.97499999999999998</v>
      </c>
      <c r="D662" s="12">
        <f t="shared" si="91"/>
        <v>0.52499999999999991</v>
      </c>
      <c r="E662" s="12">
        <f t="shared" si="92"/>
        <v>11.046702108444444</v>
      </c>
      <c r="F662" s="12">
        <f t="shared" si="93"/>
        <v>11.046702108444444</v>
      </c>
      <c r="G662" s="12">
        <f t="shared" si="94"/>
        <v>14.467491128888888</v>
      </c>
      <c r="H662" s="12">
        <f t="shared" si="95"/>
        <v>14.467491128888888</v>
      </c>
      <c r="I662" s="1" t="str">
        <f t="shared" si="96"/>
        <v>No</v>
      </c>
      <c r="J662" s="1" t="str">
        <f t="shared" si="97"/>
        <v>Si</v>
      </c>
      <c r="K662" s="1" t="str">
        <f t="shared" si="98"/>
        <v/>
      </c>
    </row>
    <row r="663" spans="1:11" x14ac:dyDescent="0.3">
      <c r="A663" s="1">
        <v>12</v>
      </c>
      <c r="B663" s="1">
        <v>33</v>
      </c>
      <c r="C663" s="12">
        <f t="shared" si="90"/>
        <v>-0.97499999999999998</v>
      </c>
      <c r="D663" s="12">
        <f t="shared" si="91"/>
        <v>0.60000000000000009</v>
      </c>
      <c r="E663" s="12">
        <f t="shared" si="92"/>
        <v>11.044214016</v>
      </c>
      <c r="F663" s="12">
        <f t="shared" si="93"/>
        <v>11.044214016</v>
      </c>
      <c r="G663" s="12">
        <f t="shared" si="94"/>
        <v>14.463986773333332</v>
      </c>
      <c r="H663" s="12">
        <f t="shared" si="95"/>
        <v>14.463986773333332</v>
      </c>
      <c r="I663" s="1" t="str">
        <f t="shared" si="96"/>
        <v>No</v>
      </c>
      <c r="J663" s="1" t="str">
        <f t="shared" si="97"/>
        <v>Si</v>
      </c>
      <c r="K663" s="1" t="str">
        <f t="shared" si="98"/>
        <v/>
      </c>
    </row>
    <row r="664" spans="1:11" x14ac:dyDescent="0.3">
      <c r="A664" s="1">
        <v>12</v>
      </c>
      <c r="B664" s="1">
        <v>34</v>
      </c>
      <c r="C664" s="12">
        <f t="shared" si="90"/>
        <v>-0.97499999999999998</v>
      </c>
      <c r="D664" s="12">
        <f t="shared" si="91"/>
        <v>0.67499999999999982</v>
      </c>
      <c r="E664" s="12">
        <f t="shared" si="92"/>
        <v>11.041725923555555</v>
      </c>
      <c r="F664" s="12">
        <f t="shared" si="93"/>
        <v>11.041725923555555</v>
      </c>
      <c r="G664" s="12">
        <f t="shared" si="94"/>
        <v>14.460482417777778</v>
      </c>
      <c r="H664" s="12">
        <f t="shared" si="95"/>
        <v>14.460482417777778</v>
      </c>
      <c r="I664" s="1" t="str">
        <f t="shared" si="96"/>
        <v>No</v>
      </c>
      <c r="J664" s="1" t="str">
        <f t="shared" si="97"/>
        <v>Si</v>
      </c>
      <c r="K664" s="1" t="str">
        <f t="shared" si="98"/>
        <v/>
      </c>
    </row>
    <row r="665" spans="1:11" x14ac:dyDescent="0.3">
      <c r="A665" s="1">
        <v>12</v>
      </c>
      <c r="B665" s="1">
        <v>35</v>
      </c>
      <c r="C665" s="12">
        <f t="shared" si="90"/>
        <v>-0.97499999999999998</v>
      </c>
      <c r="D665" s="12">
        <f t="shared" si="91"/>
        <v>0.75</v>
      </c>
      <c r="E665" s="12">
        <f t="shared" si="92"/>
        <v>11.039237831111111</v>
      </c>
      <c r="F665" s="12">
        <f t="shared" si="93"/>
        <v>11.039237831111111</v>
      </c>
      <c r="G665" s="12">
        <f t="shared" si="94"/>
        <v>14.456978062222221</v>
      </c>
      <c r="H665" s="12">
        <f t="shared" si="95"/>
        <v>14.456978062222221</v>
      </c>
      <c r="I665" s="1" t="str">
        <f t="shared" si="96"/>
        <v>No</v>
      </c>
      <c r="J665" s="1" t="str">
        <f t="shared" si="97"/>
        <v>Si</v>
      </c>
      <c r="K665" s="1" t="str">
        <f t="shared" si="98"/>
        <v/>
      </c>
    </row>
    <row r="666" spans="1:11" x14ac:dyDescent="0.3">
      <c r="A666" s="1">
        <v>12</v>
      </c>
      <c r="B666" s="1">
        <v>36</v>
      </c>
      <c r="C666" s="12">
        <f t="shared" si="90"/>
        <v>-0.97499999999999998</v>
      </c>
      <c r="D666" s="12">
        <f t="shared" si="91"/>
        <v>0.82500000000000018</v>
      </c>
      <c r="E666" s="12">
        <f t="shared" si="92"/>
        <v>11.036749738666666</v>
      </c>
      <c r="F666" s="12">
        <f t="shared" si="93"/>
        <v>11.036749738666666</v>
      </c>
      <c r="G666" s="12">
        <f t="shared" si="94"/>
        <v>14.453473706666665</v>
      </c>
      <c r="H666" s="12">
        <f t="shared" si="95"/>
        <v>14.453473706666665</v>
      </c>
      <c r="I666" s="1" t="str">
        <f t="shared" si="96"/>
        <v>No</v>
      </c>
      <c r="J666" s="1" t="str">
        <f t="shared" si="97"/>
        <v>Si</v>
      </c>
      <c r="K666" s="1" t="str">
        <f t="shared" si="98"/>
        <v/>
      </c>
    </row>
    <row r="667" spans="1:11" x14ac:dyDescent="0.3">
      <c r="A667" s="1">
        <v>12</v>
      </c>
      <c r="B667" s="1">
        <v>37</v>
      </c>
      <c r="C667" s="12">
        <f t="shared" si="90"/>
        <v>-0.97499999999999998</v>
      </c>
      <c r="D667" s="12">
        <f t="shared" si="91"/>
        <v>0.89999999999999991</v>
      </c>
      <c r="E667" s="12">
        <f t="shared" si="92"/>
        <v>11.034261646222221</v>
      </c>
      <c r="F667" s="12">
        <f t="shared" si="93"/>
        <v>11.034261646222221</v>
      </c>
      <c r="G667" s="12">
        <f t="shared" si="94"/>
        <v>14.449969351111109</v>
      </c>
      <c r="H667" s="12">
        <f t="shared" si="95"/>
        <v>14.449969351111109</v>
      </c>
      <c r="I667" s="1" t="str">
        <f t="shared" si="96"/>
        <v>No</v>
      </c>
      <c r="J667" s="1" t="str">
        <f t="shared" si="97"/>
        <v>Si</v>
      </c>
      <c r="K667" s="1" t="str">
        <f t="shared" si="98"/>
        <v/>
      </c>
    </row>
    <row r="668" spans="1:11" x14ac:dyDescent="0.3">
      <c r="A668" s="1">
        <v>12</v>
      </c>
      <c r="B668" s="1">
        <v>38</v>
      </c>
      <c r="C668" s="12">
        <f t="shared" si="90"/>
        <v>-0.97499999999999998</v>
      </c>
      <c r="D668" s="12">
        <f t="shared" si="91"/>
        <v>0.97500000000000009</v>
      </c>
      <c r="E668" s="12">
        <f t="shared" si="92"/>
        <v>11.031773553777777</v>
      </c>
      <c r="F668" s="12">
        <f t="shared" si="93"/>
        <v>11.031773553777777</v>
      </c>
      <c r="G668" s="12">
        <f t="shared" si="94"/>
        <v>14.446464995555555</v>
      </c>
      <c r="H668" s="12">
        <f t="shared" si="95"/>
        <v>14.446464995555555</v>
      </c>
      <c r="I668" s="1" t="str">
        <f t="shared" si="96"/>
        <v>No</v>
      </c>
      <c r="J668" s="1" t="str">
        <f t="shared" si="97"/>
        <v>Si</v>
      </c>
      <c r="K668" s="1" t="str">
        <f t="shared" si="98"/>
        <v/>
      </c>
    </row>
    <row r="669" spans="1:11" x14ac:dyDescent="0.3">
      <c r="A669" s="1">
        <v>12</v>
      </c>
      <c r="B669" s="1">
        <v>39</v>
      </c>
      <c r="C669" s="12">
        <f t="shared" si="90"/>
        <v>-0.97499999999999998</v>
      </c>
      <c r="D669" s="12">
        <f t="shared" si="91"/>
        <v>1.0499999999999998</v>
      </c>
      <c r="E669" s="12">
        <f t="shared" si="92"/>
        <v>11.029285461333332</v>
      </c>
      <c r="F669" s="12">
        <f t="shared" si="93"/>
        <v>11.029285461333332</v>
      </c>
      <c r="G669" s="12">
        <f t="shared" si="94"/>
        <v>14.442960639999999</v>
      </c>
      <c r="H669" s="12">
        <f t="shared" si="95"/>
        <v>14.442960639999999</v>
      </c>
      <c r="I669" s="1" t="str">
        <f t="shared" si="96"/>
        <v>No</v>
      </c>
      <c r="J669" s="1" t="str">
        <f t="shared" si="97"/>
        <v>Si</v>
      </c>
      <c r="K669" s="1" t="str">
        <f t="shared" si="98"/>
        <v/>
      </c>
    </row>
    <row r="670" spans="1:11" x14ac:dyDescent="0.3">
      <c r="A670" s="1">
        <v>12</v>
      </c>
      <c r="B670" s="1">
        <v>40</v>
      </c>
      <c r="C670" s="12">
        <f t="shared" si="90"/>
        <v>-0.97499999999999998</v>
      </c>
      <c r="D670" s="12">
        <f t="shared" si="91"/>
        <v>1.125</v>
      </c>
      <c r="E670" s="12">
        <f t="shared" si="92"/>
        <v>11.026797368888888</v>
      </c>
      <c r="F670" s="12">
        <f t="shared" si="93"/>
        <v>11.026797368888888</v>
      </c>
      <c r="G670" s="12">
        <f t="shared" si="94"/>
        <v>14.439456284444443</v>
      </c>
      <c r="H670" s="12">
        <f t="shared" si="95"/>
        <v>14.439456284444443</v>
      </c>
      <c r="I670" s="1" t="str">
        <f t="shared" si="96"/>
        <v>No</v>
      </c>
      <c r="J670" s="1" t="str">
        <f t="shared" si="97"/>
        <v>Si</v>
      </c>
      <c r="K670" s="1" t="str">
        <f t="shared" si="98"/>
        <v/>
      </c>
    </row>
    <row r="671" spans="1:11" x14ac:dyDescent="0.3">
      <c r="A671" s="1">
        <v>12</v>
      </c>
      <c r="B671" s="1">
        <v>41</v>
      </c>
      <c r="C671" s="12">
        <f t="shared" si="90"/>
        <v>-0.97499999999999998</v>
      </c>
      <c r="D671" s="12">
        <f t="shared" si="91"/>
        <v>1.2000000000000002</v>
      </c>
      <c r="E671" s="12">
        <f t="shared" si="92"/>
        <v>11.024309276444443</v>
      </c>
      <c r="F671" s="12">
        <f t="shared" si="93"/>
        <v>11.024309276444443</v>
      </c>
      <c r="G671" s="12">
        <f t="shared" si="94"/>
        <v>14.435951928888889</v>
      </c>
      <c r="H671" s="12">
        <f t="shared" si="95"/>
        <v>14.435951928888889</v>
      </c>
      <c r="I671" s="1" t="str">
        <f t="shared" si="96"/>
        <v>No</v>
      </c>
      <c r="J671" s="1" t="str">
        <f t="shared" si="97"/>
        <v>Si</v>
      </c>
      <c r="K671" s="1" t="str">
        <f t="shared" si="98"/>
        <v/>
      </c>
    </row>
    <row r="672" spans="1:11" x14ac:dyDescent="0.3">
      <c r="A672" s="1">
        <v>12</v>
      </c>
      <c r="B672" s="1">
        <v>42</v>
      </c>
      <c r="C672" s="12">
        <f t="shared" si="90"/>
        <v>-0.97499999999999998</v>
      </c>
      <c r="D672" s="12">
        <f t="shared" si="91"/>
        <v>1.2749999999999999</v>
      </c>
      <c r="E672" s="12">
        <f t="shared" si="92"/>
        <v>11.021821183999998</v>
      </c>
      <c r="F672" s="12">
        <f t="shared" si="93"/>
        <v>11.021821183999998</v>
      </c>
      <c r="G672" s="12">
        <f t="shared" si="94"/>
        <v>14.432447573333333</v>
      </c>
      <c r="H672" s="12">
        <f t="shared" si="95"/>
        <v>14.432447573333333</v>
      </c>
      <c r="I672" s="1" t="str">
        <f t="shared" si="96"/>
        <v>No</v>
      </c>
      <c r="J672" s="1" t="str">
        <f t="shared" si="97"/>
        <v>Si</v>
      </c>
      <c r="K672" s="1" t="str">
        <f t="shared" si="98"/>
        <v/>
      </c>
    </row>
    <row r="673" spans="1:11" x14ac:dyDescent="0.3">
      <c r="A673" s="1">
        <v>12</v>
      </c>
      <c r="B673" s="1">
        <v>43</v>
      </c>
      <c r="C673" s="12">
        <f t="shared" si="90"/>
        <v>-0.97499999999999998</v>
      </c>
      <c r="D673" s="12">
        <f t="shared" si="91"/>
        <v>1.35</v>
      </c>
      <c r="E673" s="12">
        <f t="shared" si="92"/>
        <v>11.019333091555554</v>
      </c>
      <c r="F673" s="12">
        <f t="shared" si="93"/>
        <v>11.019333091555554</v>
      </c>
      <c r="G673" s="12">
        <f t="shared" si="94"/>
        <v>14.428943217777777</v>
      </c>
      <c r="H673" s="12">
        <f t="shared" si="95"/>
        <v>14.428943217777777</v>
      </c>
      <c r="I673" s="1" t="str">
        <f t="shared" si="96"/>
        <v>No</v>
      </c>
      <c r="J673" s="1" t="str">
        <f t="shared" si="97"/>
        <v>Si</v>
      </c>
      <c r="K673" s="1" t="str">
        <f t="shared" si="98"/>
        <v/>
      </c>
    </row>
    <row r="674" spans="1:11" x14ac:dyDescent="0.3">
      <c r="A674" s="1">
        <v>12</v>
      </c>
      <c r="B674" s="1">
        <v>44</v>
      </c>
      <c r="C674" s="12">
        <f t="shared" si="90"/>
        <v>-0.97499999999999998</v>
      </c>
      <c r="D674" s="12">
        <f t="shared" si="91"/>
        <v>1.4249999999999998</v>
      </c>
      <c r="E674" s="12">
        <f t="shared" si="92"/>
        <v>11.016844999111111</v>
      </c>
      <c r="F674" s="12">
        <f t="shared" si="93"/>
        <v>11.016844999111111</v>
      </c>
      <c r="G674" s="12">
        <f t="shared" si="94"/>
        <v>14.42543886222222</v>
      </c>
      <c r="H674" s="12">
        <f t="shared" si="95"/>
        <v>14.42543886222222</v>
      </c>
      <c r="I674" s="1" t="str">
        <f t="shared" si="96"/>
        <v>No</v>
      </c>
      <c r="J674" s="1" t="str">
        <f t="shared" si="97"/>
        <v>Si</v>
      </c>
      <c r="K674" s="1" t="str">
        <f t="shared" si="98"/>
        <v/>
      </c>
    </row>
    <row r="675" spans="1:11" x14ac:dyDescent="0.3">
      <c r="A675" s="1">
        <v>12</v>
      </c>
      <c r="B675" s="1">
        <v>45</v>
      </c>
      <c r="C675" s="12">
        <f t="shared" si="90"/>
        <v>-0.97499999999999998</v>
      </c>
      <c r="D675" s="12">
        <f t="shared" si="91"/>
        <v>1.5</v>
      </c>
      <c r="E675" s="12">
        <f t="shared" si="92"/>
        <v>11.014356906666666</v>
      </c>
      <c r="F675" s="12">
        <f t="shared" si="93"/>
        <v>11.014356906666666</v>
      </c>
      <c r="G675" s="12">
        <f t="shared" si="94"/>
        <v>14.421934506666666</v>
      </c>
      <c r="H675" s="12">
        <f t="shared" si="95"/>
        <v>14.421934506666666</v>
      </c>
      <c r="I675" s="1" t="str">
        <f t="shared" si="96"/>
        <v>No</v>
      </c>
      <c r="J675" s="1" t="str">
        <f t="shared" si="97"/>
        <v>Si</v>
      </c>
      <c r="K675" s="1" t="str">
        <f t="shared" si="98"/>
        <v/>
      </c>
    </row>
    <row r="676" spans="1:11" x14ac:dyDescent="0.3">
      <c r="A676" s="1">
        <v>12</v>
      </c>
      <c r="B676" s="1">
        <v>46</v>
      </c>
      <c r="C676" s="12">
        <f t="shared" si="90"/>
        <v>-0.97499999999999998</v>
      </c>
      <c r="D676" s="12">
        <f t="shared" si="91"/>
        <v>1.5750000000000002</v>
      </c>
      <c r="E676" s="12">
        <f t="shared" si="92"/>
        <v>11.011868814222222</v>
      </c>
      <c r="F676" s="12">
        <f t="shared" si="93"/>
        <v>11.011868814222222</v>
      </c>
      <c r="G676" s="12">
        <f t="shared" si="94"/>
        <v>14.41843015111111</v>
      </c>
      <c r="H676" s="12">
        <f t="shared" si="95"/>
        <v>14.41843015111111</v>
      </c>
      <c r="I676" s="1" t="str">
        <f t="shared" si="96"/>
        <v>No</v>
      </c>
      <c r="J676" s="1" t="str">
        <f t="shared" si="97"/>
        <v>Si</v>
      </c>
      <c r="K676" s="1" t="str">
        <f t="shared" si="98"/>
        <v/>
      </c>
    </row>
    <row r="677" spans="1:11" x14ac:dyDescent="0.3">
      <c r="A677" s="1">
        <v>12</v>
      </c>
      <c r="B677" s="1">
        <v>47</v>
      </c>
      <c r="C677" s="12">
        <f t="shared" si="90"/>
        <v>-0.97499999999999998</v>
      </c>
      <c r="D677" s="12">
        <f t="shared" si="91"/>
        <v>1.65</v>
      </c>
      <c r="E677" s="12">
        <f t="shared" si="92"/>
        <v>11.009380721777777</v>
      </c>
      <c r="F677" s="12">
        <f t="shared" si="93"/>
        <v>11.009380721777777</v>
      </c>
      <c r="G677" s="12">
        <f t="shared" si="94"/>
        <v>14.414925795555554</v>
      </c>
      <c r="H677" s="12">
        <f t="shared" si="95"/>
        <v>14.414925795555554</v>
      </c>
      <c r="I677" s="1" t="str">
        <f t="shared" si="96"/>
        <v>No</v>
      </c>
      <c r="J677" s="1" t="str">
        <f t="shared" si="97"/>
        <v>Si</v>
      </c>
      <c r="K677" s="1" t="str">
        <f t="shared" si="98"/>
        <v/>
      </c>
    </row>
    <row r="678" spans="1:11" x14ac:dyDescent="0.3">
      <c r="A678" s="1">
        <v>12</v>
      </c>
      <c r="B678" s="1">
        <v>48</v>
      </c>
      <c r="C678" s="12">
        <f t="shared" si="90"/>
        <v>-0.97499999999999998</v>
      </c>
      <c r="D678" s="12">
        <f t="shared" si="91"/>
        <v>1.7250000000000001</v>
      </c>
      <c r="E678" s="12">
        <f t="shared" si="92"/>
        <v>11.006892629333333</v>
      </c>
      <c r="F678" s="12">
        <f t="shared" si="93"/>
        <v>11.006892629333333</v>
      </c>
      <c r="G678" s="12">
        <f t="shared" si="94"/>
        <v>14.41142144</v>
      </c>
      <c r="H678" s="12">
        <f t="shared" si="95"/>
        <v>14.41142144</v>
      </c>
      <c r="I678" s="1" t="str">
        <f t="shared" si="96"/>
        <v>No</v>
      </c>
      <c r="J678" s="1" t="str">
        <f t="shared" si="97"/>
        <v>Si</v>
      </c>
      <c r="K678" s="1" t="str">
        <f t="shared" si="98"/>
        <v/>
      </c>
    </row>
    <row r="679" spans="1:11" x14ac:dyDescent="0.3">
      <c r="A679" s="1">
        <v>12</v>
      </c>
      <c r="B679" s="1">
        <v>49</v>
      </c>
      <c r="C679" s="12">
        <f t="shared" si="90"/>
        <v>-0.97499999999999998</v>
      </c>
      <c r="D679" s="12">
        <f t="shared" si="91"/>
        <v>1.7999999999999998</v>
      </c>
      <c r="E679" s="12">
        <f t="shared" si="92"/>
        <v>11.004404536888888</v>
      </c>
      <c r="F679" s="12">
        <f t="shared" si="93"/>
        <v>11.004404536888888</v>
      </c>
      <c r="G679" s="12">
        <f t="shared" si="94"/>
        <v>14.407917084444444</v>
      </c>
      <c r="H679" s="12">
        <f t="shared" si="95"/>
        <v>14.407917084444444</v>
      </c>
      <c r="I679" s="1" t="str">
        <f t="shared" si="96"/>
        <v>No</v>
      </c>
      <c r="J679" s="1" t="str">
        <f t="shared" si="97"/>
        <v>Si</v>
      </c>
      <c r="K679" s="1" t="str">
        <f t="shared" si="98"/>
        <v/>
      </c>
    </row>
    <row r="680" spans="1:11" x14ac:dyDescent="0.3">
      <c r="A680" s="1">
        <v>12</v>
      </c>
      <c r="B680" s="1">
        <v>50</v>
      </c>
      <c r="C680" s="12">
        <f t="shared" si="90"/>
        <v>-0.97499999999999998</v>
      </c>
      <c r="D680" s="12">
        <f t="shared" si="91"/>
        <v>1.875</v>
      </c>
      <c r="E680" s="12">
        <f t="shared" si="92"/>
        <v>11.001916444444443</v>
      </c>
      <c r="F680" s="12">
        <f t="shared" si="93"/>
        <v>11.001916444444443</v>
      </c>
      <c r="G680" s="12">
        <f t="shared" si="94"/>
        <v>14.404412728888888</v>
      </c>
      <c r="H680" s="12">
        <f t="shared" si="95"/>
        <v>14.404412728888888</v>
      </c>
      <c r="I680" s="1" t="str">
        <f t="shared" si="96"/>
        <v>No</v>
      </c>
      <c r="J680" s="1" t="str">
        <f t="shared" si="97"/>
        <v>Si</v>
      </c>
      <c r="K680" s="1" t="str">
        <f t="shared" si="98"/>
        <v/>
      </c>
    </row>
    <row r="681" spans="1:11" x14ac:dyDescent="0.3">
      <c r="A681" s="1">
        <v>13</v>
      </c>
      <c r="B681" s="1">
        <v>0</v>
      </c>
      <c r="C681" s="12">
        <f t="shared" si="90"/>
        <v>-0.9</v>
      </c>
      <c r="D681" s="12">
        <f t="shared" si="91"/>
        <v>-1.875</v>
      </c>
      <c r="E681" s="12">
        <f t="shared" si="92"/>
        <v>11.12701511111111</v>
      </c>
      <c r="F681" s="12">
        <f t="shared" si="93"/>
        <v>11.12701511111111</v>
      </c>
      <c r="G681" s="12">
        <f t="shared" si="94"/>
        <v>14.580668159999998</v>
      </c>
      <c r="H681" s="12">
        <f t="shared" si="95"/>
        <v>14.580668159999998</v>
      </c>
      <c r="I681" s="1" t="str">
        <f t="shared" si="96"/>
        <v>No</v>
      </c>
      <c r="J681" s="1" t="str">
        <f t="shared" si="97"/>
        <v>Si</v>
      </c>
      <c r="K681" s="1" t="str">
        <f t="shared" si="98"/>
        <v/>
      </c>
    </row>
    <row r="682" spans="1:11" x14ac:dyDescent="0.3">
      <c r="A682" s="1">
        <v>13</v>
      </c>
      <c r="B682" s="1">
        <v>1</v>
      </c>
      <c r="C682" s="12">
        <f t="shared" si="90"/>
        <v>-0.9</v>
      </c>
      <c r="D682" s="12">
        <f t="shared" si="91"/>
        <v>-1.8</v>
      </c>
      <c r="E682" s="12">
        <f t="shared" si="92"/>
        <v>11.124527018666665</v>
      </c>
      <c r="F682" s="12">
        <f t="shared" si="93"/>
        <v>11.124527018666665</v>
      </c>
      <c r="G682" s="12">
        <f t="shared" si="94"/>
        <v>14.577163804444442</v>
      </c>
      <c r="H682" s="12">
        <f t="shared" si="95"/>
        <v>14.577163804444442</v>
      </c>
      <c r="I682" s="1" t="str">
        <f t="shared" si="96"/>
        <v>No</v>
      </c>
      <c r="J682" s="1" t="str">
        <f t="shared" si="97"/>
        <v>Si</v>
      </c>
      <c r="K682" s="1" t="str">
        <f t="shared" si="98"/>
        <v/>
      </c>
    </row>
    <row r="683" spans="1:11" x14ac:dyDescent="0.3">
      <c r="A683" s="1">
        <v>13</v>
      </c>
      <c r="B683" s="1">
        <v>2</v>
      </c>
      <c r="C683" s="12">
        <f t="shared" si="90"/>
        <v>-0.9</v>
      </c>
      <c r="D683" s="12">
        <f t="shared" si="91"/>
        <v>-1.7250000000000001</v>
      </c>
      <c r="E683" s="12">
        <f t="shared" si="92"/>
        <v>11.122038926222221</v>
      </c>
      <c r="F683" s="12">
        <f t="shared" si="93"/>
        <v>11.122038926222221</v>
      </c>
      <c r="G683" s="12">
        <f t="shared" si="94"/>
        <v>14.573659448888886</v>
      </c>
      <c r="H683" s="12">
        <f t="shared" si="95"/>
        <v>14.573659448888886</v>
      </c>
      <c r="I683" s="1" t="str">
        <f t="shared" si="96"/>
        <v>No</v>
      </c>
      <c r="J683" s="1" t="str">
        <f t="shared" si="97"/>
        <v>Si</v>
      </c>
      <c r="K683" s="1" t="str">
        <f t="shared" si="98"/>
        <v/>
      </c>
    </row>
    <row r="684" spans="1:11" x14ac:dyDescent="0.3">
      <c r="A684" s="1">
        <v>13</v>
      </c>
      <c r="B684" s="1">
        <v>3</v>
      </c>
      <c r="C684" s="12">
        <f t="shared" si="90"/>
        <v>-0.9</v>
      </c>
      <c r="D684" s="12">
        <f t="shared" si="91"/>
        <v>-1.65</v>
      </c>
      <c r="E684" s="12">
        <f t="shared" si="92"/>
        <v>11.119550833777776</v>
      </c>
      <c r="F684" s="12">
        <f t="shared" si="93"/>
        <v>11.119550833777776</v>
      </c>
      <c r="G684" s="12">
        <f t="shared" si="94"/>
        <v>14.570155093333332</v>
      </c>
      <c r="H684" s="12">
        <f t="shared" si="95"/>
        <v>14.570155093333332</v>
      </c>
      <c r="I684" s="1" t="str">
        <f t="shared" si="96"/>
        <v>No</v>
      </c>
      <c r="J684" s="1" t="str">
        <f t="shared" si="97"/>
        <v>Si</v>
      </c>
      <c r="K684" s="1" t="str">
        <f t="shared" si="98"/>
        <v/>
      </c>
    </row>
    <row r="685" spans="1:11" x14ac:dyDescent="0.3">
      <c r="A685" s="1">
        <v>13</v>
      </c>
      <c r="B685" s="1">
        <v>4</v>
      </c>
      <c r="C685" s="12">
        <f t="shared" si="90"/>
        <v>-0.9</v>
      </c>
      <c r="D685" s="12">
        <f t="shared" si="91"/>
        <v>-1.575</v>
      </c>
      <c r="E685" s="12">
        <f t="shared" si="92"/>
        <v>11.117062741333331</v>
      </c>
      <c r="F685" s="12">
        <f t="shared" si="93"/>
        <v>11.117062741333331</v>
      </c>
      <c r="G685" s="12">
        <f t="shared" si="94"/>
        <v>14.566650737777776</v>
      </c>
      <c r="H685" s="12">
        <f t="shared" si="95"/>
        <v>14.566650737777776</v>
      </c>
      <c r="I685" s="1" t="str">
        <f t="shared" si="96"/>
        <v>No</v>
      </c>
      <c r="J685" s="1" t="str">
        <f t="shared" si="97"/>
        <v>Si</v>
      </c>
      <c r="K685" s="1" t="str">
        <f t="shared" si="98"/>
        <v/>
      </c>
    </row>
    <row r="686" spans="1:11" x14ac:dyDescent="0.3">
      <c r="A686" s="1">
        <v>13</v>
      </c>
      <c r="B686" s="1">
        <v>5</v>
      </c>
      <c r="C686" s="12">
        <f t="shared" si="90"/>
        <v>-0.9</v>
      </c>
      <c r="D686" s="12">
        <f t="shared" si="91"/>
        <v>-1.5</v>
      </c>
      <c r="E686" s="12">
        <f t="shared" si="92"/>
        <v>11.114574648888887</v>
      </c>
      <c r="F686" s="12">
        <f t="shared" si="93"/>
        <v>11.114574648888887</v>
      </c>
      <c r="G686" s="12">
        <f t="shared" si="94"/>
        <v>14.56314638222222</v>
      </c>
      <c r="H686" s="12">
        <f t="shared" si="95"/>
        <v>14.56314638222222</v>
      </c>
      <c r="I686" s="1" t="str">
        <f t="shared" si="96"/>
        <v>No</v>
      </c>
      <c r="J686" s="1" t="str">
        <f t="shared" si="97"/>
        <v>Si</v>
      </c>
      <c r="K686" s="1" t="str">
        <f t="shared" si="98"/>
        <v/>
      </c>
    </row>
    <row r="687" spans="1:11" x14ac:dyDescent="0.3">
      <c r="A687" s="1">
        <v>13</v>
      </c>
      <c r="B687" s="1">
        <v>6</v>
      </c>
      <c r="C687" s="12">
        <f t="shared" si="90"/>
        <v>-0.9</v>
      </c>
      <c r="D687" s="12">
        <f t="shared" si="91"/>
        <v>-1.425</v>
      </c>
      <c r="E687" s="12">
        <f t="shared" si="92"/>
        <v>11.112086556444442</v>
      </c>
      <c r="F687" s="12">
        <f t="shared" si="93"/>
        <v>11.112086556444442</v>
      </c>
      <c r="G687" s="12">
        <f t="shared" si="94"/>
        <v>14.559642026666666</v>
      </c>
      <c r="H687" s="12">
        <f t="shared" si="95"/>
        <v>14.559642026666666</v>
      </c>
      <c r="I687" s="1" t="str">
        <f t="shared" si="96"/>
        <v>No</v>
      </c>
      <c r="J687" s="1" t="str">
        <f t="shared" si="97"/>
        <v>Si</v>
      </c>
      <c r="K687" s="1" t="str">
        <f t="shared" si="98"/>
        <v/>
      </c>
    </row>
    <row r="688" spans="1:11" x14ac:dyDescent="0.3">
      <c r="A688" s="1">
        <v>13</v>
      </c>
      <c r="B688" s="1">
        <v>7</v>
      </c>
      <c r="C688" s="12">
        <f t="shared" si="90"/>
        <v>-0.9</v>
      </c>
      <c r="D688" s="12">
        <f t="shared" si="91"/>
        <v>-1.35</v>
      </c>
      <c r="E688" s="12">
        <f t="shared" si="92"/>
        <v>11.109598463999999</v>
      </c>
      <c r="F688" s="12">
        <f t="shared" si="93"/>
        <v>11.109598463999999</v>
      </c>
      <c r="G688" s="12">
        <f t="shared" si="94"/>
        <v>14.556137671111109</v>
      </c>
      <c r="H688" s="12">
        <f t="shared" si="95"/>
        <v>14.556137671111109</v>
      </c>
      <c r="I688" s="1" t="str">
        <f t="shared" si="96"/>
        <v>No</v>
      </c>
      <c r="J688" s="1" t="str">
        <f t="shared" si="97"/>
        <v>Si</v>
      </c>
      <c r="K688" s="1" t="str">
        <f t="shared" si="98"/>
        <v/>
      </c>
    </row>
    <row r="689" spans="1:11" x14ac:dyDescent="0.3">
      <c r="A689" s="1">
        <v>13</v>
      </c>
      <c r="B689" s="1">
        <v>8</v>
      </c>
      <c r="C689" s="12">
        <f t="shared" si="90"/>
        <v>-0.9</v>
      </c>
      <c r="D689" s="12">
        <f t="shared" si="91"/>
        <v>-1.2749999999999999</v>
      </c>
      <c r="E689" s="12">
        <f t="shared" si="92"/>
        <v>11.107110371555555</v>
      </c>
      <c r="F689" s="12">
        <f t="shared" si="93"/>
        <v>11.107110371555555</v>
      </c>
      <c r="G689" s="12">
        <f t="shared" si="94"/>
        <v>14.552633315555553</v>
      </c>
      <c r="H689" s="12">
        <f t="shared" si="95"/>
        <v>14.552633315555553</v>
      </c>
      <c r="I689" s="1" t="str">
        <f t="shared" si="96"/>
        <v>No</v>
      </c>
      <c r="J689" s="1" t="str">
        <f t="shared" si="97"/>
        <v>Si</v>
      </c>
      <c r="K689" s="1" t="str">
        <f t="shared" si="98"/>
        <v/>
      </c>
    </row>
    <row r="690" spans="1:11" x14ac:dyDescent="0.3">
      <c r="A690" s="1">
        <v>13</v>
      </c>
      <c r="B690" s="1">
        <v>9</v>
      </c>
      <c r="C690" s="12">
        <f t="shared" si="90"/>
        <v>-0.9</v>
      </c>
      <c r="D690" s="12">
        <f t="shared" si="91"/>
        <v>-1.2</v>
      </c>
      <c r="E690" s="12">
        <f t="shared" si="92"/>
        <v>11.10462227911111</v>
      </c>
      <c r="F690" s="12">
        <f t="shared" si="93"/>
        <v>11.10462227911111</v>
      </c>
      <c r="G690" s="12">
        <f t="shared" si="94"/>
        <v>14.549128959999997</v>
      </c>
      <c r="H690" s="12">
        <f t="shared" si="95"/>
        <v>14.549128959999997</v>
      </c>
      <c r="I690" s="1" t="str">
        <f t="shared" si="96"/>
        <v>No</v>
      </c>
      <c r="J690" s="1" t="str">
        <f t="shared" si="97"/>
        <v>Si</v>
      </c>
      <c r="K690" s="1" t="str">
        <f t="shared" si="98"/>
        <v/>
      </c>
    </row>
    <row r="691" spans="1:11" x14ac:dyDescent="0.3">
      <c r="A691" s="1">
        <v>13</v>
      </c>
      <c r="B691" s="1">
        <v>10</v>
      </c>
      <c r="C691" s="12">
        <f t="shared" si="90"/>
        <v>-0.9</v>
      </c>
      <c r="D691" s="12">
        <f t="shared" si="91"/>
        <v>-1.125</v>
      </c>
      <c r="E691" s="12">
        <f t="shared" si="92"/>
        <v>11.102134186666666</v>
      </c>
      <c r="F691" s="12">
        <f t="shared" si="93"/>
        <v>11.102134186666666</v>
      </c>
      <c r="G691" s="12">
        <f t="shared" si="94"/>
        <v>14.545624604444443</v>
      </c>
      <c r="H691" s="12">
        <f t="shared" si="95"/>
        <v>14.545624604444443</v>
      </c>
      <c r="I691" s="1" t="str">
        <f t="shared" si="96"/>
        <v>No</v>
      </c>
      <c r="J691" s="1" t="str">
        <f t="shared" si="97"/>
        <v>Si</v>
      </c>
      <c r="K691" s="1" t="str">
        <f t="shared" si="98"/>
        <v/>
      </c>
    </row>
    <row r="692" spans="1:11" x14ac:dyDescent="0.3">
      <c r="A692" s="1">
        <v>13</v>
      </c>
      <c r="B692" s="1">
        <v>11</v>
      </c>
      <c r="C692" s="12">
        <f t="shared" si="90"/>
        <v>-0.9</v>
      </c>
      <c r="D692" s="12">
        <f t="shared" si="91"/>
        <v>-1.05</v>
      </c>
      <c r="E692" s="12">
        <f t="shared" si="92"/>
        <v>11.099646094222221</v>
      </c>
      <c r="F692" s="12">
        <f t="shared" si="93"/>
        <v>11.099646094222221</v>
      </c>
      <c r="G692" s="12">
        <f t="shared" si="94"/>
        <v>14.542120248888887</v>
      </c>
      <c r="H692" s="12">
        <f t="shared" si="95"/>
        <v>14.542120248888887</v>
      </c>
      <c r="I692" s="1" t="str">
        <f t="shared" si="96"/>
        <v>No</v>
      </c>
      <c r="J692" s="1" t="str">
        <f t="shared" si="97"/>
        <v>Si</v>
      </c>
      <c r="K692" s="1" t="str">
        <f t="shared" si="98"/>
        <v/>
      </c>
    </row>
    <row r="693" spans="1:11" x14ac:dyDescent="0.3">
      <c r="A693" s="1">
        <v>13</v>
      </c>
      <c r="B693" s="1">
        <v>12</v>
      </c>
      <c r="C693" s="12">
        <f t="shared" si="90"/>
        <v>-0.9</v>
      </c>
      <c r="D693" s="12">
        <f t="shared" si="91"/>
        <v>-0.97499999999999998</v>
      </c>
      <c r="E693" s="12">
        <f t="shared" si="92"/>
        <v>11.097158001777776</v>
      </c>
      <c r="F693" s="12">
        <f t="shared" si="93"/>
        <v>11.097158001777776</v>
      </c>
      <c r="G693" s="12">
        <f t="shared" si="94"/>
        <v>14.538615893333331</v>
      </c>
      <c r="H693" s="12">
        <f t="shared" si="95"/>
        <v>14.538615893333331</v>
      </c>
      <c r="I693" s="1" t="str">
        <f t="shared" si="96"/>
        <v>No</v>
      </c>
      <c r="J693" s="1" t="str">
        <f t="shared" si="97"/>
        <v>Si</v>
      </c>
      <c r="K693" s="1" t="str">
        <f t="shared" si="98"/>
        <v/>
      </c>
    </row>
    <row r="694" spans="1:11" x14ac:dyDescent="0.3">
      <c r="A694" s="1">
        <v>13</v>
      </c>
      <c r="B694" s="1">
        <v>13</v>
      </c>
      <c r="C694" s="12">
        <f t="shared" si="90"/>
        <v>-0.9</v>
      </c>
      <c r="D694" s="12">
        <f t="shared" si="91"/>
        <v>-0.9</v>
      </c>
      <c r="E694" s="12">
        <f t="shared" si="92"/>
        <v>11.094669909333332</v>
      </c>
      <c r="F694" s="12">
        <f t="shared" si="93"/>
        <v>11.094669909333332</v>
      </c>
      <c r="G694" s="12">
        <f t="shared" si="94"/>
        <v>14.535111537777777</v>
      </c>
      <c r="H694" s="12">
        <f t="shared" si="95"/>
        <v>14.535111537777777</v>
      </c>
      <c r="I694" s="1" t="str">
        <f t="shared" si="96"/>
        <v>No</v>
      </c>
      <c r="J694" s="1" t="str">
        <f t="shared" si="97"/>
        <v>Si</v>
      </c>
      <c r="K694" s="1" t="str">
        <f t="shared" si="98"/>
        <v/>
      </c>
    </row>
    <row r="695" spans="1:11" x14ac:dyDescent="0.3">
      <c r="A695" s="1">
        <v>13</v>
      </c>
      <c r="B695" s="1">
        <v>14</v>
      </c>
      <c r="C695" s="12">
        <f t="shared" si="90"/>
        <v>-0.9</v>
      </c>
      <c r="D695" s="12">
        <f t="shared" si="91"/>
        <v>-0.82499999999999996</v>
      </c>
      <c r="E695" s="12">
        <f t="shared" si="92"/>
        <v>11.092181816888887</v>
      </c>
      <c r="F695" s="12">
        <f t="shared" si="93"/>
        <v>11.092181816888887</v>
      </c>
      <c r="G695" s="12">
        <f t="shared" si="94"/>
        <v>14.531607182222221</v>
      </c>
      <c r="H695" s="12">
        <f t="shared" si="95"/>
        <v>14.531607182222221</v>
      </c>
      <c r="I695" s="1" t="str">
        <f t="shared" si="96"/>
        <v>No</v>
      </c>
      <c r="J695" s="1" t="str">
        <f t="shared" si="97"/>
        <v>Si</v>
      </c>
      <c r="K695" s="1" t="str">
        <f t="shared" si="98"/>
        <v/>
      </c>
    </row>
    <row r="696" spans="1:11" x14ac:dyDescent="0.3">
      <c r="A696" s="1">
        <v>13</v>
      </c>
      <c r="B696" s="1">
        <v>15</v>
      </c>
      <c r="C696" s="12">
        <f t="shared" si="90"/>
        <v>-0.9</v>
      </c>
      <c r="D696" s="12">
        <f t="shared" si="91"/>
        <v>-0.75</v>
      </c>
      <c r="E696" s="12">
        <f t="shared" si="92"/>
        <v>11.089693724444443</v>
      </c>
      <c r="F696" s="12">
        <f t="shared" si="93"/>
        <v>11.089693724444443</v>
      </c>
      <c r="G696" s="12">
        <f t="shared" si="94"/>
        <v>14.528102826666665</v>
      </c>
      <c r="H696" s="12">
        <f t="shared" si="95"/>
        <v>14.528102826666665</v>
      </c>
      <c r="I696" s="1" t="str">
        <f t="shared" si="96"/>
        <v>No</v>
      </c>
      <c r="J696" s="1" t="str">
        <f t="shared" si="97"/>
        <v>Si</v>
      </c>
      <c r="K696" s="1" t="str">
        <f t="shared" si="98"/>
        <v/>
      </c>
    </row>
    <row r="697" spans="1:11" x14ac:dyDescent="0.3">
      <c r="A697" s="1">
        <v>13</v>
      </c>
      <c r="B697" s="1">
        <v>16</v>
      </c>
      <c r="C697" s="12">
        <f t="shared" si="90"/>
        <v>-0.9</v>
      </c>
      <c r="D697" s="12">
        <f t="shared" si="91"/>
        <v>-0.67500000000000004</v>
      </c>
      <c r="E697" s="12">
        <f t="shared" si="92"/>
        <v>11.087205631999998</v>
      </c>
      <c r="F697" s="12">
        <f t="shared" si="93"/>
        <v>11.087205631999998</v>
      </c>
      <c r="G697" s="12">
        <f t="shared" si="94"/>
        <v>14.524598471111108</v>
      </c>
      <c r="H697" s="12">
        <f t="shared" si="95"/>
        <v>14.524598471111108</v>
      </c>
      <c r="I697" s="1" t="str">
        <f t="shared" si="96"/>
        <v>No</v>
      </c>
      <c r="J697" s="1" t="str">
        <f t="shared" si="97"/>
        <v>Si</v>
      </c>
      <c r="K697" s="1" t="str">
        <f t="shared" si="98"/>
        <v/>
      </c>
    </row>
    <row r="698" spans="1:11" x14ac:dyDescent="0.3">
      <c r="A698" s="1">
        <v>13</v>
      </c>
      <c r="B698" s="1">
        <v>17</v>
      </c>
      <c r="C698" s="12">
        <f t="shared" si="90"/>
        <v>-0.9</v>
      </c>
      <c r="D698" s="12">
        <f t="shared" si="91"/>
        <v>-0.60000000000000009</v>
      </c>
      <c r="E698" s="12">
        <f t="shared" si="92"/>
        <v>11.084717539555554</v>
      </c>
      <c r="F698" s="12">
        <f t="shared" si="93"/>
        <v>11.084717539555554</v>
      </c>
      <c r="G698" s="12">
        <f t="shared" si="94"/>
        <v>14.521094115555554</v>
      </c>
      <c r="H698" s="12">
        <f t="shared" si="95"/>
        <v>14.521094115555554</v>
      </c>
      <c r="I698" s="1" t="str">
        <f t="shared" si="96"/>
        <v>No</v>
      </c>
      <c r="J698" s="1" t="str">
        <f t="shared" si="97"/>
        <v>Si</v>
      </c>
      <c r="K698" s="1" t="str">
        <f t="shared" si="98"/>
        <v/>
      </c>
    </row>
    <row r="699" spans="1:11" x14ac:dyDescent="0.3">
      <c r="A699" s="1">
        <v>13</v>
      </c>
      <c r="B699" s="1">
        <v>18</v>
      </c>
      <c r="C699" s="12">
        <f t="shared" si="90"/>
        <v>-0.9</v>
      </c>
      <c r="D699" s="12">
        <f t="shared" si="91"/>
        <v>-0.52499999999999991</v>
      </c>
      <c r="E699" s="12">
        <f t="shared" si="92"/>
        <v>11.082229447111109</v>
      </c>
      <c r="F699" s="12">
        <f t="shared" si="93"/>
        <v>11.082229447111109</v>
      </c>
      <c r="G699" s="12">
        <f t="shared" si="94"/>
        <v>14.517589759999998</v>
      </c>
      <c r="H699" s="12">
        <f t="shared" si="95"/>
        <v>14.517589759999998</v>
      </c>
      <c r="I699" s="1" t="str">
        <f t="shared" si="96"/>
        <v>No</v>
      </c>
      <c r="J699" s="1" t="str">
        <f t="shared" si="97"/>
        <v>Si</v>
      </c>
      <c r="K699" s="1" t="str">
        <f t="shared" si="98"/>
        <v/>
      </c>
    </row>
    <row r="700" spans="1:11" x14ac:dyDescent="0.3">
      <c r="A700" s="1">
        <v>13</v>
      </c>
      <c r="B700" s="1">
        <v>19</v>
      </c>
      <c r="C700" s="12">
        <f t="shared" si="90"/>
        <v>-0.9</v>
      </c>
      <c r="D700" s="12">
        <f t="shared" si="91"/>
        <v>-0.44999999999999996</v>
      </c>
      <c r="E700" s="12">
        <f t="shared" si="92"/>
        <v>11.079741354666666</v>
      </c>
      <c r="F700" s="12">
        <f t="shared" si="93"/>
        <v>11.079741354666666</v>
      </c>
      <c r="G700" s="12">
        <f t="shared" si="94"/>
        <v>14.514085404444442</v>
      </c>
      <c r="H700" s="12">
        <f t="shared" si="95"/>
        <v>14.514085404444442</v>
      </c>
      <c r="I700" s="1" t="str">
        <f t="shared" si="96"/>
        <v>No</v>
      </c>
      <c r="J700" s="1" t="str">
        <f t="shared" si="97"/>
        <v>Si</v>
      </c>
      <c r="K700" s="1" t="str">
        <f t="shared" si="98"/>
        <v/>
      </c>
    </row>
    <row r="701" spans="1:11" x14ac:dyDescent="0.3">
      <c r="A701" s="1">
        <v>13</v>
      </c>
      <c r="B701" s="1">
        <v>20</v>
      </c>
      <c r="C701" s="12">
        <f t="shared" si="90"/>
        <v>-0.9</v>
      </c>
      <c r="D701" s="12">
        <f t="shared" si="91"/>
        <v>-0.375</v>
      </c>
      <c r="E701" s="12">
        <f t="shared" si="92"/>
        <v>11.077253262222222</v>
      </c>
      <c r="F701" s="12">
        <f t="shared" si="93"/>
        <v>11.077253262222222</v>
      </c>
      <c r="G701" s="12">
        <f t="shared" si="94"/>
        <v>14.510581048888888</v>
      </c>
      <c r="H701" s="12">
        <f t="shared" si="95"/>
        <v>14.510581048888888</v>
      </c>
      <c r="I701" s="1" t="str">
        <f t="shared" si="96"/>
        <v>No</v>
      </c>
      <c r="J701" s="1" t="str">
        <f t="shared" si="97"/>
        <v>Si</v>
      </c>
      <c r="K701" s="1" t="str">
        <f t="shared" si="98"/>
        <v/>
      </c>
    </row>
    <row r="702" spans="1:11" x14ac:dyDescent="0.3">
      <c r="A702" s="1">
        <v>13</v>
      </c>
      <c r="B702" s="1">
        <v>21</v>
      </c>
      <c r="C702" s="12">
        <f t="shared" si="90"/>
        <v>-0.9</v>
      </c>
      <c r="D702" s="12">
        <f t="shared" si="91"/>
        <v>-0.30000000000000004</v>
      </c>
      <c r="E702" s="12">
        <f t="shared" si="92"/>
        <v>11.074765169777777</v>
      </c>
      <c r="F702" s="12">
        <f t="shared" si="93"/>
        <v>11.074765169777777</v>
      </c>
      <c r="G702" s="12">
        <f t="shared" si="94"/>
        <v>14.507076693333332</v>
      </c>
      <c r="H702" s="12">
        <f t="shared" si="95"/>
        <v>14.507076693333332</v>
      </c>
      <c r="I702" s="1" t="str">
        <f t="shared" si="96"/>
        <v>No</v>
      </c>
      <c r="J702" s="1" t="str">
        <f t="shared" si="97"/>
        <v>Si</v>
      </c>
      <c r="K702" s="1" t="str">
        <f t="shared" si="98"/>
        <v/>
      </c>
    </row>
    <row r="703" spans="1:11" x14ac:dyDescent="0.3">
      <c r="A703" s="1">
        <v>13</v>
      </c>
      <c r="B703" s="1">
        <v>22</v>
      </c>
      <c r="C703" s="12">
        <f t="shared" si="90"/>
        <v>-0.9</v>
      </c>
      <c r="D703" s="12">
        <f t="shared" si="91"/>
        <v>-0.22500000000000009</v>
      </c>
      <c r="E703" s="12">
        <f t="shared" si="92"/>
        <v>11.072277077333332</v>
      </c>
      <c r="F703" s="12">
        <f t="shared" si="93"/>
        <v>11.072277077333332</v>
      </c>
      <c r="G703" s="12">
        <f t="shared" si="94"/>
        <v>14.503572337777776</v>
      </c>
      <c r="H703" s="12">
        <f t="shared" si="95"/>
        <v>14.503572337777776</v>
      </c>
      <c r="I703" s="1" t="str">
        <f t="shared" si="96"/>
        <v>No</v>
      </c>
      <c r="J703" s="1" t="str">
        <f t="shared" si="97"/>
        <v>Si</v>
      </c>
      <c r="K703" s="1" t="str">
        <f t="shared" si="98"/>
        <v/>
      </c>
    </row>
    <row r="704" spans="1:11" x14ac:dyDescent="0.3">
      <c r="A704" s="1">
        <v>13</v>
      </c>
      <c r="B704" s="1">
        <v>23</v>
      </c>
      <c r="C704" s="12">
        <f t="shared" si="90"/>
        <v>-0.9</v>
      </c>
      <c r="D704" s="12">
        <f t="shared" si="91"/>
        <v>-0.14999999999999991</v>
      </c>
      <c r="E704" s="12">
        <f t="shared" si="92"/>
        <v>11.069788984888888</v>
      </c>
      <c r="F704" s="12">
        <f t="shared" si="93"/>
        <v>11.069788984888888</v>
      </c>
      <c r="G704" s="12">
        <f t="shared" si="94"/>
        <v>14.50006798222222</v>
      </c>
      <c r="H704" s="12">
        <f t="shared" si="95"/>
        <v>14.50006798222222</v>
      </c>
      <c r="I704" s="1" t="str">
        <f t="shared" si="96"/>
        <v>No</v>
      </c>
      <c r="J704" s="1" t="str">
        <f t="shared" si="97"/>
        <v>Si</v>
      </c>
      <c r="K704" s="1" t="str">
        <f t="shared" si="98"/>
        <v/>
      </c>
    </row>
    <row r="705" spans="1:11" x14ac:dyDescent="0.3">
      <c r="A705" s="1">
        <v>13</v>
      </c>
      <c r="B705" s="1">
        <v>24</v>
      </c>
      <c r="C705" s="12">
        <f t="shared" si="90"/>
        <v>-0.9</v>
      </c>
      <c r="D705" s="12">
        <f t="shared" si="91"/>
        <v>-7.4999999999999956E-2</v>
      </c>
      <c r="E705" s="12">
        <f t="shared" si="92"/>
        <v>11.067300892444443</v>
      </c>
      <c r="F705" s="12">
        <f t="shared" si="93"/>
        <v>11.067300892444443</v>
      </c>
      <c r="G705" s="12">
        <f t="shared" si="94"/>
        <v>14.496563626666665</v>
      </c>
      <c r="H705" s="12">
        <f t="shared" si="95"/>
        <v>14.496563626666665</v>
      </c>
      <c r="I705" s="1" t="str">
        <f t="shared" si="96"/>
        <v>No</v>
      </c>
      <c r="J705" s="1" t="str">
        <f t="shared" si="97"/>
        <v>Si</v>
      </c>
      <c r="K705" s="1" t="str">
        <f t="shared" si="98"/>
        <v/>
      </c>
    </row>
    <row r="706" spans="1:11" x14ac:dyDescent="0.3">
      <c r="A706" s="1">
        <v>13</v>
      </c>
      <c r="B706" s="1">
        <v>25</v>
      </c>
      <c r="C706" s="12">
        <f t="shared" si="90"/>
        <v>-0.9</v>
      </c>
      <c r="D706" s="12">
        <f t="shared" si="91"/>
        <v>0</v>
      </c>
      <c r="E706" s="12">
        <f t="shared" si="92"/>
        <v>11.064812799999999</v>
      </c>
      <c r="F706" s="12">
        <f t="shared" si="93"/>
        <v>11.064812799999999</v>
      </c>
      <c r="G706" s="12">
        <f t="shared" si="94"/>
        <v>14.493059271111109</v>
      </c>
      <c r="H706" s="12">
        <f t="shared" si="95"/>
        <v>14.493059271111109</v>
      </c>
      <c r="I706" s="1" t="str">
        <f t="shared" si="96"/>
        <v>No</v>
      </c>
      <c r="J706" s="1" t="str">
        <f t="shared" si="97"/>
        <v>Si</v>
      </c>
      <c r="K706" s="1" t="str">
        <f t="shared" si="98"/>
        <v/>
      </c>
    </row>
    <row r="707" spans="1:11" x14ac:dyDescent="0.3">
      <c r="A707" s="1">
        <v>13</v>
      </c>
      <c r="B707" s="1">
        <v>26</v>
      </c>
      <c r="C707" s="12">
        <f t="shared" si="90"/>
        <v>-0.9</v>
      </c>
      <c r="D707" s="12">
        <f t="shared" si="91"/>
        <v>7.4999999999999956E-2</v>
      </c>
      <c r="E707" s="12">
        <f t="shared" si="92"/>
        <v>11.062324707555554</v>
      </c>
      <c r="F707" s="12">
        <f t="shared" si="93"/>
        <v>11.062324707555554</v>
      </c>
      <c r="G707" s="12">
        <f t="shared" si="94"/>
        <v>14.489554915555553</v>
      </c>
      <c r="H707" s="12">
        <f t="shared" si="95"/>
        <v>14.489554915555553</v>
      </c>
      <c r="I707" s="1" t="str">
        <f t="shared" si="96"/>
        <v>No</v>
      </c>
      <c r="J707" s="1" t="str">
        <f t="shared" si="97"/>
        <v>Si</v>
      </c>
      <c r="K707" s="1" t="str">
        <f t="shared" si="98"/>
        <v/>
      </c>
    </row>
    <row r="708" spans="1:11" x14ac:dyDescent="0.3">
      <c r="A708" s="1">
        <v>13</v>
      </c>
      <c r="B708" s="1">
        <v>27</v>
      </c>
      <c r="C708" s="12">
        <f t="shared" si="90"/>
        <v>-0.9</v>
      </c>
      <c r="D708" s="12">
        <f t="shared" si="91"/>
        <v>0.14999999999999991</v>
      </c>
      <c r="E708" s="12">
        <f t="shared" si="92"/>
        <v>11.059836615111109</v>
      </c>
      <c r="F708" s="12">
        <f t="shared" si="93"/>
        <v>11.059836615111109</v>
      </c>
      <c r="G708" s="12">
        <f t="shared" si="94"/>
        <v>14.486050559999999</v>
      </c>
      <c r="H708" s="12">
        <f t="shared" si="95"/>
        <v>14.486050559999999</v>
      </c>
      <c r="I708" s="1" t="str">
        <f t="shared" si="96"/>
        <v>No</v>
      </c>
      <c r="J708" s="1" t="str">
        <f t="shared" si="97"/>
        <v>Si</v>
      </c>
      <c r="K708" s="1" t="str">
        <f t="shared" si="98"/>
        <v/>
      </c>
    </row>
    <row r="709" spans="1:11" x14ac:dyDescent="0.3">
      <c r="A709" s="1">
        <v>13</v>
      </c>
      <c r="B709" s="1">
        <v>28</v>
      </c>
      <c r="C709" s="12">
        <f t="shared" si="90"/>
        <v>-0.9</v>
      </c>
      <c r="D709" s="12">
        <f t="shared" si="91"/>
        <v>0.22500000000000009</v>
      </c>
      <c r="E709" s="12">
        <f t="shared" si="92"/>
        <v>11.057348522666665</v>
      </c>
      <c r="F709" s="12">
        <f t="shared" si="93"/>
        <v>11.057348522666665</v>
      </c>
      <c r="G709" s="12">
        <f t="shared" si="94"/>
        <v>14.482546204444443</v>
      </c>
      <c r="H709" s="12">
        <f t="shared" si="95"/>
        <v>14.482546204444443</v>
      </c>
      <c r="I709" s="1" t="str">
        <f t="shared" si="96"/>
        <v>No</v>
      </c>
      <c r="J709" s="1" t="str">
        <f t="shared" si="97"/>
        <v>Si</v>
      </c>
      <c r="K709" s="1" t="str">
        <f t="shared" si="98"/>
        <v/>
      </c>
    </row>
    <row r="710" spans="1:11" x14ac:dyDescent="0.3">
      <c r="A710" s="1">
        <v>13</v>
      </c>
      <c r="B710" s="1">
        <v>29</v>
      </c>
      <c r="C710" s="12">
        <f t="shared" si="90"/>
        <v>-0.9</v>
      </c>
      <c r="D710" s="12">
        <f t="shared" si="91"/>
        <v>0.29999999999999982</v>
      </c>
      <c r="E710" s="12">
        <f t="shared" si="92"/>
        <v>11.05486043022222</v>
      </c>
      <c r="F710" s="12">
        <f t="shared" si="93"/>
        <v>11.05486043022222</v>
      </c>
      <c r="G710" s="12">
        <f t="shared" si="94"/>
        <v>14.479041848888887</v>
      </c>
      <c r="H710" s="12">
        <f t="shared" si="95"/>
        <v>14.479041848888887</v>
      </c>
      <c r="I710" s="1" t="str">
        <f t="shared" si="96"/>
        <v>No</v>
      </c>
      <c r="J710" s="1" t="str">
        <f t="shared" si="97"/>
        <v>Si</v>
      </c>
      <c r="K710" s="1" t="str">
        <f t="shared" si="98"/>
        <v/>
      </c>
    </row>
    <row r="711" spans="1:11" x14ac:dyDescent="0.3">
      <c r="A711" s="1">
        <v>13</v>
      </c>
      <c r="B711" s="1">
        <v>30</v>
      </c>
      <c r="C711" s="12">
        <f t="shared" si="90"/>
        <v>-0.9</v>
      </c>
      <c r="D711" s="12">
        <f t="shared" si="91"/>
        <v>0.375</v>
      </c>
      <c r="E711" s="12">
        <f t="shared" si="92"/>
        <v>11.052372337777776</v>
      </c>
      <c r="F711" s="12">
        <f t="shared" si="93"/>
        <v>11.052372337777776</v>
      </c>
      <c r="G711" s="12">
        <f t="shared" si="94"/>
        <v>14.475537493333331</v>
      </c>
      <c r="H711" s="12">
        <f t="shared" si="95"/>
        <v>14.475537493333331</v>
      </c>
      <c r="I711" s="1" t="str">
        <f t="shared" si="96"/>
        <v>No</v>
      </c>
      <c r="J711" s="1" t="str">
        <f t="shared" si="97"/>
        <v>Si</v>
      </c>
      <c r="K711" s="1" t="str">
        <f t="shared" si="98"/>
        <v/>
      </c>
    </row>
    <row r="712" spans="1:11" x14ac:dyDescent="0.3">
      <c r="A712" s="1">
        <v>13</v>
      </c>
      <c r="B712" s="1">
        <v>31</v>
      </c>
      <c r="C712" s="12">
        <f t="shared" si="90"/>
        <v>-0.9</v>
      </c>
      <c r="D712" s="12">
        <f t="shared" si="91"/>
        <v>0.45000000000000018</v>
      </c>
      <c r="E712" s="12">
        <f t="shared" si="92"/>
        <v>11.049884245333331</v>
      </c>
      <c r="F712" s="12">
        <f t="shared" si="93"/>
        <v>11.049884245333331</v>
      </c>
      <c r="G712" s="12">
        <f t="shared" si="94"/>
        <v>14.472033137777776</v>
      </c>
      <c r="H712" s="12">
        <f t="shared" si="95"/>
        <v>14.472033137777776</v>
      </c>
      <c r="I712" s="1" t="str">
        <f t="shared" si="96"/>
        <v>No</v>
      </c>
      <c r="J712" s="1" t="str">
        <f t="shared" si="97"/>
        <v>Si</v>
      </c>
      <c r="K712" s="1" t="str">
        <f t="shared" si="98"/>
        <v/>
      </c>
    </row>
    <row r="713" spans="1:11" x14ac:dyDescent="0.3">
      <c r="A713" s="1">
        <v>13</v>
      </c>
      <c r="B713" s="1">
        <v>32</v>
      </c>
      <c r="C713" s="12">
        <f t="shared" si="90"/>
        <v>-0.9</v>
      </c>
      <c r="D713" s="12">
        <f t="shared" si="91"/>
        <v>0.52499999999999991</v>
      </c>
      <c r="E713" s="12">
        <f t="shared" si="92"/>
        <v>11.047396152888888</v>
      </c>
      <c r="F713" s="12">
        <f t="shared" si="93"/>
        <v>11.047396152888888</v>
      </c>
      <c r="G713" s="12">
        <f t="shared" si="94"/>
        <v>14.46852878222222</v>
      </c>
      <c r="H713" s="12">
        <f t="shared" si="95"/>
        <v>14.46852878222222</v>
      </c>
      <c r="I713" s="1" t="str">
        <f t="shared" si="96"/>
        <v>No</v>
      </c>
      <c r="J713" s="1" t="str">
        <f t="shared" si="97"/>
        <v>Si</v>
      </c>
      <c r="K713" s="1" t="str">
        <f t="shared" si="98"/>
        <v/>
      </c>
    </row>
    <row r="714" spans="1:11" x14ac:dyDescent="0.3">
      <c r="A714" s="1">
        <v>13</v>
      </c>
      <c r="B714" s="1">
        <v>33</v>
      </c>
      <c r="C714" s="12">
        <f t="shared" si="90"/>
        <v>-0.9</v>
      </c>
      <c r="D714" s="12">
        <f t="shared" si="91"/>
        <v>0.60000000000000009</v>
      </c>
      <c r="E714" s="12">
        <f t="shared" si="92"/>
        <v>11.044908060444444</v>
      </c>
      <c r="F714" s="12">
        <f t="shared" si="93"/>
        <v>11.044908060444444</v>
      </c>
      <c r="G714" s="12">
        <f t="shared" si="94"/>
        <v>14.465024426666664</v>
      </c>
      <c r="H714" s="12">
        <f t="shared" si="95"/>
        <v>14.465024426666664</v>
      </c>
      <c r="I714" s="1" t="str">
        <f t="shared" si="96"/>
        <v>No</v>
      </c>
      <c r="J714" s="1" t="str">
        <f t="shared" si="97"/>
        <v>Si</v>
      </c>
      <c r="K714" s="1" t="str">
        <f t="shared" si="98"/>
        <v/>
      </c>
    </row>
    <row r="715" spans="1:11" x14ac:dyDescent="0.3">
      <c r="A715" s="1">
        <v>13</v>
      </c>
      <c r="B715" s="1">
        <v>34</v>
      </c>
      <c r="C715" s="12">
        <f t="shared" si="90"/>
        <v>-0.9</v>
      </c>
      <c r="D715" s="12">
        <f t="shared" si="91"/>
        <v>0.67499999999999982</v>
      </c>
      <c r="E715" s="12">
        <f t="shared" si="92"/>
        <v>11.042419967999999</v>
      </c>
      <c r="F715" s="12">
        <f t="shared" si="93"/>
        <v>11.042419967999999</v>
      </c>
      <c r="G715" s="12">
        <f t="shared" si="94"/>
        <v>14.46152007111111</v>
      </c>
      <c r="H715" s="12">
        <f t="shared" si="95"/>
        <v>14.46152007111111</v>
      </c>
      <c r="I715" s="1" t="str">
        <f t="shared" si="96"/>
        <v>No</v>
      </c>
      <c r="J715" s="1" t="str">
        <f t="shared" si="97"/>
        <v>Si</v>
      </c>
      <c r="K715" s="1" t="str">
        <f t="shared" si="98"/>
        <v/>
      </c>
    </row>
    <row r="716" spans="1:11" x14ac:dyDescent="0.3">
      <c r="A716" s="1">
        <v>13</v>
      </c>
      <c r="B716" s="1">
        <v>35</v>
      </c>
      <c r="C716" s="12">
        <f t="shared" si="90"/>
        <v>-0.9</v>
      </c>
      <c r="D716" s="12">
        <f t="shared" si="91"/>
        <v>0.75</v>
      </c>
      <c r="E716" s="12">
        <f t="shared" si="92"/>
        <v>11.039931875555554</v>
      </c>
      <c r="F716" s="12">
        <f t="shared" si="93"/>
        <v>11.039931875555554</v>
      </c>
      <c r="G716" s="12">
        <f t="shared" si="94"/>
        <v>14.458015715555554</v>
      </c>
      <c r="H716" s="12">
        <f t="shared" si="95"/>
        <v>14.458015715555554</v>
      </c>
      <c r="I716" s="1" t="str">
        <f t="shared" si="96"/>
        <v>No</v>
      </c>
      <c r="J716" s="1" t="str">
        <f t="shared" si="97"/>
        <v>Si</v>
      </c>
      <c r="K716" s="1" t="str">
        <f t="shared" si="98"/>
        <v/>
      </c>
    </row>
    <row r="717" spans="1:11" x14ac:dyDescent="0.3">
      <c r="A717" s="1">
        <v>13</v>
      </c>
      <c r="B717" s="1">
        <v>36</v>
      </c>
      <c r="C717" s="12">
        <f t="shared" si="90"/>
        <v>-0.9</v>
      </c>
      <c r="D717" s="12">
        <f t="shared" si="91"/>
        <v>0.82500000000000018</v>
      </c>
      <c r="E717" s="12">
        <f t="shared" si="92"/>
        <v>11.03744378311111</v>
      </c>
      <c r="F717" s="12">
        <f t="shared" si="93"/>
        <v>11.03744378311111</v>
      </c>
      <c r="G717" s="12">
        <f t="shared" si="94"/>
        <v>14.454511359999998</v>
      </c>
      <c r="H717" s="12">
        <f t="shared" si="95"/>
        <v>14.454511359999998</v>
      </c>
      <c r="I717" s="1" t="str">
        <f t="shared" si="96"/>
        <v>No</v>
      </c>
      <c r="J717" s="1" t="str">
        <f t="shared" si="97"/>
        <v>Si</v>
      </c>
      <c r="K717" s="1" t="str">
        <f t="shared" si="98"/>
        <v/>
      </c>
    </row>
    <row r="718" spans="1:11" x14ac:dyDescent="0.3">
      <c r="A718" s="1">
        <v>13</v>
      </c>
      <c r="B718" s="1">
        <v>37</v>
      </c>
      <c r="C718" s="12">
        <f t="shared" si="90"/>
        <v>-0.9</v>
      </c>
      <c r="D718" s="12">
        <f t="shared" si="91"/>
        <v>0.89999999999999991</v>
      </c>
      <c r="E718" s="12">
        <f t="shared" si="92"/>
        <v>11.034955690666665</v>
      </c>
      <c r="F718" s="12">
        <f t="shared" si="93"/>
        <v>11.034955690666665</v>
      </c>
      <c r="G718" s="12">
        <f t="shared" si="94"/>
        <v>14.451007004444442</v>
      </c>
      <c r="H718" s="12">
        <f t="shared" si="95"/>
        <v>14.451007004444442</v>
      </c>
      <c r="I718" s="1" t="str">
        <f t="shared" si="96"/>
        <v>No</v>
      </c>
      <c r="J718" s="1" t="str">
        <f t="shared" si="97"/>
        <v>Si</v>
      </c>
      <c r="K718" s="1" t="str">
        <f t="shared" si="98"/>
        <v/>
      </c>
    </row>
    <row r="719" spans="1:11" x14ac:dyDescent="0.3">
      <c r="A719" s="1">
        <v>13</v>
      </c>
      <c r="B719" s="1">
        <v>38</v>
      </c>
      <c r="C719" s="12">
        <f t="shared" si="90"/>
        <v>-0.9</v>
      </c>
      <c r="D719" s="12">
        <f t="shared" si="91"/>
        <v>0.97500000000000009</v>
      </c>
      <c r="E719" s="12">
        <f t="shared" si="92"/>
        <v>11.032467598222221</v>
      </c>
      <c r="F719" s="12">
        <f t="shared" si="93"/>
        <v>11.032467598222221</v>
      </c>
      <c r="G719" s="12">
        <f t="shared" si="94"/>
        <v>14.447502648888888</v>
      </c>
      <c r="H719" s="12">
        <f t="shared" si="95"/>
        <v>14.447502648888888</v>
      </c>
      <c r="I719" s="1" t="str">
        <f t="shared" si="96"/>
        <v>No</v>
      </c>
      <c r="J719" s="1" t="str">
        <f t="shared" si="97"/>
        <v>Si</v>
      </c>
      <c r="K719" s="1" t="str">
        <f t="shared" si="98"/>
        <v/>
      </c>
    </row>
    <row r="720" spans="1:11" x14ac:dyDescent="0.3">
      <c r="A720" s="1">
        <v>13</v>
      </c>
      <c r="B720" s="1">
        <v>39</v>
      </c>
      <c r="C720" s="12">
        <f t="shared" si="90"/>
        <v>-0.9</v>
      </c>
      <c r="D720" s="12">
        <f t="shared" si="91"/>
        <v>1.0499999999999998</v>
      </c>
      <c r="E720" s="12">
        <f t="shared" si="92"/>
        <v>11.029979505777776</v>
      </c>
      <c r="F720" s="12">
        <f t="shared" si="93"/>
        <v>11.029979505777776</v>
      </c>
      <c r="G720" s="12">
        <f t="shared" si="94"/>
        <v>14.443998293333332</v>
      </c>
      <c r="H720" s="12">
        <f t="shared" si="95"/>
        <v>14.443998293333332</v>
      </c>
      <c r="I720" s="1" t="str">
        <f t="shared" si="96"/>
        <v>No</v>
      </c>
      <c r="J720" s="1" t="str">
        <f t="shared" si="97"/>
        <v>Si</v>
      </c>
      <c r="K720" s="1" t="str">
        <f t="shared" si="98"/>
        <v/>
      </c>
    </row>
    <row r="721" spans="1:11" x14ac:dyDescent="0.3">
      <c r="A721" s="1">
        <v>13</v>
      </c>
      <c r="B721" s="1">
        <v>40</v>
      </c>
      <c r="C721" s="12">
        <f t="shared" si="90"/>
        <v>-0.9</v>
      </c>
      <c r="D721" s="12">
        <f t="shared" si="91"/>
        <v>1.125</v>
      </c>
      <c r="E721" s="12">
        <f t="shared" si="92"/>
        <v>11.027491413333331</v>
      </c>
      <c r="F721" s="12">
        <f t="shared" si="93"/>
        <v>11.027491413333331</v>
      </c>
      <c r="G721" s="12">
        <f t="shared" si="94"/>
        <v>14.440493937777775</v>
      </c>
      <c r="H721" s="12">
        <f t="shared" si="95"/>
        <v>14.440493937777775</v>
      </c>
      <c r="I721" s="1" t="str">
        <f t="shared" si="96"/>
        <v>No</v>
      </c>
      <c r="J721" s="1" t="str">
        <f t="shared" si="97"/>
        <v>Si</v>
      </c>
      <c r="K721" s="1" t="str">
        <f t="shared" si="98"/>
        <v/>
      </c>
    </row>
    <row r="722" spans="1:11" x14ac:dyDescent="0.3">
      <c r="A722" s="1">
        <v>13</v>
      </c>
      <c r="B722" s="1">
        <v>41</v>
      </c>
      <c r="C722" s="12">
        <f t="shared" ref="C722:C785" si="99">IF(OR(A722&gt;inp_n_div_x,B722&gt;inp_n_div_y),"",-inp_bx/2+A722*inp_bx/inp_n_div_x)</f>
        <v>-0.9</v>
      </c>
      <c r="D722" s="12">
        <f t="shared" ref="D722:D785" si="100">IF(C722="","",-inp_by/2+B722*inp_by/inp_n_div_y)</f>
        <v>1.2000000000000002</v>
      </c>
      <c r="E722" s="12">
        <f t="shared" ref="E722:E785" si="101">IF(C722="","",res_srv_p_tot/geo_area+res_srv_mx_tot/geo_ix*D722+res_srv_my_tot/geo_iy*C722)</f>
        <v>11.025003320888887</v>
      </c>
      <c r="F722" s="12">
        <f t="shared" ref="F722:F785" si="102">IF(E722="","",MAX(0,E722))</f>
        <v>11.025003320888887</v>
      </c>
      <c r="G722" s="12">
        <f t="shared" ref="G722:G785" si="103">IF(C722="","",res_u_p_tot/geo_area+res_u_mx_tot/geo_ix*D722+res_u_my_tot/geo_iy*C722)</f>
        <v>14.436989582222221</v>
      </c>
      <c r="H722" s="12">
        <f t="shared" ref="H722:H785" si="104">IF(G722="","",MAX(0,G722))</f>
        <v>14.436989582222221</v>
      </c>
      <c r="I722" s="1" t="str">
        <f t="shared" ref="I722:I785" si="105">IF(C722="","",IF(AND(C722&gt;=inp_xc-inp_cx/2,C722&lt;=inp_xc+inp_cx/2,D722&gt;=inp_yc-inp_cy/2,D722&lt;=inp_yc+inp_cy/2),"Si","No"))</f>
        <v>No</v>
      </c>
      <c r="J722" s="1" t="str">
        <f t="shared" ref="J722:J785" si="106">IF(C722="","","Si")</f>
        <v>Si</v>
      </c>
      <c r="K722" s="1" t="str">
        <f t="shared" ref="K722:K785" si="107">IF(OR(E722&lt;0,G722&lt;0),"Presion negativa","")</f>
        <v/>
      </c>
    </row>
    <row r="723" spans="1:11" x14ac:dyDescent="0.3">
      <c r="A723" s="1">
        <v>13</v>
      </c>
      <c r="B723" s="1">
        <v>42</v>
      </c>
      <c r="C723" s="12">
        <f t="shared" si="99"/>
        <v>-0.9</v>
      </c>
      <c r="D723" s="12">
        <f t="shared" si="100"/>
        <v>1.2749999999999999</v>
      </c>
      <c r="E723" s="12">
        <f t="shared" si="101"/>
        <v>11.022515228444442</v>
      </c>
      <c r="F723" s="12">
        <f t="shared" si="102"/>
        <v>11.022515228444442</v>
      </c>
      <c r="G723" s="12">
        <f t="shared" si="103"/>
        <v>14.433485226666665</v>
      </c>
      <c r="H723" s="12">
        <f t="shared" si="104"/>
        <v>14.433485226666665</v>
      </c>
      <c r="I723" s="1" t="str">
        <f t="shared" si="105"/>
        <v>No</v>
      </c>
      <c r="J723" s="1" t="str">
        <f t="shared" si="106"/>
        <v>Si</v>
      </c>
      <c r="K723" s="1" t="str">
        <f t="shared" si="107"/>
        <v/>
      </c>
    </row>
    <row r="724" spans="1:11" x14ac:dyDescent="0.3">
      <c r="A724" s="1">
        <v>13</v>
      </c>
      <c r="B724" s="1">
        <v>43</v>
      </c>
      <c r="C724" s="12">
        <f t="shared" si="99"/>
        <v>-0.9</v>
      </c>
      <c r="D724" s="12">
        <f t="shared" si="100"/>
        <v>1.35</v>
      </c>
      <c r="E724" s="12">
        <f t="shared" si="101"/>
        <v>11.020027135999998</v>
      </c>
      <c r="F724" s="12">
        <f t="shared" si="102"/>
        <v>11.020027135999998</v>
      </c>
      <c r="G724" s="12">
        <f t="shared" si="103"/>
        <v>14.429980871111109</v>
      </c>
      <c r="H724" s="12">
        <f t="shared" si="104"/>
        <v>14.429980871111109</v>
      </c>
      <c r="I724" s="1" t="str">
        <f t="shared" si="105"/>
        <v>No</v>
      </c>
      <c r="J724" s="1" t="str">
        <f t="shared" si="106"/>
        <v>Si</v>
      </c>
      <c r="K724" s="1" t="str">
        <f t="shared" si="107"/>
        <v/>
      </c>
    </row>
    <row r="725" spans="1:11" x14ac:dyDescent="0.3">
      <c r="A725" s="1">
        <v>13</v>
      </c>
      <c r="B725" s="1">
        <v>44</v>
      </c>
      <c r="C725" s="12">
        <f t="shared" si="99"/>
        <v>-0.9</v>
      </c>
      <c r="D725" s="12">
        <f t="shared" si="100"/>
        <v>1.4249999999999998</v>
      </c>
      <c r="E725" s="12">
        <f t="shared" si="101"/>
        <v>11.017539043555555</v>
      </c>
      <c r="F725" s="12">
        <f t="shared" si="102"/>
        <v>11.017539043555555</v>
      </c>
      <c r="G725" s="12">
        <f t="shared" si="103"/>
        <v>14.426476515555553</v>
      </c>
      <c r="H725" s="12">
        <f t="shared" si="104"/>
        <v>14.426476515555553</v>
      </c>
      <c r="I725" s="1" t="str">
        <f t="shared" si="105"/>
        <v>No</v>
      </c>
      <c r="J725" s="1" t="str">
        <f t="shared" si="106"/>
        <v>Si</v>
      </c>
      <c r="K725" s="1" t="str">
        <f t="shared" si="107"/>
        <v/>
      </c>
    </row>
    <row r="726" spans="1:11" x14ac:dyDescent="0.3">
      <c r="A726" s="1">
        <v>13</v>
      </c>
      <c r="B726" s="1">
        <v>45</v>
      </c>
      <c r="C726" s="12">
        <f t="shared" si="99"/>
        <v>-0.9</v>
      </c>
      <c r="D726" s="12">
        <f t="shared" si="100"/>
        <v>1.5</v>
      </c>
      <c r="E726" s="12">
        <f t="shared" si="101"/>
        <v>11.01505095111111</v>
      </c>
      <c r="F726" s="12">
        <f t="shared" si="102"/>
        <v>11.01505095111111</v>
      </c>
      <c r="G726" s="12">
        <f t="shared" si="103"/>
        <v>14.422972159999999</v>
      </c>
      <c r="H726" s="12">
        <f t="shared" si="104"/>
        <v>14.422972159999999</v>
      </c>
      <c r="I726" s="1" t="str">
        <f t="shared" si="105"/>
        <v>No</v>
      </c>
      <c r="J726" s="1" t="str">
        <f t="shared" si="106"/>
        <v>Si</v>
      </c>
      <c r="K726" s="1" t="str">
        <f t="shared" si="107"/>
        <v/>
      </c>
    </row>
    <row r="727" spans="1:11" x14ac:dyDescent="0.3">
      <c r="A727" s="1">
        <v>13</v>
      </c>
      <c r="B727" s="1">
        <v>46</v>
      </c>
      <c r="C727" s="12">
        <f t="shared" si="99"/>
        <v>-0.9</v>
      </c>
      <c r="D727" s="12">
        <f t="shared" si="100"/>
        <v>1.5750000000000002</v>
      </c>
      <c r="E727" s="12">
        <f t="shared" si="101"/>
        <v>11.012562858666666</v>
      </c>
      <c r="F727" s="12">
        <f t="shared" si="102"/>
        <v>11.012562858666666</v>
      </c>
      <c r="G727" s="12">
        <f t="shared" si="103"/>
        <v>14.419467804444443</v>
      </c>
      <c r="H727" s="12">
        <f t="shared" si="104"/>
        <v>14.419467804444443</v>
      </c>
      <c r="I727" s="1" t="str">
        <f t="shared" si="105"/>
        <v>No</v>
      </c>
      <c r="J727" s="1" t="str">
        <f t="shared" si="106"/>
        <v>Si</v>
      </c>
      <c r="K727" s="1" t="str">
        <f t="shared" si="107"/>
        <v/>
      </c>
    </row>
    <row r="728" spans="1:11" x14ac:dyDescent="0.3">
      <c r="A728" s="1">
        <v>13</v>
      </c>
      <c r="B728" s="1">
        <v>47</v>
      </c>
      <c r="C728" s="12">
        <f t="shared" si="99"/>
        <v>-0.9</v>
      </c>
      <c r="D728" s="12">
        <f t="shared" si="100"/>
        <v>1.65</v>
      </c>
      <c r="E728" s="12">
        <f t="shared" si="101"/>
        <v>11.010074766222221</v>
      </c>
      <c r="F728" s="12">
        <f t="shared" si="102"/>
        <v>11.010074766222221</v>
      </c>
      <c r="G728" s="12">
        <f t="shared" si="103"/>
        <v>14.415963448888887</v>
      </c>
      <c r="H728" s="12">
        <f t="shared" si="104"/>
        <v>14.415963448888887</v>
      </c>
      <c r="I728" s="1" t="str">
        <f t="shared" si="105"/>
        <v>No</v>
      </c>
      <c r="J728" s="1" t="str">
        <f t="shared" si="106"/>
        <v>Si</v>
      </c>
      <c r="K728" s="1" t="str">
        <f t="shared" si="107"/>
        <v/>
      </c>
    </row>
    <row r="729" spans="1:11" x14ac:dyDescent="0.3">
      <c r="A729" s="1">
        <v>13</v>
      </c>
      <c r="B729" s="1">
        <v>48</v>
      </c>
      <c r="C729" s="12">
        <f t="shared" si="99"/>
        <v>-0.9</v>
      </c>
      <c r="D729" s="12">
        <f t="shared" si="100"/>
        <v>1.7250000000000001</v>
      </c>
      <c r="E729" s="12">
        <f t="shared" si="101"/>
        <v>11.007586673777777</v>
      </c>
      <c r="F729" s="12">
        <f t="shared" si="102"/>
        <v>11.007586673777777</v>
      </c>
      <c r="G729" s="12">
        <f t="shared" si="103"/>
        <v>14.412459093333332</v>
      </c>
      <c r="H729" s="12">
        <f t="shared" si="104"/>
        <v>14.412459093333332</v>
      </c>
      <c r="I729" s="1" t="str">
        <f t="shared" si="105"/>
        <v>No</v>
      </c>
      <c r="J729" s="1" t="str">
        <f t="shared" si="106"/>
        <v>Si</v>
      </c>
      <c r="K729" s="1" t="str">
        <f t="shared" si="107"/>
        <v/>
      </c>
    </row>
    <row r="730" spans="1:11" x14ac:dyDescent="0.3">
      <c r="A730" s="1">
        <v>13</v>
      </c>
      <c r="B730" s="1">
        <v>49</v>
      </c>
      <c r="C730" s="12">
        <f t="shared" si="99"/>
        <v>-0.9</v>
      </c>
      <c r="D730" s="12">
        <f t="shared" si="100"/>
        <v>1.7999999999999998</v>
      </c>
      <c r="E730" s="12">
        <f t="shared" si="101"/>
        <v>11.005098581333332</v>
      </c>
      <c r="F730" s="12">
        <f t="shared" si="102"/>
        <v>11.005098581333332</v>
      </c>
      <c r="G730" s="12">
        <f t="shared" si="103"/>
        <v>14.408954737777776</v>
      </c>
      <c r="H730" s="12">
        <f t="shared" si="104"/>
        <v>14.408954737777776</v>
      </c>
      <c r="I730" s="1" t="str">
        <f t="shared" si="105"/>
        <v>No</v>
      </c>
      <c r="J730" s="1" t="str">
        <f t="shared" si="106"/>
        <v>Si</v>
      </c>
      <c r="K730" s="1" t="str">
        <f t="shared" si="107"/>
        <v/>
      </c>
    </row>
    <row r="731" spans="1:11" x14ac:dyDescent="0.3">
      <c r="A731" s="1">
        <v>13</v>
      </c>
      <c r="B731" s="1">
        <v>50</v>
      </c>
      <c r="C731" s="12">
        <f t="shared" si="99"/>
        <v>-0.9</v>
      </c>
      <c r="D731" s="12">
        <f t="shared" si="100"/>
        <v>1.875</v>
      </c>
      <c r="E731" s="12">
        <f t="shared" si="101"/>
        <v>11.002610488888887</v>
      </c>
      <c r="F731" s="12">
        <f t="shared" si="102"/>
        <v>11.002610488888887</v>
      </c>
      <c r="G731" s="12">
        <f t="shared" si="103"/>
        <v>14.40545038222222</v>
      </c>
      <c r="H731" s="12">
        <f t="shared" si="104"/>
        <v>14.40545038222222</v>
      </c>
      <c r="I731" s="1" t="str">
        <f t="shared" si="105"/>
        <v>No</v>
      </c>
      <c r="J731" s="1" t="str">
        <f t="shared" si="106"/>
        <v>Si</v>
      </c>
      <c r="K731" s="1" t="str">
        <f t="shared" si="107"/>
        <v/>
      </c>
    </row>
    <row r="732" spans="1:11" x14ac:dyDescent="0.3">
      <c r="A732" s="1">
        <v>14</v>
      </c>
      <c r="B732" s="1">
        <v>0</v>
      </c>
      <c r="C732" s="12">
        <f t="shared" si="99"/>
        <v>-0.82499999999999996</v>
      </c>
      <c r="D732" s="12">
        <f t="shared" si="100"/>
        <v>-1.875</v>
      </c>
      <c r="E732" s="12">
        <f t="shared" si="101"/>
        <v>11.127709155555554</v>
      </c>
      <c r="F732" s="12">
        <f t="shared" si="102"/>
        <v>11.127709155555554</v>
      </c>
      <c r="G732" s="12">
        <f t="shared" si="103"/>
        <v>14.581705813333333</v>
      </c>
      <c r="H732" s="12">
        <f t="shared" si="104"/>
        <v>14.581705813333333</v>
      </c>
      <c r="I732" s="1" t="str">
        <f t="shared" si="105"/>
        <v>No</v>
      </c>
      <c r="J732" s="1" t="str">
        <f t="shared" si="106"/>
        <v>Si</v>
      </c>
      <c r="K732" s="1" t="str">
        <f t="shared" si="107"/>
        <v/>
      </c>
    </row>
    <row r="733" spans="1:11" x14ac:dyDescent="0.3">
      <c r="A733" s="1">
        <v>14</v>
      </c>
      <c r="B733" s="1">
        <v>1</v>
      </c>
      <c r="C733" s="12">
        <f t="shared" si="99"/>
        <v>-0.82499999999999996</v>
      </c>
      <c r="D733" s="12">
        <f t="shared" si="100"/>
        <v>-1.8</v>
      </c>
      <c r="E733" s="12">
        <f t="shared" si="101"/>
        <v>11.125221063111109</v>
      </c>
      <c r="F733" s="12">
        <f t="shared" si="102"/>
        <v>11.125221063111109</v>
      </c>
      <c r="G733" s="12">
        <f t="shared" si="103"/>
        <v>14.578201457777777</v>
      </c>
      <c r="H733" s="12">
        <f t="shared" si="104"/>
        <v>14.578201457777777</v>
      </c>
      <c r="I733" s="1" t="str">
        <f t="shared" si="105"/>
        <v>No</v>
      </c>
      <c r="J733" s="1" t="str">
        <f t="shared" si="106"/>
        <v>Si</v>
      </c>
      <c r="K733" s="1" t="str">
        <f t="shared" si="107"/>
        <v/>
      </c>
    </row>
    <row r="734" spans="1:11" x14ac:dyDescent="0.3">
      <c r="A734" s="1">
        <v>14</v>
      </c>
      <c r="B734" s="1">
        <v>2</v>
      </c>
      <c r="C734" s="12">
        <f t="shared" si="99"/>
        <v>-0.82499999999999996</v>
      </c>
      <c r="D734" s="12">
        <f t="shared" si="100"/>
        <v>-1.7250000000000001</v>
      </c>
      <c r="E734" s="12">
        <f t="shared" si="101"/>
        <v>11.122732970666664</v>
      </c>
      <c r="F734" s="12">
        <f t="shared" si="102"/>
        <v>11.122732970666664</v>
      </c>
      <c r="G734" s="12">
        <f t="shared" si="103"/>
        <v>14.57469710222222</v>
      </c>
      <c r="H734" s="12">
        <f t="shared" si="104"/>
        <v>14.57469710222222</v>
      </c>
      <c r="I734" s="1" t="str">
        <f t="shared" si="105"/>
        <v>No</v>
      </c>
      <c r="J734" s="1" t="str">
        <f t="shared" si="106"/>
        <v>Si</v>
      </c>
      <c r="K734" s="1" t="str">
        <f t="shared" si="107"/>
        <v/>
      </c>
    </row>
    <row r="735" spans="1:11" x14ac:dyDescent="0.3">
      <c r="A735" s="1">
        <v>14</v>
      </c>
      <c r="B735" s="1">
        <v>3</v>
      </c>
      <c r="C735" s="12">
        <f t="shared" si="99"/>
        <v>-0.82499999999999996</v>
      </c>
      <c r="D735" s="12">
        <f t="shared" si="100"/>
        <v>-1.65</v>
      </c>
      <c r="E735" s="12">
        <f t="shared" si="101"/>
        <v>11.12024487822222</v>
      </c>
      <c r="F735" s="12">
        <f t="shared" si="102"/>
        <v>11.12024487822222</v>
      </c>
      <c r="G735" s="12">
        <f t="shared" si="103"/>
        <v>14.571192746666666</v>
      </c>
      <c r="H735" s="12">
        <f t="shared" si="104"/>
        <v>14.571192746666666</v>
      </c>
      <c r="I735" s="1" t="str">
        <f t="shared" si="105"/>
        <v>No</v>
      </c>
      <c r="J735" s="1" t="str">
        <f t="shared" si="106"/>
        <v>Si</v>
      </c>
      <c r="K735" s="1" t="str">
        <f t="shared" si="107"/>
        <v/>
      </c>
    </row>
    <row r="736" spans="1:11" x14ac:dyDescent="0.3">
      <c r="A736" s="1">
        <v>14</v>
      </c>
      <c r="B736" s="1">
        <v>4</v>
      </c>
      <c r="C736" s="12">
        <f t="shared" si="99"/>
        <v>-0.82499999999999996</v>
      </c>
      <c r="D736" s="12">
        <f t="shared" si="100"/>
        <v>-1.575</v>
      </c>
      <c r="E736" s="12">
        <f t="shared" si="101"/>
        <v>11.117756785777775</v>
      </c>
      <c r="F736" s="12">
        <f t="shared" si="102"/>
        <v>11.117756785777775</v>
      </c>
      <c r="G736" s="12">
        <f t="shared" si="103"/>
        <v>14.56768839111111</v>
      </c>
      <c r="H736" s="12">
        <f t="shared" si="104"/>
        <v>14.56768839111111</v>
      </c>
      <c r="I736" s="1" t="str">
        <f t="shared" si="105"/>
        <v>No</v>
      </c>
      <c r="J736" s="1" t="str">
        <f t="shared" si="106"/>
        <v>Si</v>
      </c>
      <c r="K736" s="1" t="str">
        <f t="shared" si="107"/>
        <v/>
      </c>
    </row>
    <row r="737" spans="1:11" x14ac:dyDescent="0.3">
      <c r="A737" s="1">
        <v>14</v>
      </c>
      <c r="B737" s="1">
        <v>5</v>
      </c>
      <c r="C737" s="12">
        <f t="shared" si="99"/>
        <v>-0.82499999999999996</v>
      </c>
      <c r="D737" s="12">
        <f t="shared" si="100"/>
        <v>-1.5</v>
      </c>
      <c r="E737" s="12">
        <f t="shared" si="101"/>
        <v>11.115268693333331</v>
      </c>
      <c r="F737" s="12">
        <f t="shared" si="102"/>
        <v>11.115268693333331</v>
      </c>
      <c r="G737" s="12">
        <f t="shared" si="103"/>
        <v>14.564184035555554</v>
      </c>
      <c r="H737" s="12">
        <f t="shared" si="104"/>
        <v>14.564184035555554</v>
      </c>
      <c r="I737" s="1" t="str">
        <f t="shared" si="105"/>
        <v>No</v>
      </c>
      <c r="J737" s="1" t="str">
        <f t="shared" si="106"/>
        <v>Si</v>
      </c>
      <c r="K737" s="1" t="str">
        <f t="shared" si="107"/>
        <v/>
      </c>
    </row>
    <row r="738" spans="1:11" x14ac:dyDescent="0.3">
      <c r="A738" s="1">
        <v>14</v>
      </c>
      <c r="B738" s="1">
        <v>6</v>
      </c>
      <c r="C738" s="12">
        <f t="shared" si="99"/>
        <v>-0.82499999999999996</v>
      </c>
      <c r="D738" s="12">
        <f t="shared" si="100"/>
        <v>-1.425</v>
      </c>
      <c r="E738" s="12">
        <f t="shared" si="101"/>
        <v>11.112780600888886</v>
      </c>
      <c r="F738" s="12">
        <f t="shared" si="102"/>
        <v>11.112780600888886</v>
      </c>
      <c r="G738" s="12">
        <f t="shared" si="103"/>
        <v>14.56067968</v>
      </c>
      <c r="H738" s="12">
        <f t="shared" si="104"/>
        <v>14.56067968</v>
      </c>
      <c r="I738" s="1" t="str">
        <f t="shared" si="105"/>
        <v>No</v>
      </c>
      <c r="J738" s="1" t="str">
        <f t="shared" si="106"/>
        <v>Si</v>
      </c>
      <c r="K738" s="1" t="str">
        <f t="shared" si="107"/>
        <v/>
      </c>
    </row>
    <row r="739" spans="1:11" x14ac:dyDescent="0.3">
      <c r="A739" s="1">
        <v>14</v>
      </c>
      <c r="B739" s="1">
        <v>7</v>
      </c>
      <c r="C739" s="12">
        <f t="shared" si="99"/>
        <v>-0.82499999999999996</v>
      </c>
      <c r="D739" s="12">
        <f t="shared" si="100"/>
        <v>-1.35</v>
      </c>
      <c r="E739" s="12">
        <f t="shared" si="101"/>
        <v>11.110292508444443</v>
      </c>
      <c r="F739" s="12">
        <f t="shared" si="102"/>
        <v>11.110292508444443</v>
      </c>
      <c r="G739" s="12">
        <f t="shared" si="103"/>
        <v>14.557175324444444</v>
      </c>
      <c r="H739" s="12">
        <f t="shared" si="104"/>
        <v>14.557175324444444</v>
      </c>
      <c r="I739" s="1" t="str">
        <f t="shared" si="105"/>
        <v>No</v>
      </c>
      <c r="J739" s="1" t="str">
        <f t="shared" si="106"/>
        <v>Si</v>
      </c>
      <c r="K739" s="1" t="str">
        <f t="shared" si="107"/>
        <v/>
      </c>
    </row>
    <row r="740" spans="1:11" x14ac:dyDescent="0.3">
      <c r="A740" s="1">
        <v>14</v>
      </c>
      <c r="B740" s="1">
        <v>8</v>
      </c>
      <c r="C740" s="12">
        <f t="shared" si="99"/>
        <v>-0.82499999999999996</v>
      </c>
      <c r="D740" s="12">
        <f t="shared" si="100"/>
        <v>-1.2749999999999999</v>
      </c>
      <c r="E740" s="12">
        <f t="shared" si="101"/>
        <v>11.107804415999999</v>
      </c>
      <c r="F740" s="12">
        <f t="shared" si="102"/>
        <v>11.107804415999999</v>
      </c>
      <c r="G740" s="12">
        <f t="shared" si="103"/>
        <v>14.553670968888888</v>
      </c>
      <c r="H740" s="12">
        <f t="shared" si="104"/>
        <v>14.553670968888888</v>
      </c>
      <c r="I740" s="1" t="str">
        <f t="shared" si="105"/>
        <v>No</v>
      </c>
      <c r="J740" s="1" t="str">
        <f t="shared" si="106"/>
        <v>Si</v>
      </c>
      <c r="K740" s="1" t="str">
        <f t="shared" si="107"/>
        <v/>
      </c>
    </row>
    <row r="741" spans="1:11" x14ac:dyDescent="0.3">
      <c r="A741" s="1">
        <v>14</v>
      </c>
      <c r="B741" s="1">
        <v>9</v>
      </c>
      <c r="C741" s="12">
        <f t="shared" si="99"/>
        <v>-0.82499999999999996</v>
      </c>
      <c r="D741" s="12">
        <f t="shared" si="100"/>
        <v>-1.2</v>
      </c>
      <c r="E741" s="12">
        <f t="shared" si="101"/>
        <v>11.105316323555554</v>
      </c>
      <c r="F741" s="12">
        <f t="shared" si="102"/>
        <v>11.105316323555554</v>
      </c>
      <c r="G741" s="12">
        <f t="shared" si="103"/>
        <v>14.550166613333332</v>
      </c>
      <c r="H741" s="12">
        <f t="shared" si="104"/>
        <v>14.550166613333332</v>
      </c>
      <c r="I741" s="1" t="str">
        <f t="shared" si="105"/>
        <v>No</v>
      </c>
      <c r="J741" s="1" t="str">
        <f t="shared" si="106"/>
        <v>Si</v>
      </c>
      <c r="K741" s="1" t="str">
        <f t="shared" si="107"/>
        <v/>
      </c>
    </row>
    <row r="742" spans="1:11" x14ac:dyDescent="0.3">
      <c r="A742" s="1">
        <v>14</v>
      </c>
      <c r="B742" s="1">
        <v>10</v>
      </c>
      <c r="C742" s="12">
        <f t="shared" si="99"/>
        <v>-0.82499999999999996</v>
      </c>
      <c r="D742" s="12">
        <f t="shared" si="100"/>
        <v>-1.125</v>
      </c>
      <c r="E742" s="12">
        <f t="shared" si="101"/>
        <v>11.10282823111111</v>
      </c>
      <c r="F742" s="12">
        <f t="shared" si="102"/>
        <v>11.10282823111111</v>
      </c>
      <c r="G742" s="12">
        <f t="shared" si="103"/>
        <v>14.546662257777777</v>
      </c>
      <c r="H742" s="12">
        <f t="shared" si="104"/>
        <v>14.546662257777777</v>
      </c>
      <c r="I742" s="1" t="str">
        <f t="shared" si="105"/>
        <v>No</v>
      </c>
      <c r="J742" s="1" t="str">
        <f t="shared" si="106"/>
        <v>Si</v>
      </c>
      <c r="K742" s="1" t="str">
        <f t="shared" si="107"/>
        <v/>
      </c>
    </row>
    <row r="743" spans="1:11" x14ac:dyDescent="0.3">
      <c r="A743" s="1">
        <v>14</v>
      </c>
      <c r="B743" s="1">
        <v>11</v>
      </c>
      <c r="C743" s="12">
        <f t="shared" si="99"/>
        <v>-0.82499999999999996</v>
      </c>
      <c r="D743" s="12">
        <f t="shared" si="100"/>
        <v>-1.05</v>
      </c>
      <c r="E743" s="12">
        <f t="shared" si="101"/>
        <v>11.100340138666665</v>
      </c>
      <c r="F743" s="12">
        <f t="shared" si="102"/>
        <v>11.100340138666665</v>
      </c>
      <c r="G743" s="12">
        <f t="shared" si="103"/>
        <v>14.543157902222221</v>
      </c>
      <c r="H743" s="12">
        <f t="shared" si="104"/>
        <v>14.543157902222221</v>
      </c>
      <c r="I743" s="1" t="str">
        <f t="shared" si="105"/>
        <v>No</v>
      </c>
      <c r="J743" s="1" t="str">
        <f t="shared" si="106"/>
        <v>Si</v>
      </c>
      <c r="K743" s="1" t="str">
        <f t="shared" si="107"/>
        <v/>
      </c>
    </row>
    <row r="744" spans="1:11" x14ac:dyDescent="0.3">
      <c r="A744" s="1">
        <v>14</v>
      </c>
      <c r="B744" s="1">
        <v>12</v>
      </c>
      <c r="C744" s="12">
        <f t="shared" si="99"/>
        <v>-0.82499999999999996</v>
      </c>
      <c r="D744" s="12">
        <f t="shared" si="100"/>
        <v>-0.97499999999999998</v>
      </c>
      <c r="E744" s="12">
        <f t="shared" si="101"/>
        <v>11.09785204622222</v>
      </c>
      <c r="F744" s="12">
        <f t="shared" si="102"/>
        <v>11.09785204622222</v>
      </c>
      <c r="G744" s="12">
        <f t="shared" si="103"/>
        <v>14.539653546666665</v>
      </c>
      <c r="H744" s="12">
        <f t="shared" si="104"/>
        <v>14.539653546666665</v>
      </c>
      <c r="I744" s="1" t="str">
        <f t="shared" si="105"/>
        <v>No</v>
      </c>
      <c r="J744" s="1" t="str">
        <f t="shared" si="106"/>
        <v>Si</v>
      </c>
      <c r="K744" s="1" t="str">
        <f t="shared" si="107"/>
        <v/>
      </c>
    </row>
    <row r="745" spans="1:11" x14ac:dyDescent="0.3">
      <c r="A745" s="1">
        <v>14</v>
      </c>
      <c r="B745" s="1">
        <v>13</v>
      </c>
      <c r="C745" s="12">
        <f t="shared" si="99"/>
        <v>-0.82499999999999996</v>
      </c>
      <c r="D745" s="12">
        <f t="shared" si="100"/>
        <v>-0.9</v>
      </c>
      <c r="E745" s="12">
        <f t="shared" si="101"/>
        <v>11.095363953777776</v>
      </c>
      <c r="F745" s="12">
        <f t="shared" si="102"/>
        <v>11.095363953777776</v>
      </c>
      <c r="G745" s="12">
        <f t="shared" si="103"/>
        <v>14.536149191111111</v>
      </c>
      <c r="H745" s="12">
        <f t="shared" si="104"/>
        <v>14.536149191111111</v>
      </c>
      <c r="I745" s="1" t="str">
        <f t="shared" si="105"/>
        <v>No</v>
      </c>
      <c r="J745" s="1" t="str">
        <f t="shared" si="106"/>
        <v>Si</v>
      </c>
      <c r="K745" s="1" t="str">
        <f t="shared" si="107"/>
        <v/>
      </c>
    </row>
    <row r="746" spans="1:11" x14ac:dyDescent="0.3">
      <c r="A746" s="1">
        <v>14</v>
      </c>
      <c r="B746" s="1">
        <v>14</v>
      </c>
      <c r="C746" s="12">
        <f t="shared" si="99"/>
        <v>-0.82499999999999996</v>
      </c>
      <c r="D746" s="12">
        <f t="shared" si="100"/>
        <v>-0.82499999999999996</v>
      </c>
      <c r="E746" s="12">
        <f t="shared" si="101"/>
        <v>11.092875861333331</v>
      </c>
      <c r="F746" s="12">
        <f t="shared" si="102"/>
        <v>11.092875861333331</v>
      </c>
      <c r="G746" s="12">
        <f t="shared" si="103"/>
        <v>14.532644835555555</v>
      </c>
      <c r="H746" s="12">
        <f t="shared" si="104"/>
        <v>14.532644835555555</v>
      </c>
      <c r="I746" s="1" t="str">
        <f t="shared" si="105"/>
        <v>No</v>
      </c>
      <c r="J746" s="1" t="str">
        <f t="shared" si="106"/>
        <v>Si</v>
      </c>
      <c r="K746" s="1" t="str">
        <f t="shared" si="107"/>
        <v/>
      </c>
    </row>
    <row r="747" spans="1:11" x14ac:dyDescent="0.3">
      <c r="A747" s="1">
        <v>14</v>
      </c>
      <c r="B747" s="1">
        <v>15</v>
      </c>
      <c r="C747" s="12">
        <f t="shared" si="99"/>
        <v>-0.82499999999999996</v>
      </c>
      <c r="D747" s="12">
        <f t="shared" si="100"/>
        <v>-0.75</v>
      </c>
      <c r="E747" s="12">
        <f t="shared" si="101"/>
        <v>11.090387768888887</v>
      </c>
      <c r="F747" s="12">
        <f t="shared" si="102"/>
        <v>11.090387768888887</v>
      </c>
      <c r="G747" s="12">
        <f t="shared" si="103"/>
        <v>14.529140479999999</v>
      </c>
      <c r="H747" s="12">
        <f t="shared" si="104"/>
        <v>14.529140479999999</v>
      </c>
      <c r="I747" s="1" t="str">
        <f t="shared" si="105"/>
        <v>No</v>
      </c>
      <c r="J747" s="1" t="str">
        <f t="shared" si="106"/>
        <v>Si</v>
      </c>
      <c r="K747" s="1" t="str">
        <f t="shared" si="107"/>
        <v/>
      </c>
    </row>
    <row r="748" spans="1:11" x14ac:dyDescent="0.3">
      <c r="A748" s="1">
        <v>14</v>
      </c>
      <c r="B748" s="1">
        <v>16</v>
      </c>
      <c r="C748" s="12">
        <f t="shared" si="99"/>
        <v>-0.82499999999999996</v>
      </c>
      <c r="D748" s="12">
        <f t="shared" si="100"/>
        <v>-0.67500000000000004</v>
      </c>
      <c r="E748" s="12">
        <f t="shared" si="101"/>
        <v>11.087899676444442</v>
      </c>
      <c r="F748" s="12">
        <f t="shared" si="102"/>
        <v>11.087899676444442</v>
      </c>
      <c r="G748" s="12">
        <f t="shared" si="103"/>
        <v>14.525636124444443</v>
      </c>
      <c r="H748" s="12">
        <f t="shared" si="104"/>
        <v>14.525636124444443</v>
      </c>
      <c r="I748" s="1" t="str">
        <f t="shared" si="105"/>
        <v>No</v>
      </c>
      <c r="J748" s="1" t="str">
        <f t="shared" si="106"/>
        <v>Si</v>
      </c>
      <c r="K748" s="1" t="str">
        <f t="shared" si="107"/>
        <v/>
      </c>
    </row>
    <row r="749" spans="1:11" x14ac:dyDescent="0.3">
      <c r="A749" s="1">
        <v>14</v>
      </c>
      <c r="B749" s="1">
        <v>17</v>
      </c>
      <c r="C749" s="12">
        <f t="shared" si="99"/>
        <v>-0.82499999999999996</v>
      </c>
      <c r="D749" s="12">
        <f t="shared" si="100"/>
        <v>-0.60000000000000009</v>
      </c>
      <c r="E749" s="12">
        <f t="shared" si="101"/>
        <v>11.085411583999997</v>
      </c>
      <c r="F749" s="12">
        <f t="shared" si="102"/>
        <v>11.085411583999997</v>
      </c>
      <c r="G749" s="12">
        <f t="shared" si="103"/>
        <v>14.522131768888888</v>
      </c>
      <c r="H749" s="12">
        <f t="shared" si="104"/>
        <v>14.522131768888888</v>
      </c>
      <c r="I749" s="1" t="str">
        <f t="shared" si="105"/>
        <v>No</v>
      </c>
      <c r="J749" s="1" t="str">
        <f t="shared" si="106"/>
        <v>Si</v>
      </c>
      <c r="K749" s="1" t="str">
        <f t="shared" si="107"/>
        <v/>
      </c>
    </row>
    <row r="750" spans="1:11" x14ac:dyDescent="0.3">
      <c r="A750" s="1">
        <v>14</v>
      </c>
      <c r="B750" s="1">
        <v>18</v>
      </c>
      <c r="C750" s="12">
        <f t="shared" si="99"/>
        <v>-0.82499999999999996</v>
      </c>
      <c r="D750" s="12">
        <f t="shared" si="100"/>
        <v>-0.52499999999999991</v>
      </c>
      <c r="E750" s="12">
        <f t="shared" si="101"/>
        <v>11.082923491555553</v>
      </c>
      <c r="F750" s="12">
        <f t="shared" si="102"/>
        <v>11.082923491555553</v>
      </c>
      <c r="G750" s="12">
        <f t="shared" si="103"/>
        <v>14.518627413333332</v>
      </c>
      <c r="H750" s="12">
        <f t="shared" si="104"/>
        <v>14.518627413333332</v>
      </c>
      <c r="I750" s="1" t="str">
        <f t="shared" si="105"/>
        <v>No</v>
      </c>
      <c r="J750" s="1" t="str">
        <f t="shared" si="106"/>
        <v>Si</v>
      </c>
      <c r="K750" s="1" t="str">
        <f t="shared" si="107"/>
        <v/>
      </c>
    </row>
    <row r="751" spans="1:11" x14ac:dyDescent="0.3">
      <c r="A751" s="1">
        <v>14</v>
      </c>
      <c r="B751" s="1">
        <v>19</v>
      </c>
      <c r="C751" s="12">
        <f t="shared" si="99"/>
        <v>-0.82499999999999996</v>
      </c>
      <c r="D751" s="12">
        <f t="shared" si="100"/>
        <v>-0.44999999999999996</v>
      </c>
      <c r="E751" s="12">
        <f t="shared" si="101"/>
        <v>11.08043539911111</v>
      </c>
      <c r="F751" s="12">
        <f t="shared" si="102"/>
        <v>11.08043539911111</v>
      </c>
      <c r="G751" s="12">
        <f t="shared" si="103"/>
        <v>14.515123057777776</v>
      </c>
      <c r="H751" s="12">
        <f t="shared" si="104"/>
        <v>14.515123057777776</v>
      </c>
      <c r="I751" s="1" t="str">
        <f t="shared" si="105"/>
        <v>No</v>
      </c>
      <c r="J751" s="1" t="str">
        <f t="shared" si="106"/>
        <v>Si</v>
      </c>
      <c r="K751" s="1" t="str">
        <f t="shared" si="107"/>
        <v/>
      </c>
    </row>
    <row r="752" spans="1:11" x14ac:dyDescent="0.3">
      <c r="A752" s="1">
        <v>14</v>
      </c>
      <c r="B752" s="1">
        <v>20</v>
      </c>
      <c r="C752" s="12">
        <f t="shared" si="99"/>
        <v>-0.82499999999999996</v>
      </c>
      <c r="D752" s="12">
        <f t="shared" si="100"/>
        <v>-0.375</v>
      </c>
      <c r="E752" s="12">
        <f t="shared" si="101"/>
        <v>11.077947306666665</v>
      </c>
      <c r="F752" s="12">
        <f t="shared" si="102"/>
        <v>11.077947306666665</v>
      </c>
      <c r="G752" s="12">
        <f t="shared" si="103"/>
        <v>14.511618702222222</v>
      </c>
      <c r="H752" s="12">
        <f t="shared" si="104"/>
        <v>14.511618702222222</v>
      </c>
      <c r="I752" s="1" t="str">
        <f t="shared" si="105"/>
        <v>No</v>
      </c>
      <c r="J752" s="1" t="str">
        <f t="shared" si="106"/>
        <v>Si</v>
      </c>
      <c r="K752" s="1" t="str">
        <f t="shared" si="107"/>
        <v/>
      </c>
    </row>
    <row r="753" spans="1:11" x14ac:dyDescent="0.3">
      <c r="A753" s="1">
        <v>14</v>
      </c>
      <c r="B753" s="1">
        <v>21</v>
      </c>
      <c r="C753" s="12">
        <f t="shared" si="99"/>
        <v>-0.82499999999999996</v>
      </c>
      <c r="D753" s="12">
        <f t="shared" si="100"/>
        <v>-0.30000000000000004</v>
      </c>
      <c r="E753" s="12">
        <f t="shared" si="101"/>
        <v>11.075459214222221</v>
      </c>
      <c r="F753" s="12">
        <f t="shared" si="102"/>
        <v>11.075459214222221</v>
      </c>
      <c r="G753" s="12">
        <f t="shared" si="103"/>
        <v>14.508114346666666</v>
      </c>
      <c r="H753" s="12">
        <f t="shared" si="104"/>
        <v>14.508114346666666</v>
      </c>
      <c r="I753" s="1" t="str">
        <f t="shared" si="105"/>
        <v>No</v>
      </c>
      <c r="J753" s="1" t="str">
        <f t="shared" si="106"/>
        <v>Si</v>
      </c>
      <c r="K753" s="1" t="str">
        <f t="shared" si="107"/>
        <v/>
      </c>
    </row>
    <row r="754" spans="1:11" x14ac:dyDescent="0.3">
      <c r="A754" s="1">
        <v>14</v>
      </c>
      <c r="B754" s="1">
        <v>22</v>
      </c>
      <c r="C754" s="12">
        <f t="shared" si="99"/>
        <v>-0.82499999999999996</v>
      </c>
      <c r="D754" s="12">
        <f t="shared" si="100"/>
        <v>-0.22500000000000009</v>
      </c>
      <c r="E754" s="12">
        <f t="shared" si="101"/>
        <v>11.072971121777776</v>
      </c>
      <c r="F754" s="12">
        <f t="shared" si="102"/>
        <v>11.072971121777776</v>
      </c>
      <c r="G754" s="12">
        <f t="shared" si="103"/>
        <v>14.50460999111111</v>
      </c>
      <c r="H754" s="12">
        <f t="shared" si="104"/>
        <v>14.50460999111111</v>
      </c>
      <c r="I754" s="1" t="str">
        <f t="shared" si="105"/>
        <v>No</v>
      </c>
      <c r="J754" s="1" t="str">
        <f t="shared" si="106"/>
        <v>Si</v>
      </c>
      <c r="K754" s="1" t="str">
        <f t="shared" si="107"/>
        <v/>
      </c>
    </row>
    <row r="755" spans="1:11" x14ac:dyDescent="0.3">
      <c r="A755" s="1">
        <v>14</v>
      </c>
      <c r="B755" s="1">
        <v>23</v>
      </c>
      <c r="C755" s="12">
        <f t="shared" si="99"/>
        <v>-0.82499999999999996</v>
      </c>
      <c r="D755" s="12">
        <f t="shared" si="100"/>
        <v>-0.14999999999999991</v>
      </c>
      <c r="E755" s="12">
        <f t="shared" si="101"/>
        <v>11.070483029333332</v>
      </c>
      <c r="F755" s="12">
        <f t="shared" si="102"/>
        <v>11.070483029333332</v>
      </c>
      <c r="G755" s="12">
        <f t="shared" si="103"/>
        <v>14.501105635555554</v>
      </c>
      <c r="H755" s="12">
        <f t="shared" si="104"/>
        <v>14.501105635555554</v>
      </c>
      <c r="I755" s="1" t="str">
        <f t="shared" si="105"/>
        <v>No</v>
      </c>
      <c r="J755" s="1" t="str">
        <f t="shared" si="106"/>
        <v>Si</v>
      </c>
      <c r="K755" s="1" t="str">
        <f t="shared" si="107"/>
        <v/>
      </c>
    </row>
    <row r="756" spans="1:11" x14ac:dyDescent="0.3">
      <c r="A756" s="1">
        <v>14</v>
      </c>
      <c r="B756" s="1">
        <v>24</v>
      </c>
      <c r="C756" s="12">
        <f t="shared" si="99"/>
        <v>-0.82499999999999996</v>
      </c>
      <c r="D756" s="12">
        <f t="shared" si="100"/>
        <v>-7.4999999999999956E-2</v>
      </c>
      <c r="E756" s="12">
        <f t="shared" si="101"/>
        <v>11.067994936888887</v>
      </c>
      <c r="F756" s="12">
        <f t="shared" si="102"/>
        <v>11.067994936888887</v>
      </c>
      <c r="G756" s="12">
        <f t="shared" si="103"/>
        <v>14.49760128</v>
      </c>
      <c r="H756" s="12">
        <f t="shared" si="104"/>
        <v>14.49760128</v>
      </c>
      <c r="I756" s="1" t="str">
        <f t="shared" si="105"/>
        <v>No</v>
      </c>
      <c r="J756" s="1" t="str">
        <f t="shared" si="106"/>
        <v>Si</v>
      </c>
      <c r="K756" s="1" t="str">
        <f t="shared" si="107"/>
        <v/>
      </c>
    </row>
    <row r="757" spans="1:11" x14ac:dyDescent="0.3">
      <c r="A757" s="1">
        <v>14</v>
      </c>
      <c r="B757" s="1">
        <v>25</v>
      </c>
      <c r="C757" s="12">
        <f t="shared" si="99"/>
        <v>-0.82499999999999996</v>
      </c>
      <c r="D757" s="12">
        <f t="shared" si="100"/>
        <v>0</v>
      </c>
      <c r="E757" s="12">
        <f t="shared" si="101"/>
        <v>11.065506844444442</v>
      </c>
      <c r="F757" s="12">
        <f t="shared" si="102"/>
        <v>11.065506844444442</v>
      </c>
      <c r="G757" s="12">
        <f t="shared" si="103"/>
        <v>14.494096924444444</v>
      </c>
      <c r="H757" s="12">
        <f t="shared" si="104"/>
        <v>14.494096924444444</v>
      </c>
      <c r="I757" s="1" t="str">
        <f t="shared" si="105"/>
        <v>No</v>
      </c>
      <c r="J757" s="1" t="str">
        <f t="shared" si="106"/>
        <v>Si</v>
      </c>
      <c r="K757" s="1" t="str">
        <f t="shared" si="107"/>
        <v/>
      </c>
    </row>
    <row r="758" spans="1:11" x14ac:dyDescent="0.3">
      <c r="A758" s="1">
        <v>14</v>
      </c>
      <c r="B758" s="1">
        <v>26</v>
      </c>
      <c r="C758" s="12">
        <f t="shared" si="99"/>
        <v>-0.82499999999999996</v>
      </c>
      <c r="D758" s="12">
        <f t="shared" si="100"/>
        <v>7.4999999999999956E-2</v>
      </c>
      <c r="E758" s="12">
        <f t="shared" si="101"/>
        <v>11.063018751999998</v>
      </c>
      <c r="F758" s="12">
        <f t="shared" si="102"/>
        <v>11.063018751999998</v>
      </c>
      <c r="G758" s="12">
        <f t="shared" si="103"/>
        <v>14.490592568888887</v>
      </c>
      <c r="H758" s="12">
        <f t="shared" si="104"/>
        <v>14.490592568888887</v>
      </c>
      <c r="I758" s="1" t="str">
        <f t="shared" si="105"/>
        <v>No</v>
      </c>
      <c r="J758" s="1" t="str">
        <f t="shared" si="106"/>
        <v>Si</v>
      </c>
      <c r="K758" s="1" t="str">
        <f t="shared" si="107"/>
        <v/>
      </c>
    </row>
    <row r="759" spans="1:11" x14ac:dyDescent="0.3">
      <c r="A759" s="1">
        <v>14</v>
      </c>
      <c r="B759" s="1">
        <v>27</v>
      </c>
      <c r="C759" s="12">
        <f t="shared" si="99"/>
        <v>-0.82499999999999996</v>
      </c>
      <c r="D759" s="12">
        <f t="shared" si="100"/>
        <v>0.14999999999999991</v>
      </c>
      <c r="E759" s="12">
        <f t="shared" si="101"/>
        <v>11.060530659555553</v>
      </c>
      <c r="F759" s="12">
        <f t="shared" si="102"/>
        <v>11.060530659555553</v>
      </c>
      <c r="G759" s="12">
        <f t="shared" si="103"/>
        <v>14.487088213333333</v>
      </c>
      <c r="H759" s="12">
        <f t="shared" si="104"/>
        <v>14.487088213333333</v>
      </c>
      <c r="I759" s="1" t="str">
        <f t="shared" si="105"/>
        <v>No</v>
      </c>
      <c r="J759" s="1" t="str">
        <f t="shared" si="106"/>
        <v>Si</v>
      </c>
      <c r="K759" s="1" t="str">
        <f t="shared" si="107"/>
        <v/>
      </c>
    </row>
    <row r="760" spans="1:11" x14ac:dyDescent="0.3">
      <c r="A760" s="1">
        <v>14</v>
      </c>
      <c r="B760" s="1">
        <v>28</v>
      </c>
      <c r="C760" s="12">
        <f t="shared" si="99"/>
        <v>-0.82499999999999996</v>
      </c>
      <c r="D760" s="12">
        <f t="shared" si="100"/>
        <v>0.22500000000000009</v>
      </c>
      <c r="E760" s="12">
        <f t="shared" si="101"/>
        <v>11.058042567111109</v>
      </c>
      <c r="F760" s="12">
        <f t="shared" si="102"/>
        <v>11.058042567111109</v>
      </c>
      <c r="G760" s="12">
        <f t="shared" si="103"/>
        <v>14.483583857777777</v>
      </c>
      <c r="H760" s="12">
        <f t="shared" si="104"/>
        <v>14.483583857777777</v>
      </c>
      <c r="I760" s="1" t="str">
        <f t="shared" si="105"/>
        <v>No</v>
      </c>
      <c r="J760" s="1" t="str">
        <f t="shared" si="106"/>
        <v>Si</v>
      </c>
      <c r="K760" s="1" t="str">
        <f t="shared" si="107"/>
        <v/>
      </c>
    </row>
    <row r="761" spans="1:11" x14ac:dyDescent="0.3">
      <c r="A761" s="1">
        <v>14</v>
      </c>
      <c r="B761" s="1">
        <v>29</v>
      </c>
      <c r="C761" s="12">
        <f t="shared" si="99"/>
        <v>-0.82499999999999996</v>
      </c>
      <c r="D761" s="12">
        <f t="shared" si="100"/>
        <v>0.29999999999999982</v>
      </c>
      <c r="E761" s="12">
        <f t="shared" si="101"/>
        <v>11.055554474666664</v>
      </c>
      <c r="F761" s="12">
        <f t="shared" si="102"/>
        <v>11.055554474666664</v>
      </c>
      <c r="G761" s="12">
        <f t="shared" si="103"/>
        <v>14.480079502222221</v>
      </c>
      <c r="H761" s="12">
        <f t="shared" si="104"/>
        <v>14.480079502222221</v>
      </c>
      <c r="I761" s="1" t="str">
        <f t="shared" si="105"/>
        <v>No</v>
      </c>
      <c r="J761" s="1" t="str">
        <f t="shared" si="106"/>
        <v>Si</v>
      </c>
      <c r="K761" s="1" t="str">
        <f t="shared" si="107"/>
        <v/>
      </c>
    </row>
    <row r="762" spans="1:11" x14ac:dyDescent="0.3">
      <c r="A762" s="1">
        <v>14</v>
      </c>
      <c r="B762" s="1">
        <v>30</v>
      </c>
      <c r="C762" s="12">
        <f t="shared" si="99"/>
        <v>-0.82499999999999996</v>
      </c>
      <c r="D762" s="12">
        <f t="shared" si="100"/>
        <v>0.375</v>
      </c>
      <c r="E762" s="12">
        <f t="shared" si="101"/>
        <v>11.053066382222219</v>
      </c>
      <c r="F762" s="12">
        <f t="shared" si="102"/>
        <v>11.053066382222219</v>
      </c>
      <c r="G762" s="12">
        <f t="shared" si="103"/>
        <v>14.476575146666665</v>
      </c>
      <c r="H762" s="12">
        <f t="shared" si="104"/>
        <v>14.476575146666665</v>
      </c>
      <c r="I762" s="1" t="str">
        <f t="shared" si="105"/>
        <v>No</v>
      </c>
      <c r="J762" s="1" t="str">
        <f t="shared" si="106"/>
        <v>Si</v>
      </c>
      <c r="K762" s="1" t="str">
        <f t="shared" si="107"/>
        <v/>
      </c>
    </row>
    <row r="763" spans="1:11" x14ac:dyDescent="0.3">
      <c r="A763" s="1">
        <v>14</v>
      </c>
      <c r="B763" s="1">
        <v>31</v>
      </c>
      <c r="C763" s="12">
        <f t="shared" si="99"/>
        <v>-0.82499999999999996</v>
      </c>
      <c r="D763" s="12">
        <f t="shared" si="100"/>
        <v>0.45000000000000018</v>
      </c>
      <c r="E763" s="12">
        <f t="shared" si="101"/>
        <v>11.050578289777775</v>
      </c>
      <c r="F763" s="12">
        <f t="shared" si="102"/>
        <v>11.050578289777775</v>
      </c>
      <c r="G763" s="12">
        <f t="shared" si="103"/>
        <v>14.473070791111111</v>
      </c>
      <c r="H763" s="12">
        <f t="shared" si="104"/>
        <v>14.473070791111111</v>
      </c>
      <c r="I763" s="1" t="str">
        <f t="shared" si="105"/>
        <v>No</v>
      </c>
      <c r="J763" s="1" t="str">
        <f t="shared" si="106"/>
        <v>Si</v>
      </c>
      <c r="K763" s="1" t="str">
        <f t="shared" si="107"/>
        <v/>
      </c>
    </row>
    <row r="764" spans="1:11" x14ac:dyDescent="0.3">
      <c r="A764" s="1">
        <v>14</v>
      </c>
      <c r="B764" s="1">
        <v>32</v>
      </c>
      <c r="C764" s="12">
        <f t="shared" si="99"/>
        <v>-0.82499999999999996</v>
      </c>
      <c r="D764" s="12">
        <f t="shared" si="100"/>
        <v>0.52499999999999991</v>
      </c>
      <c r="E764" s="12">
        <f t="shared" si="101"/>
        <v>11.048090197333332</v>
      </c>
      <c r="F764" s="12">
        <f t="shared" si="102"/>
        <v>11.048090197333332</v>
      </c>
      <c r="G764" s="12">
        <f t="shared" si="103"/>
        <v>14.469566435555555</v>
      </c>
      <c r="H764" s="12">
        <f t="shared" si="104"/>
        <v>14.469566435555555</v>
      </c>
      <c r="I764" s="1" t="str">
        <f t="shared" si="105"/>
        <v>No</v>
      </c>
      <c r="J764" s="1" t="str">
        <f t="shared" si="106"/>
        <v>Si</v>
      </c>
      <c r="K764" s="1" t="str">
        <f t="shared" si="107"/>
        <v/>
      </c>
    </row>
    <row r="765" spans="1:11" x14ac:dyDescent="0.3">
      <c r="A765" s="1">
        <v>14</v>
      </c>
      <c r="B765" s="1">
        <v>33</v>
      </c>
      <c r="C765" s="12">
        <f t="shared" si="99"/>
        <v>-0.82499999999999996</v>
      </c>
      <c r="D765" s="12">
        <f t="shared" si="100"/>
        <v>0.60000000000000009</v>
      </c>
      <c r="E765" s="12">
        <f t="shared" si="101"/>
        <v>11.045602104888887</v>
      </c>
      <c r="F765" s="12">
        <f t="shared" si="102"/>
        <v>11.045602104888887</v>
      </c>
      <c r="G765" s="12">
        <f t="shared" si="103"/>
        <v>14.466062079999999</v>
      </c>
      <c r="H765" s="12">
        <f t="shared" si="104"/>
        <v>14.466062079999999</v>
      </c>
      <c r="I765" s="1" t="str">
        <f t="shared" si="105"/>
        <v>No</v>
      </c>
      <c r="J765" s="1" t="str">
        <f t="shared" si="106"/>
        <v>Si</v>
      </c>
      <c r="K765" s="1" t="str">
        <f t="shared" si="107"/>
        <v/>
      </c>
    </row>
    <row r="766" spans="1:11" x14ac:dyDescent="0.3">
      <c r="A766" s="1">
        <v>14</v>
      </c>
      <c r="B766" s="1">
        <v>34</v>
      </c>
      <c r="C766" s="12">
        <f t="shared" si="99"/>
        <v>-0.82499999999999996</v>
      </c>
      <c r="D766" s="12">
        <f t="shared" si="100"/>
        <v>0.67499999999999982</v>
      </c>
      <c r="E766" s="12">
        <f t="shared" si="101"/>
        <v>11.043114012444443</v>
      </c>
      <c r="F766" s="12">
        <f t="shared" si="102"/>
        <v>11.043114012444443</v>
      </c>
      <c r="G766" s="12">
        <f t="shared" si="103"/>
        <v>14.462557724444444</v>
      </c>
      <c r="H766" s="12">
        <f t="shared" si="104"/>
        <v>14.462557724444444</v>
      </c>
      <c r="I766" s="1" t="str">
        <f t="shared" si="105"/>
        <v>No</v>
      </c>
      <c r="J766" s="1" t="str">
        <f t="shared" si="106"/>
        <v>Si</v>
      </c>
      <c r="K766" s="1" t="str">
        <f t="shared" si="107"/>
        <v/>
      </c>
    </row>
    <row r="767" spans="1:11" x14ac:dyDescent="0.3">
      <c r="A767" s="1">
        <v>14</v>
      </c>
      <c r="B767" s="1">
        <v>35</v>
      </c>
      <c r="C767" s="12">
        <f t="shared" si="99"/>
        <v>-0.82499999999999996</v>
      </c>
      <c r="D767" s="12">
        <f t="shared" si="100"/>
        <v>0.75</v>
      </c>
      <c r="E767" s="12">
        <f t="shared" si="101"/>
        <v>11.040625919999998</v>
      </c>
      <c r="F767" s="12">
        <f t="shared" si="102"/>
        <v>11.040625919999998</v>
      </c>
      <c r="G767" s="12">
        <f t="shared" si="103"/>
        <v>14.459053368888888</v>
      </c>
      <c r="H767" s="12">
        <f t="shared" si="104"/>
        <v>14.459053368888888</v>
      </c>
      <c r="I767" s="1" t="str">
        <f t="shared" si="105"/>
        <v>No</v>
      </c>
      <c r="J767" s="1" t="str">
        <f t="shared" si="106"/>
        <v>Si</v>
      </c>
      <c r="K767" s="1" t="str">
        <f t="shared" si="107"/>
        <v/>
      </c>
    </row>
    <row r="768" spans="1:11" x14ac:dyDescent="0.3">
      <c r="A768" s="1">
        <v>14</v>
      </c>
      <c r="B768" s="1">
        <v>36</v>
      </c>
      <c r="C768" s="12">
        <f t="shared" si="99"/>
        <v>-0.82499999999999996</v>
      </c>
      <c r="D768" s="12">
        <f t="shared" si="100"/>
        <v>0.82500000000000018</v>
      </c>
      <c r="E768" s="12">
        <f t="shared" si="101"/>
        <v>11.038137827555554</v>
      </c>
      <c r="F768" s="12">
        <f t="shared" si="102"/>
        <v>11.038137827555554</v>
      </c>
      <c r="G768" s="12">
        <f t="shared" si="103"/>
        <v>14.455549013333332</v>
      </c>
      <c r="H768" s="12">
        <f t="shared" si="104"/>
        <v>14.455549013333332</v>
      </c>
      <c r="I768" s="1" t="str">
        <f t="shared" si="105"/>
        <v>No</v>
      </c>
      <c r="J768" s="1" t="str">
        <f t="shared" si="106"/>
        <v>Si</v>
      </c>
      <c r="K768" s="1" t="str">
        <f t="shared" si="107"/>
        <v/>
      </c>
    </row>
    <row r="769" spans="1:11" x14ac:dyDescent="0.3">
      <c r="A769" s="1">
        <v>14</v>
      </c>
      <c r="B769" s="1">
        <v>37</v>
      </c>
      <c r="C769" s="12">
        <f t="shared" si="99"/>
        <v>-0.82499999999999996</v>
      </c>
      <c r="D769" s="12">
        <f t="shared" si="100"/>
        <v>0.89999999999999991</v>
      </c>
      <c r="E769" s="12">
        <f t="shared" si="101"/>
        <v>11.035649735111109</v>
      </c>
      <c r="F769" s="12">
        <f t="shared" si="102"/>
        <v>11.035649735111109</v>
      </c>
      <c r="G769" s="12">
        <f t="shared" si="103"/>
        <v>14.452044657777776</v>
      </c>
      <c r="H769" s="12">
        <f t="shared" si="104"/>
        <v>14.452044657777776</v>
      </c>
      <c r="I769" s="1" t="str">
        <f t="shared" si="105"/>
        <v>No</v>
      </c>
      <c r="J769" s="1" t="str">
        <f t="shared" si="106"/>
        <v>Si</v>
      </c>
      <c r="K769" s="1" t="str">
        <f t="shared" si="107"/>
        <v/>
      </c>
    </row>
    <row r="770" spans="1:11" x14ac:dyDescent="0.3">
      <c r="A770" s="1">
        <v>14</v>
      </c>
      <c r="B770" s="1">
        <v>38</v>
      </c>
      <c r="C770" s="12">
        <f t="shared" si="99"/>
        <v>-0.82499999999999996</v>
      </c>
      <c r="D770" s="12">
        <f t="shared" si="100"/>
        <v>0.97500000000000009</v>
      </c>
      <c r="E770" s="12">
        <f t="shared" si="101"/>
        <v>11.033161642666665</v>
      </c>
      <c r="F770" s="12">
        <f t="shared" si="102"/>
        <v>11.033161642666665</v>
      </c>
      <c r="G770" s="12">
        <f t="shared" si="103"/>
        <v>14.448540302222222</v>
      </c>
      <c r="H770" s="12">
        <f t="shared" si="104"/>
        <v>14.448540302222222</v>
      </c>
      <c r="I770" s="1" t="str">
        <f t="shared" si="105"/>
        <v>No</v>
      </c>
      <c r="J770" s="1" t="str">
        <f t="shared" si="106"/>
        <v>Si</v>
      </c>
      <c r="K770" s="1" t="str">
        <f t="shared" si="107"/>
        <v/>
      </c>
    </row>
    <row r="771" spans="1:11" x14ac:dyDescent="0.3">
      <c r="A771" s="1">
        <v>14</v>
      </c>
      <c r="B771" s="1">
        <v>39</v>
      </c>
      <c r="C771" s="12">
        <f t="shared" si="99"/>
        <v>-0.82499999999999996</v>
      </c>
      <c r="D771" s="12">
        <f t="shared" si="100"/>
        <v>1.0499999999999998</v>
      </c>
      <c r="E771" s="12">
        <f t="shared" si="101"/>
        <v>11.03067355022222</v>
      </c>
      <c r="F771" s="12">
        <f t="shared" si="102"/>
        <v>11.03067355022222</v>
      </c>
      <c r="G771" s="12">
        <f t="shared" si="103"/>
        <v>14.445035946666666</v>
      </c>
      <c r="H771" s="12">
        <f t="shared" si="104"/>
        <v>14.445035946666666</v>
      </c>
      <c r="I771" s="1" t="str">
        <f t="shared" si="105"/>
        <v>No</v>
      </c>
      <c r="J771" s="1" t="str">
        <f t="shared" si="106"/>
        <v>Si</v>
      </c>
      <c r="K771" s="1" t="str">
        <f t="shared" si="107"/>
        <v/>
      </c>
    </row>
    <row r="772" spans="1:11" x14ac:dyDescent="0.3">
      <c r="A772" s="1">
        <v>14</v>
      </c>
      <c r="B772" s="1">
        <v>40</v>
      </c>
      <c r="C772" s="12">
        <f t="shared" si="99"/>
        <v>-0.82499999999999996</v>
      </c>
      <c r="D772" s="12">
        <f t="shared" si="100"/>
        <v>1.125</v>
      </c>
      <c r="E772" s="12">
        <f t="shared" si="101"/>
        <v>11.028185457777775</v>
      </c>
      <c r="F772" s="12">
        <f t="shared" si="102"/>
        <v>11.028185457777775</v>
      </c>
      <c r="G772" s="12">
        <f t="shared" si="103"/>
        <v>14.44153159111111</v>
      </c>
      <c r="H772" s="12">
        <f t="shared" si="104"/>
        <v>14.44153159111111</v>
      </c>
      <c r="I772" s="1" t="str">
        <f t="shared" si="105"/>
        <v>No</v>
      </c>
      <c r="J772" s="1" t="str">
        <f t="shared" si="106"/>
        <v>Si</v>
      </c>
      <c r="K772" s="1" t="str">
        <f t="shared" si="107"/>
        <v/>
      </c>
    </row>
    <row r="773" spans="1:11" x14ac:dyDescent="0.3">
      <c r="A773" s="1">
        <v>14</v>
      </c>
      <c r="B773" s="1">
        <v>41</v>
      </c>
      <c r="C773" s="12">
        <f t="shared" si="99"/>
        <v>-0.82499999999999996</v>
      </c>
      <c r="D773" s="12">
        <f t="shared" si="100"/>
        <v>1.2000000000000002</v>
      </c>
      <c r="E773" s="12">
        <f t="shared" si="101"/>
        <v>11.025697365333331</v>
      </c>
      <c r="F773" s="12">
        <f t="shared" si="102"/>
        <v>11.025697365333331</v>
      </c>
      <c r="G773" s="12">
        <f t="shared" si="103"/>
        <v>14.438027235555555</v>
      </c>
      <c r="H773" s="12">
        <f t="shared" si="104"/>
        <v>14.438027235555555</v>
      </c>
      <c r="I773" s="1" t="str">
        <f t="shared" si="105"/>
        <v>No</v>
      </c>
      <c r="J773" s="1" t="str">
        <f t="shared" si="106"/>
        <v>Si</v>
      </c>
      <c r="K773" s="1" t="str">
        <f t="shared" si="107"/>
        <v/>
      </c>
    </row>
    <row r="774" spans="1:11" x14ac:dyDescent="0.3">
      <c r="A774" s="1">
        <v>14</v>
      </c>
      <c r="B774" s="1">
        <v>42</v>
      </c>
      <c r="C774" s="12">
        <f t="shared" si="99"/>
        <v>-0.82499999999999996</v>
      </c>
      <c r="D774" s="12">
        <f t="shared" si="100"/>
        <v>1.2749999999999999</v>
      </c>
      <c r="E774" s="12">
        <f t="shared" si="101"/>
        <v>11.023209272888886</v>
      </c>
      <c r="F774" s="12">
        <f t="shared" si="102"/>
        <v>11.023209272888886</v>
      </c>
      <c r="G774" s="12">
        <f t="shared" si="103"/>
        <v>14.434522879999999</v>
      </c>
      <c r="H774" s="12">
        <f t="shared" si="104"/>
        <v>14.434522879999999</v>
      </c>
      <c r="I774" s="1" t="str">
        <f t="shared" si="105"/>
        <v>No</v>
      </c>
      <c r="J774" s="1" t="str">
        <f t="shared" si="106"/>
        <v>Si</v>
      </c>
      <c r="K774" s="1" t="str">
        <f t="shared" si="107"/>
        <v/>
      </c>
    </row>
    <row r="775" spans="1:11" x14ac:dyDescent="0.3">
      <c r="A775" s="1">
        <v>14</v>
      </c>
      <c r="B775" s="1">
        <v>43</v>
      </c>
      <c r="C775" s="12">
        <f t="shared" si="99"/>
        <v>-0.82499999999999996</v>
      </c>
      <c r="D775" s="12">
        <f t="shared" si="100"/>
        <v>1.35</v>
      </c>
      <c r="E775" s="12">
        <f t="shared" si="101"/>
        <v>11.020721180444442</v>
      </c>
      <c r="F775" s="12">
        <f t="shared" si="102"/>
        <v>11.020721180444442</v>
      </c>
      <c r="G775" s="12">
        <f t="shared" si="103"/>
        <v>14.431018524444443</v>
      </c>
      <c r="H775" s="12">
        <f t="shared" si="104"/>
        <v>14.431018524444443</v>
      </c>
      <c r="I775" s="1" t="str">
        <f t="shared" si="105"/>
        <v>No</v>
      </c>
      <c r="J775" s="1" t="str">
        <f t="shared" si="106"/>
        <v>Si</v>
      </c>
      <c r="K775" s="1" t="str">
        <f t="shared" si="107"/>
        <v/>
      </c>
    </row>
    <row r="776" spans="1:11" x14ac:dyDescent="0.3">
      <c r="A776" s="1">
        <v>14</v>
      </c>
      <c r="B776" s="1">
        <v>44</v>
      </c>
      <c r="C776" s="12">
        <f t="shared" si="99"/>
        <v>-0.82499999999999996</v>
      </c>
      <c r="D776" s="12">
        <f t="shared" si="100"/>
        <v>1.4249999999999998</v>
      </c>
      <c r="E776" s="12">
        <f t="shared" si="101"/>
        <v>11.018233087999999</v>
      </c>
      <c r="F776" s="12">
        <f t="shared" si="102"/>
        <v>11.018233087999999</v>
      </c>
      <c r="G776" s="12">
        <f t="shared" si="103"/>
        <v>14.427514168888887</v>
      </c>
      <c r="H776" s="12">
        <f t="shared" si="104"/>
        <v>14.427514168888887</v>
      </c>
      <c r="I776" s="1" t="str">
        <f t="shared" si="105"/>
        <v>No</v>
      </c>
      <c r="J776" s="1" t="str">
        <f t="shared" si="106"/>
        <v>Si</v>
      </c>
      <c r="K776" s="1" t="str">
        <f t="shared" si="107"/>
        <v/>
      </c>
    </row>
    <row r="777" spans="1:11" x14ac:dyDescent="0.3">
      <c r="A777" s="1">
        <v>14</v>
      </c>
      <c r="B777" s="1">
        <v>45</v>
      </c>
      <c r="C777" s="12">
        <f t="shared" si="99"/>
        <v>-0.82499999999999996</v>
      </c>
      <c r="D777" s="12">
        <f t="shared" si="100"/>
        <v>1.5</v>
      </c>
      <c r="E777" s="12">
        <f t="shared" si="101"/>
        <v>11.015744995555554</v>
      </c>
      <c r="F777" s="12">
        <f t="shared" si="102"/>
        <v>11.015744995555554</v>
      </c>
      <c r="G777" s="12">
        <f t="shared" si="103"/>
        <v>14.424009813333333</v>
      </c>
      <c r="H777" s="12">
        <f t="shared" si="104"/>
        <v>14.424009813333333</v>
      </c>
      <c r="I777" s="1" t="str">
        <f t="shared" si="105"/>
        <v>No</v>
      </c>
      <c r="J777" s="1" t="str">
        <f t="shared" si="106"/>
        <v>Si</v>
      </c>
      <c r="K777" s="1" t="str">
        <f t="shared" si="107"/>
        <v/>
      </c>
    </row>
    <row r="778" spans="1:11" x14ac:dyDescent="0.3">
      <c r="A778" s="1">
        <v>14</v>
      </c>
      <c r="B778" s="1">
        <v>46</v>
      </c>
      <c r="C778" s="12">
        <f t="shared" si="99"/>
        <v>-0.82499999999999996</v>
      </c>
      <c r="D778" s="12">
        <f t="shared" si="100"/>
        <v>1.5750000000000002</v>
      </c>
      <c r="E778" s="12">
        <f t="shared" si="101"/>
        <v>11.01325690311111</v>
      </c>
      <c r="F778" s="12">
        <f t="shared" si="102"/>
        <v>11.01325690311111</v>
      </c>
      <c r="G778" s="12">
        <f t="shared" si="103"/>
        <v>14.420505457777777</v>
      </c>
      <c r="H778" s="12">
        <f t="shared" si="104"/>
        <v>14.420505457777777</v>
      </c>
      <c r="I778" s="1" t="str">
        <f t="shared" si="105"/>
        <v>No</v>
      </c>
      <c r="J778" s="1" t="str">
        <f t="shared" si="106"/>
        <v>Si</v>
      </c>
      <c r="K778" s="1" t="str">
        <f t="shared" si="107"/>
        <v/>
      </c>
    </row>
    <row r="779" spans="1:11" x14ac:dyDescent="0.3">
      <c r="A779" s="1">
        <v>14</v>
      </c>
      <c r="B779" s="1">
        <v>47</v>
      </c>
      <c r="C779" s="12">
        <f t="shared" si="99"/>
        <v>-0.82499999999999996</v>
      </c>
      <c r="D779" s="12">
        <f t="shared" si="100"/>
        <v>1.65</v>
      </c>
      <c r="E779" s="12">
        <f t="shared" si="101"/>
        <v>11.010768810666665</v>
      </c>
      <c r="F779" s="12">
        <f t="shared" si="102"/>
        <v>11.010768810666665</v>
      </c>
      <c r="G779" s="12">
        <f t="shared" si="103"/>
        <v>14.417001102222221</v>
      </c>
      <c r="H779" s="12">
        <f t="shared" si="104"/>
        <v>14.417001102222221</v>
      </c>
      <c r="I779" s="1" t="str">
        <f t="shared" si="105"/>
        <v>No</v>
      </c>
      <c r="J779" s="1" t="str">
        <f t="shared" si="106"/>
        <v>Si</v>
      </c>
      <c r="K779" s="1" t="str">
        <f t="shared" si="107"/>
        <v/>
      </c>
    </row>
    <row r="780" spans="1:11" x14ac:dyDescent="0.3">
      <c r="A780" s="1">
        <v>14</v>
      </c>
      <c r="B780" s="1">
        <v>48</v>
      </c>
      <c r="C780" s="12">
        <f t="shared" si="99"/>
        <v>-0.82499999999999996</v>
      </c>
      <c r="D780" s="12">
        <f t="shared" si="100"/>
        <v>1.7250000000000001</v>
      </c>
      <c r="E780" s="12">
        <f t="shared" si="101"/>
        <v>11.00828071822222</v>
      </c>
      <c r="F780" s="12">
        <f t="shared" si="102"/>
        <v>11.00828071822222</v>
      </c>
      <c r="G780" s="12">
        <f t="shared" si="103"/>
        <v>14.413496746666667</v>
      </c>
      <c r="H780" s="12">
        <f t="shared" si="104"/>
        <v>14.413496746666667</v>
      </c>
      <c r="I780" s="1" t="str">
        <f t="shared" si="105"/>
        <v>No</v>
      </c>
      <c r="J780" s="1" t="str">
        <f t="shared" si="106"/>
        <v>Si</v>
      </c>
      <c r="K780" s="1" t="str">
        <f t="shared" si="107"/>
        <v/>
      </c>
    </row>
    <row r="781" spans="1:11" x14ac:dyDescent="0.3">
      <c r="A781" s="1">
        <v>14</v>
      </c>
      <c r="B781" s="1">
        <v>49</v>
      </c>
      <c r="C781" s="12">
        <f t="shared" si="99"/>
        <v>-0.82499999999999996</v>
      </c>
      <c r="D781" s="12">
        <f t="shared" si="100"/>
        <v>1.7999999999999998</v>
      </c>
      <c r="E781" s="12">
        <f t="shared" si="101"/>
        <v>11.005792625777776</v>
      </c>
      <c r="F781" s="12">
        <f t="shared" si="102"/>
        <v>11.005792625777776</v>
      </c>
      <c r="G781" s="12">
        <f t="shared" si="103"/>
        <v>14.409992391111111</v>
      </c>
      <c r="H781" s="12">
        <f t="shared" si="104"/>
        <v>14.409992391111111</v>
      </c>
      <c r="I781" s="1" t="str">
        <f t="shared" si="105"/>
        <v>No</v>
      </c>
      <c r="J781" s="1" t="str">
        <f t="shared" si="106"/>
        <v>Si</v>
      </c>
      <c r="K781" s="1" t="str">
        <f t="shared" si="107"/>
        <v/>
      </c>
    </row>
    <row r="782" spans="1:11" x14ac:dyDescent="0.3">
      <c r="A782" s="1">
        <v>14</v>
      </c>
      <c r="B782" s="1">
        <v>50</v>
      </c>
      <c r="C782" s="12">
        <f t="shared" si="99"/>
        <v>-0.82499999999999996</v>
      </c>
      <c r="D782" s="12">
        <f t="shared" si="100"/>
        <v>1.875</v>
      </c>
      <c r="E782" s="12">
        <f t="shared" si="101"/>
        <v>11.003304533333331</v>
      </c>
      <c r="F782" s="12">
        <f t="shared" si="102"/>
        <v>11.003304533333331</v>
      </c>
      <c r="G782" s="12">
        <f t="shared" si="103"/>
        <v>14.406488035555554</v>
      </c>
      <c r="H782" s="12">
        <f t="shared" si="104"/>
        <v>14.406488035555554</v>
      </c>
      <c r="I782" s="1" t="str">
        <f t="shared" si="105"/>
        <v>No</v>
      </c>
      <c r="J782" s="1" t="str">
        <f t="shared" si="106"/>
        <v>Si</v>
      </c>
      <c r="K782" s="1" t="str">
        <f t="shared" si="107"/>
        <v/>
      </c>
    </row>
    <row r="783" spans="1:11" x14ac:dyDescent="0.3">
      <c r="A783" s="1">
        <v>15</v>
      </c>
      <c r="B783" s="1">
        <v>0</v>
      </c>
      <c r="C783" s="12">
        <f t="shared" si="99"/>
        <v>-0.75</v>
      </c>
      <c r="D783" s="12">
        <f t="shared" si="100"/>
        <v>-1.875</v>
      </c>
      <c r="E783" s="12">
        <f t="shared" si="101"/>
        <v>11.128403199999999</v>
      </c>
      <c r="F783" s="12">
        <f t="shared" si="102"/>
        <v>11.128403199999999</v>
      </c>
      <c r="G783" s="12">
        <f t="shared" si="103"/>
        <v>14.582743466666665</v>
      </c>
      <c r="H783" s="12">
        <f t="shared" si="104"/>
        <v>14.582743466666665</v>
      </c>
      <c r="I783" s="1" t="str">
        <f t="shared" si="105"/>
        <v>No</v>
      </c>
      <c r="J783" s="1" t="str">
        <f t="shared" si="106"/>
        <v>Si</v>
      </c>
      <c r="K783" s="1" t="str">
        <f t="shared" si="107"/>
        <v/>
      </c>
    </row>
    <row r="784" spans="1:11" x14ac:dyDescent="0.3">
      <c r="A784" s="1">
        <v>15</v>
      </c>
      <c r="B784" s="1">
        <v>1</v>
      </c>
      <c r="C784" s="12">
        <f t="shared" si="99"/>
        <v>-0.75</v>
      </c>
      <c r="D784" s="12">
        <f t="shared" si="100"/>
        <v>-1.8</v>
      </c>
      <c r="E784" s="12">
        <f t="shared" si="101"/>
        <v>11.125915107555555</v>
      </c>
      <c r="F784" s="12">
        <f t="shared" si="102"/>
        <v>11.125915107555555</v>
      </c>
      <c r="G784" s="12">
        <f t="shared" si="103"/>
        <v>14.579239111111109</v>
      </c>
      <c r="H784" s="12">
        <f t="shared" si="104"/>
        <v>14.579239111111109</v>
      </c>
      <c r="I784" s="1" t="str">
        <f t="shared" si="105"/>
        <v>No</v>
      </c>
      <c r="J784" s="1" t="str">
        <f t="shared" si="106"/>
        <v>Si</v>
      </c>
      <c r="K784" s="1" t="str">
        <f t="shared" si="107"/>
        <v/>
      </c>
    </row>
    <row r="785" spans="1:11" x14ac:dyDescent="0.3">
      <c r="A785" s="1">
        <v>15</v>
      </c>
      <c r="B785" s="1">
        <v>2</v>
      </c>
      <c r="C785" s="12">
        <f t="shared" si="99"/>
        <v>-0.75</v>
      </c>
      <c r="D785" s="12">
        <f t="shared" si="100"/>
        <v>-1.7250000000000001</v>
      </c>
      <c r="E785" s="12">
        <f t="shared" si="101"/>
        <v>11.12342701511111</v>
      </c>
      <c r="F785" s="12">
        <f t="shared" si="102"/>
        <v>11.12342701511111</v>
      </c>
      <c r="G785" s="12">
        <f t="shared" si="103"/>
        <v>14.575734755555553</v>
      </c>
      <c r="H785" s="12">
        <f t="shared" si="104"/>
        <v>14.575734755555553</v>
      </c>
      <c r="I785" s="1" t="str">
        <f t="shared" si="105"/>
        <v>No</v>
      </c>
      <c r="J785" s="1" t="str">
        <f t="shared" si="106"/>
        <v>Si</v>
      </c>
      <c r="K785" s="1" t="str">
        <f t="shared" si="107"/>
        <v/>
      </c>
    </row>
    <row r="786" spans="1:11" x14ac:dyDescent="0.3">
      <c r="A786" s="1">
        <v>15</v>
      </c>
      <c r="B786" s="1">
        <v>3</v>
      </c>
      <c r="C786" s="12">
        <f t="shared" ref="C786:C849" si="108">IF(OR(A786&gt;inp_n_div_x,B786&gt;inp_n_div_y),"",-inp_bx/2+A786*inp_bx/inp_n_div_x)</f>
        <v>-0.75</v>
      </c>
      <c r="D786" s="12">
        <f t="shared" ref="D786:D849" si="109">IF(C786="","",-inp_by/2+B786*inp_by/inp_n_div_y)</f>
        <v>-1.65</v>
      </c>
      <c r="E786" s="12">
        <f t="shared" ref="E786:E849" si="110">IF(C786="","",res_srv_p_tot/geo_area+res_srv_mx_tot/geo_ix*D786+res_srv_my_tot/geo_iy*C786)</f>
        <v>11.120938922666666</v>
      </c>
      <c r="F786" s="12">
        <f t="shared" ref="F786:F849" si="111">IF(E786="","",MAX(0,E786))</f>
        <v>11.120938922666666</v>
      </c>
      <c r="G786" s="12">
        <f t="shared" ref="G786:G849" si="112">IF(C786="","",res_u_p_tot/geo_area+res_u_mx_tot/geo_ix*D786+res_u_my_tot/geo_iy*C786)</f>
        <v>14.572230399999999</v>
      </c>
      <c r="H786" s="12">
        <f t="shared" ref="H786:H849" si="113">IF(G786="","",MAX(0,G786))</f>
        <v>14.572230399999999</v>
      </c>
      <c r="I786" s="1" t="str">
        <f t="shared" ref="I786:I849" si="114">IF(C786="","",IF(AND(C786&gt;=inp_xc-inp_cx/2,C786&lt;=inp_xc+inp_cx/2,D786&gt;=inp_yc-inp_cy/2,D786&lt;=inp_yc+inp_cy/2),"Si","No"))</f>
        <v>No</v>
      </c>
      <c r="J786" s="1" t="str">
        <f t="shared" ref="J786:J849" si="115">IF(C786="","","Si")</f>
        <v>Si</v>
      </c>
      <c r="K786" s="1" t="str">
        <f t="shared" ref="K786:K849" si="116">IF(OR(E786&lt;0,G786&lt;0),"Presion negativa","")</f>
        <v/>
      </c>
    </row>
    <row r="787" spans="1:11" x14ac:dyDescent="0.3">
      <c r="A787" s="1">
        <v>15</v>
      </c>
      <c r="B787" s="1">
        <v>4</v>
      </c>
      <c r="C787" s="12">
        <f t="shared" si="108"/>
        <v>-0.75</v>
      </c>
      <c r="D787" s="12">
        <f t="shared" si="109"/>
        <v>-1.575</v>
      </c>
      <c r="E787" s="12">
        <f t="shared" si="110"/>
        <v>11.118450830222221</v>
      </c>
      <c r="F787" s="12">
        <f t="shared" si="111"/>
        <v>11.118450830222221</v>
      </c>
      <c r="G787" s="12">
        <f t="shared" si="112"/>
        <v>14.568726044444443</v>
      </c>
      <c r="H787" s="12">
        <f t="shared" si="113"/>
        <v>14.568726044444443</v>
      </c>
      <c r="I787" s="1" t="str">
        <f t="shared" si="114"/>
        <v>No</v>
      </c>
      <c r="J787" s="1" t="str">
        <f t="shared" si="115"/>
        <v>Si</v>
      </c>
      <c r="K787" s="1" t="str">
        <f t="shared" si="116"/>
        <v/>
      </c>
    </row>
    <row r="788" spans="1:11" x14ac:dyDescent="0.3">
      <c r="A788" s="1">
        <v>15</v>
      </c>
      <c r="B788" s="1">
        <v>5</v>
      </c>
      <c r="C788" s="12">
        <f t="shared" si="108"/>
        <v>-0.75</v>
      </c>
      <c r="D788" s="12">
        <f t="shared" si="109"/>
        <v>-1.5</v>
      </c>
      <c r="E788" s="12">
        <f t="shared" si="110"/>
        <v>11.115962737777776</v>
      </c>
      <c r="F788" s="12">
        <f t="shared" si="111"/>
        <v>11.115962737777776</v>
      </c>
      <c r="G788" s="12">
        <f t="shared" si="112"/>
        <v>14.565221688888887</v>
      </c>
      <c r="H788" s="12">
        <f t="shared" si="113"/>
        <v>14.565221688888887</v>
      </c>
      <c r="I788" s="1" t="str">
        <f t="shared" si="114"/>
        <v>No</v>
      </c>
      <c r="J788" s="1" t="str">
        <f t="shared" si="115"/>
        <v>Si</v>
      </c>
      <c r="K788" s="1" t="str">
        <f t="shared" si="116"/>
        <v/>
      </c>
    </row>
    <row r="789" spans="1:11" x14ac:dyDescent="0.3">
      <c r="A789" s="1">
        <v>15</v>
      </c>
      <c r="B789" s="1">
        <v>6</v>
      </c>
      <c r="C789" s="12">
        <f t="shared" si="108"/>
        <v>-0.75</v>
      </c>
      <c r="D789" s="12">
        <f t="shared" si="109"/>
        <v>-1.425</v>
      </c>
      <c r="E789" s="12">
        <f t="shared" si="110"/>
        <v>11.113474645333332</v>
      </c>
      <c r="F789" s="12">
        <f t="shared" si="111"/>
        <v>11.113474645333332</v>
      </c>
      <c r="G789" s="12">
        <f t="shared" si="112"/>
        <v>14.561717333333332</v>
      </c>
      <c r="H789" s="12">
        <f t="shared" si="113"/>
        <v>14.561717333333332</v>
      </c>
      <c r="I789" s="1" t="str">
        <f t="shared" si="114"/>
        <v>No</v>
      </c>
      <c r="J789" s="1" t="str">
        <f t="shared" si="115"/>
        <v>Si</v>
      </c>
      <c r="K789" s="1" t="str">
        <f t="shared" si="116"/>
        <v/>
      </c>
    </row>
    <row r="790" spans="1:11" x14ac:dyDescent="0.3">
      <c r="A790" s="1">
        <v>15</v>
      </c>
      <c r="B790" s="1">
        <v>7</v>
      </c>
      <c r="C790" s="12">
        <f t="shared" si="108"/>
        <v>-0.75</v>
      </c>
      <c r="D790" s="12">
        <f t="shared" si="109"/>
        <v>-1.35</v>
      </c>
      <c r="E790" s="12">
        <f t="shared" si="110"/>
        <v>11.110986552888889</v>
      </c>
      <c r="F790" s="12">
        <f t="shared" si="111"/>
        <v>11.110986552888889</v>
      </c>
      <c r="G790" s="12">
        <f t="shared" si="112"/>
        <v>14.558212977777776</v>
      </c>
      <c r="H790" s="12">
        <f t="shared" si="113"/>
        <v>14.558212977777776</v>
      </c>
      <c r="I790" s="1" t="str">
        <f t="shared" si="114"/>
        <v>No</v>
      </c>
      <c r="J790" s="1" t="str">
        <f t="shared" si="115"/>
        <v>Si</v>
      </c>
      <c r="K790" s="1" t="str">
        <f t="shared" si="116"/>
        <v/>
      </c>
    </row>
    <row r="791" spans="1:11" x14ac:dyDescent="0.3">
      <c r="A791" s="1">
        <v>15</v>
      </c>
      <c r="B791" s="1">
        <v>8</v>
      </c>
      <c r="C791" s="12">
        <f t="shared" si="108"/>
        <v>-0.75</v>
      </c>
      <c r="D791" s="12">
        <f t="shared" si="109"/>
        <v>-1.2749999999999999</v>
      </c>
      <c r="E791" s="12">
        <f t="shared" si="110"/>
        <v>11.108498460444444</v>
      </c>
      <c r="F791" s="12">
        <f t="shared" si="111"/>
        <v>11.108498460444444</v>
      </c>
      <c r="G791" s="12">
        <f t="shared" si="112"/>
        <v>14.55470862222222</v>
      </c>
      <c r="H791" s="12">
        <f t="shared" si="113"/>
        <v>14.55470862222222</v>
      </c>
      <c r="I791" s="1" t="str">
        <f t="shared" si="114"/>
        <v>No</v>
      </c>
      <c r="J791" s="1" t="str">
        <f t="shared" si="115"/>
        <v>Si</v>
      </c>
      <c r="K791" s="1" t="str">
        <f t="shared" si="116"/>
        <v/>
      </c>
    </row>
    <row r="792" spans="1:11" x14ac:dyDescent="0.3">
      <c r="A792" s="1">
        <v>15</v>
      </c>
      <c r="B792" s="1">
        <v>9</v>
      </c>
      <c r="C792" s="12">
        <f t="shared" si="108"/>
        <v>-0.75</v>
      </c>
      <c r="D792" s="12">
        <f t="shared" si="109"/>
        <v>-1.2</v>
      </c>
      <c r="E792" s="12">
        <f t="shared" si="110"/>
        <v>11.106010368</v>
      </c>
      <c r="F792" s="12">
        <f t="shared" si="111"/>
        <v>11.106010368</v>
      </c>
      <c r="G792" s="12">
        <f t="shared" si="112"/>
        <v>14.551204266666664</v>
      </c>
      <c r="H792" s="12">
        <f t="shared" si="113"/>
        <v>14.551204266666664</v>
      </c>
      <c r="I792" s="1" t="str">
        <f t="shared" si="114"/>
        <v>No</v>
      </c>
      <c r="J792" s="1" t="str">
        <f t="shared" si="115"/>
        <v>Si</v>
      </c>
      <c r="K792" s="1" t="str">
        <f t="shared" si="116"/>
        <v/>
      </c>
    </row>
    <row r="793" spans="1:11" x14ac:dyDescent="0.3">
      <c r="A793" s="1">
        <v>15</v>
      </c>
      <c r="B793" s="1">
        <v>10</v>
      </c>
      <c r="C793" s="12">
        <f t="shared" si="108"/>
        <v>-0.75</v>
      </c>
      <c r="D793" s="12">
        <f t="shared" si="109"/>
        <v>-1.125</v>
      </c>
      <c r="E793" s="12">
        <f t="shared" si="110"/>
        <v>11.103522275555555</v>
      </c>
      <c r="F793" s="12">
        <f t="shared" si="111"/>
        <v>11.103522275555555</v>
      </c>
      <c r="G793" s="12">
        <f t="shared" si="112"/>
        <v>14.54769991111111</v>
      </c>
      <c r="H793" s="12">
        <f t="shared" si="113"/>
        <v>14.54769991111111</v>
      </c>
      <c r="I793" s="1" t="str">
        <f t="shared" si="114"/>
        <v>No</v>
      </c>
      <c r="J793" s="1" t="str">
        <f t="shared" si="115"/>
        <v>Si</v>
      </c>
      <c r="K793" s="1" t="str">
        <f t="shared" si="116"/>
        <v/>
      </c>
    </row>
    <row r="794" spans="1:11" x14ac:dyDescent="0.3">
      <c r="A794" s="1">
        <v>15</v>
      </c>
      <c r="B794" s="1">
        <v>11</v>
      </c>
      <c r="C794" s="12">
        <f t="shared" si="108"/>
        <v>-0.75</v>
      </c>
      <c r="D794" s="12">
        <f t="shared" si="109"/>
        <v>-1.05</v>
      </c>
      <c r="E794" s="12">
        <f t="shared" si="110"/>
        <v>11.101034183111111</v>
      </c>
      <c r="F794" s="12">
        <f t="shared" si="111"/>
        <v>11.101034183111111</v>
      </c>
      <c r="G794" s="12">
        <f t="shared" si="112"/>
        <v>14.544195555555554</v>
      </c>
      <c r="H794" s="12">
        <f t="shared" si="113"/>
        <v>14.544195555555554</v>
      </c>
      <c r="I794" s="1" t="str">
        <f t="shared" si="114"/>
        <v>No</v>
      </c>
      <c r="J794" s="1" t="str">
        <f t="shared" si="115"/>
        <v>Si</v>
      </c>
      <c r="K794" s="1" t="str">
        <f t="shared" si="116"/>
        <v/>
      </c>
    </row>
    <row r="795" spans="1:11" x14ac:dyDescent="0.3">
      <c r="A795" s="1">
        <v>15</v>
      </c>
      <c r="B795" s="1">
        <v>12</v>
      </c>
      <c r="C795" s="12">
        <f t="shared" si="108"/>
        <v>-0.75</v>
      </c>
      <c r="D795" s="12">
        <f t="shared" si="109"/>
        <v>-0.97499999999999998</v>
      </c>
      <c r="E795" s="12">
        <f t="shared" si="110"/>
        <v>11.098546090666666</v>
      </c>
      <c r="F795" s="12">
        <f t="shared" si="111"/>
        <v>11.098546090666666</v>
      </c>
      <c r="G795" s="12">
        <f t="shared" si="112"/>
        <v>14.540691199999998</v>
      </c>
      <c r="H795" s="12">
        <f t="shared" si="113"/>
        <v>14.540691199999998</v>
      </c>
      <c r="I795" s="1" t="str">
        <f t="shared" si="114"/>
        <v>No</v>
      </c>
      <c r="J795" s="1" t="str">
        <f t="shared" si="115"/>
        <v>Si</v>
      </c>
      <c r="K795" s="1" t="str">
        <f t="shared" si="116"/>
        <v/>
      </c>
    </row>
    <row r="796" spans="1:11" x14ac:dyDescent="0.3">
      <c r="A796" s="1">
        <v>15</v>
      </c>
      <c r="B796" s="1">
        <v>13</v>
      </c>
      <c r="C796" s="12">
        <f t="shared" si="108"/>
        <v>-0.75</v>
      </c>
      <c r="D796" s="12">
        <f t="shared" si="109"/>
        <v>-0.9</v>
      </c>
      <c r="E796" s="12">
        <f t="shared" si="110"/>
        <v>11.096057998222221</v>
      </c>
      <c r="F796" s="12">
        <f t="shared" si="111"/>
        <v>11.096057998222221</v>
      </c>
      <c r="G796" s="12">
        <f t="shared" si="112"/>
        <v>14.537186844444443</v>
      </c>
      <c r="H796" s="12">
        <f t="shared" si="113"/>
        <v>14.537186844444443</v>
      </c>
      <c r="I796" s="1" t="str">
        <f t="shared" si="114"/>
        <v>No</v>
      </c>
      <c r="J796" s="1" t="str">
        <f t="shared" si="115"/>
        <v>Si</v>
      </c>
      <c r="K796" s="1" t="str">
        <f t="shared" si="116"/>
        <v/>
      </c>
    </row>
    <row r="797" spans="1:11" x14ac:dyDescent="0.3">
      <c r="A797" s="1">
        <v>15</v>
      </c>
      <c r="B797" s="1">
        <v>14</v>
      </c>
      <c r="C797" s="12">
        <f t="shared" si="108"/>
        <v>-0.75</v>
      </c>
      <c r="D797" s="12">
        <f t="shared" si="109"/>
        <v>-0.82499999999999996</v>
      </c>
      <c r="E797" s="12">
        <f t="shared" si="110"/>
        <v>11.093569905777777</v>
      </c>
      <c r="F797" s="12">
        <f t="shared" si="111"/>
        <v>11.093569905777777</v>
      </c>
      <c r="G797" s="12">
        <f t="shared" si="112"/>
        <v>14.533682488888887</v>
      </c>
      <c r="H797" s="12">
        <f t="shared" si="113"/>
        <v>14.533682488888887</v>
      </c>
      <c r="I797" s="1" t="str">
        <f t="shared" si="114"/>
        <v>No</v>
      </c>
      <c r="J797" s="1" t="str">
        <f t="shared" si="115"/>
        <v>Si</v>
      </c>
      <c r="K797" s="1" t="str">
        <f t="shared" si="116"/>
        <v/>
      </c>
    </row>
    <row r="798" spans="1:11" x14ac:dyDescent="0.3">
      <c r="A798" s="1">
        <v>15</v>
      </c>
      <c r="B798" s="1">
        <v>15</v>
      </c>
      <c r="C798" s="12">
        <f t="shared" si="108"/>
        <v>-0.75</v>
      </c>
      <c r="D798" s="12">
        <f t="shared" si="109"/>
        <v>-0.75</v>
      </c>
      <c r="E798" s="12">
        <f t="shared" si="110"/>
        <v>11.091081813333332</v>
      </c>
      <c r="F798" s="12">
        <f t="shared" si="111"/>
        <v>11.091081813333332</v>
      </c>
      <c r="G798" s="12">
        <f t="shared" si="112"/>
        <v>14.530178133333331</v>
      </c>
      <c r="H798" s="12">
        <f t="shared" si="113"/>
        <v>14.530178133333331</v>
      </c>
      <c r="I798" s="1" t="str">
        <f t="shared" si="114"/>
        <v>No</v>
      </c>
      <c r="J798" s="1" t="str">
        <f t="shared" si="115"/>
        <v>Si</v>
      </c>
      <c r="K798" s="1" t="str">
        <f t="shared" si="116"/>
        <v/>
      </c>
    </row>
    <row r="799" spans="1:11" x14ac:dyDescent="0.3">
      <c r="A799" s="1">
        <v>15</v>
      </c>
      <c r="B799" s="1">
        <v>16</v>
      </c>
      <c r="C799" s="12">
        <f t="shared" si="108"/>
        <v>-0.75</v>
      </c>
      <c r="D799" s="12">
        <f t="shared" si="109"/>
        <v>-0.67500000000000004</v>
      </c>
      <c r="E799" s="12">
        <f t="shared" si="110"/>
        <v>11.088593720888888</v>
      </c>
      <c r="F799" s="12">
        <f t="shared" si="111"/>
        <v>11.088593720888888</v>
      </c>
      <c r="G799" s="12">
        <f t="shared" si="112"/>
        <v>14.526673777777775</v>
      </c>
      <c r="H799" s="12">
        <f t="shared" si="113"/>
        <v>14.526673777777775</v>
      </c>
      <c r="I799" s="1" t="str">
        <f t="shared" si="114"/>
        <v>No</v>
      </c>
      <c r="J799" s="1" t="str">
        <f t="shared" si="115"/>
        <v>Si</v>
      </c>
      <c r="K799" s="1" t="str">
        <f t="shared" si="116"/>
        <v/>
      </c>
    </row>
    <row r="800" spans="1:11" x14ac:dyDescent="0.3">
      <c r="A800" s="1">
        <v>15</v>
      </c>
      <c r="B800" s="1">
        <v>17</v>
      </c>
      <c r="C800" s="12">
        <f t="shared" si="108"/>
        <v>-0.75</v>
      </c>
      <c r="D800" s="12">
        <f t="shared" si="109"/>
        <v>-0.60000000000000009</v>
      </c>
      <c r="E800" s="12">
        <f t="shared" si="110"/>
        <v>11.086105628444443</v>
      </c>
      <c r="F800" s="12">
        <f t="shared" si="111"/>
        <v>11.086105628444443</v>
      </c>
      <c r="G800" s="12">
        <f t="shared" si="112"/>
        <v>14.523169422222221</v>
      </c>
      <c r="H800" s="12">
        <f t="shared" si="113"/>
        <v>14.523169422222221</v>
      </c>
      <c r="I800" s="1" t="str">
        <f t="shared" si="114"/>
        <v>No</v>
      </c>
      <c r="J800" s="1" t="str">
        <f t="shared" si="115"/>
        <v>Si</v>
      </c>
      <c r="K800" s="1" t="str">
        <f t="shared" si="116"/>
        <v/>
      </c>
    </row>
    <row r="801" spans="1:11" x14ac:dyDescent="0.3">
      <c r="A801" s="1">
        <v>15</v>
      </c>
      <c r="B801" s="1">
        <v>18</v>
      </c>
      <c r="C801" s="12">
        <f t="shared" si="108"/>
        <v>-0.75</v>
      </c>
      <c r="D801" s="12">
        <f t="shared" si="109"/>
        <v>-0.52499999999999991</v>
      </c>
      <c r="E801" s="12">
        <f t="shared" si="110"/>
        <v>11.083617535999998</v>
      </c>
      <c r="F801" s="12">
        <f t="shared" si="111"/>
        <v>11.083617535999998</v>
      </c>
      <c r="G801" s="12">
        <f t="shared" si="112"/>
        <v>14.519665066666665</v>
      </c>
      <c r="H801" s="12">
        <f t="shared" si="113"/>
        <v>14.519665066666665</v>
      </c>
      <c r="I801" s="1" t="str">
        <f t="shared" si="114"/>
        <v>No</v>
      </c>
      <c r="J801" s="1" t="str">
        <f t="shared" si="115"/>
        <v>Si</v>
      </c>
      <c r="K801" s="1" t="str">
        <f t="shared" si="116"/>
        <v/>
      </c>
    </row>
    <row r="802" spans="1:11" x14ac:dyDescent="0.3">
      <c r="A802" s="1">
        <v>15</v>
      </c>
      <c r="B802" s="1">
        <v>19</v>
      </c>
      <c r="C802" s="12">
        <f t="shared" si="108"/>
        <v>-0.75</v>
      </c>
      <c r="D802" s="12">
        <f t="shared" si="109"/>
        <v>-0.44999999999999996</v>
      </c>
      <c r="E802" s="12">
        <f t="shared" si="110"/>
        <v>11.081129443555556</v>
      </c>
      <c r="F802" s="12">
        <f t="shared" si="111"/>
        <v>11.081129443555556</v>
      </c>
      <c r="G802" s="12">
        <f t="shared" si="112"/>
        <v>14.516160711111109</v>
      </c>
      <c r="H802" s="12">
        <f t="shared" si="113"/>
        <v>14.516160711111109</v>
      </c>
      <c r="I802" s="1" t="str">
        <f t="shared" si="114"/>
        <v>No</v>
      </c>
      <c r="J802" s="1" t="str">
        <f t="shared" si="115"/>
        <v>Si</v>
      </c>
      <c r="K802" s="1" t="str">
        <f t="shared" si="116"/>
        <v/>
      </c>
    </row>
    <row r="803" spans="1:11" x14ac:dyDescent="0.3">
      <c r="A803" s="1">
        <v>15</v>
      </c>
      <c r="B803" s="1">
        <v>20</v>
      </c>
      <c r="C803" s="12">
        <f t="shared" si="108"/>
        <v>-0.75</v>
      </c>
      <c r="D803" s="12">
        <f t="shared" si="109"/>
        <v>-0.375</v>
      </c>
      <c r="E803" s="12">
        <f t="shared" si="110"/>
        <v>11.078641351111111</v>
      </c>
      <c r="F803" s="12">
        <f t="shared" si="111"/>
        <v>11.078641351111111</v>
      </c>
      <c r="G803" s="12">
        <f t="shared" si="112"/>
        <v>14.512656355555555</v>
      </c>
      <c r="H803" s="12">
        <f t="shared" si="113"/>
        <v>14.512656355555555</v>
      </c>
      <c r="I803" s="1" t="str">
        <f t="shared" si="114"/>
        <v>No</v>
      </c>
      <c r="J803" s="1" t="str">
        <f t="shared" si="115"/>
        <v>Si</v>
      </c>
      <c r="K803" s="1" t="str">
        <f t="shared" si="116"/>
        <v/>
      </c>
    </row>
    <row r="804" spans="1:11" x14ac:dyDescent="0.3">
      <c r="A804" s="1">
        <v>15</v>
      </c>
      <c r="B804" s="1">
        <v>21</v>
      </c>
      <c r="C804" s="12">
        <f t="shared" si="108"/>
        <v>-0.75</v>
      </c>
      <c r="D804" s="12">
        <f t="shared" si="109"/>
        <v>-0.30000000000000004</v>
      </c>
      <c r="E804" s="12">
        <f t="shared" si="110"/>
        <v>11.076153258666666</v>
      </c>
      <c r="F804" s="12">
        <f t="shared" si="111"/>
        <v>11.076153258666666</v>
      </c>
      <c r="G804" s="12">
        <f t="shared" si="112"/>
        <v>14.509151999999998</v>
      </c>
      <c r="H804" s="12">
        <f t="shared" si="113"/>
        <v>14.509151999999998</v>
      </c>
      <c r="I804" s="1" t="str">
        <f t="shared" si="114"/>
        <v>No</v>
      </c>
      <c r="J804" s="1" t="str">
        <f t="shared" si="115"/>
        <v>Si</v>
      </c>
      <c r="K804" s="1" t="str">
        <f t="shared" si="116"/>
        <v/>
      </c>
    </row>
    <row r="805" spans="1:11" x14ac:dyDescent="0.3">
      <c r="A805" s="1">
        <v>15</v>
      </c>
      <c r="B805" s="1">
        <v>22</v>
      </c>
      <c r="C805" s="12">
        <f t="shared" si="108"/>
        <v>-0.75</v>
      </c>
      <c r="D805" s="12">
        <f t="shared" si="109"/>
        <v>-0.22500000000000009</v>
      </c>
      <c r="E805" s="12">
        <f t="shared" si="110"/>
        <v>11.073665166222222</v>
      </c>
      <c r="F805" s="12">
        <f t="shared" si="111"/>
        <v>11.073665166222222</v>
      </c>
      <c r="G805" s="12">
        <f t="shared" si="112"/>
        <v>14.505647644444442</v>
      </c>
      <c r="H805" s="12">
        <f t="shared" si="113"/>
        <v>14.505647644444442</v>
      </c>
      <c r="I805" s="1" t="str">
        <f t="shared" si="114"/>
        <v>No</v>
      </c>
      <c r="J805" s="1" t="str">
        <f t="shared" si="115"/>
        <v>Si</v>
      </c>
      <c r="K805" s="1" t="str">
        <f t="shared" si="116"/>
        <v/>
      </c>
    </row>
    <row r="806" spans="1:11" x14ac:dyDescent="0.3">
      <c r="A806" s="1">
        <v>15</v>
      </c>
      <c r="B806" s="1">
        <v>23</v>
      </c>
      <c r="C806" s="12">
        <f t="shared" si="108"/>
        <v>-0.75</v>
      </c>
      <c r="D806" s="12">
        <f t="shared" si="109"/>
        <v>-0.14999999999999991</v>
      </c>
      <c r="E806" s="12">
        <f t="shared" si="110"/>
        <v>11.071177073777777</v>
      </c>
      <c r="F806" s="12">
        <f t="shared" si="111"/>
        <v>11.071177073777777</v>
      </c>
      <c r="G806" s="12">
        <f t="shared" si="112"/>
        <v>14.502143288888886</v>
      </c>
      <c r="H806" s="12">
        <f t="shared" si="113"/>
        <v>14.502143288888886</v>
      </c>
      <c r="I806" s="1" t="str">
        <f t="shared" si="114"/>
        <v>No</v>
      </c>
      <c r="J806" s="1" t="str">
        <f t="shared" si="115"/>
        <v>Si</v>
      </c>
      <c r="K806" s="1" t="str">
        <f t="shared" si="116"/>
        <v/>
      </c>
    </row>
    <row r="807" spans="1:11" x14ac:dyDescent="0.3">
      <c r="A807" s="1">
        <v>15</v>
      </c>
      <c r="B807" s="1">
        <v>24</v>
      </c>
      <c r="C807" s="12">
        <f t="shared" si="108"/>
        <v>-0.75</v>
      </c>
      <c r="D807" s="12">
        <f t="shared" si="109"/>
        <v>-7.4999999999999956E-2</v>
      </c>
      <c r="E807" s="12">
        <f t="shared" si="110"/>
        <v>11.068688981333333</v>
      </c>
      <c r="F807" s="12">
        <f t="shared" si="111"/>
        <v>11.068688981333333</v>
      </c>
      <c r="G807" s="12">
        <f t="shared" si="112"/>
        <v>14.498638933333332</v>
      </c>
      <c r="H807" s="12">
        <f t="shared" si="113"/>
        <v>14.498638933333332</v>
      </c>
      <c r="I807" s="1" t="str">
        <f t="shared" si="114"/>
        <v>No</v>
      </c>
      <c r="J807" s="1" t="str">
        <f t="shared" si="115"/>
        <v>Si</v>
      </c>
      <c r="K807" s="1" t="str">
        <f t="shared" si="116"/>
        <v/>
      </c>
    </row>
    <row r="808" spans="1:11" x14ac:dyDescent="0.3">
      <c r="A808" s="1">
        <v>15</v>
      </c>
      <c r="B808" s="1">
        <v>25</v>
      </c>
      <c r="C808" s="12">
        <f t="shared" si="108"/>
        <v>-0.75</v>
      </c>
      <c r="D808" s="12">
        <f t="shared" si="109"/>
        <v>0</v>
      </c>
      <c r="E808" s="12">
        <f t="shared" si="110"/>
        <v>11.066200888888888</v>
      </c>
      <c r="F808" s="12">
        <f t="shared" si="111"/>
        <v>11.066200888888888</v>
      </c>
      <c r="G808" s="12">
        <f t="shared" si="112"/>
        <v>14.495134577777776</v>
      </c>
      <c r="H808" s="12">
        <f t="shared" si="113"/>
        <v>14.495134577777776</v>
      </c>
      <c r="I808" s="1" t="str">
        <f t="shared" si="114"/>
        <v>No</v>
      </c>
      <c r="J808" s="1" t="str">
        <f t="shared" si="115"/>
        <v>Si</v>
      </c>
      <c r="K808" s="1" t="str">
        <f t="shared" si="116"/>
        <v/>
      </c>
    </row>
    <row r="809" spans="1:11" x14ac:dyDescent="0.3">
      <c r="A809" s="1">
        <v>15</v>
      </c>
      <c r="B809" s="1">
        <v>26</v>
      </c>
      <c r="C809" s="12">
        <f t="shared" si="108"/>
        <v>-0.75</v>
      </c>
      <c r="D809" s="12">
        <f t="shared" si="109"/>
        <v>7.4999999999999956E-2</v>
      </c>
      <c r="E809" s="12">
        <f t="shared" si="110"/>
        <v>11.063712796444443</v>
      </c>
      <c r="F809" s="12">
        <f t="shared" si="111"/>
        <v>11.063712796444443</v>
      </c>
      <c r="G809" s="12">
        <f t="shared" si="112"/>
        <v>14.49163022222222</v>
      </c>
      <c r="H809" s="12">
        <f t="shared" si="113"/>
        <v>14.49163022222222</v>
      </c>
      <c r="I809" s="1" t="str">
        <f t="shared" si="114"/>
        <v>No</v>
      </c>
      <c r="J809" s="1" t="str">
        <f t="shared" si="115"/>
        <v>Si</v>
      </c>
      <c r="K809" s="1" t="str">
        <f t="shared" si="116"/>
        <v/>
      </c>
    </row>
    <row r="810" spans="1:11" x14ac:dyDescent="0.3">
      <c r="A810" s="1">
        <v>15</v>
      </c>
      <c r="B810" s="1">
        <v>27</v>
      </c>
      <c r="C810" s="12">
        <f t="shared" si="108"/>
        <v>-0.75</v>
      </c>
      <c r="D810" s="12">
        <f t="shared" si="109"/>
        <v>0.14999999999999991</v>
      </c>
      <c r="E810" s="12">
        <f t="shared" si="110"/>
        <v>11.061224703999999</v>
      </c>
      <c r="F810" s="12">
        <f t="shared" si="111"/>
        <v>11.061224703999999</v>
      </c>
      <c r="G810" s="12">
        <f t="shared" si="112"/>
        <v>14.488125866666666</v>
      </c>
      <c r="H810" s="12">
        <f t="shared" si="113"/>
        <v>14.488125866666666</v>
      </c>
      <c r="I810" s="1" t="str">
        <f t="shared" si="114"/>
        <v>No</v>
      </c>
      <c r="J810" s="1" t="str">
        <f t="shared" si="115"/>
        <v>Si</v>
      </c>
      <c r="K810" s="1" t="str">
        <f t="shared" si="116"/>
        <v/>
      </c>
    </row>
    <row r="811" spans="1:11" x14ac:dyDescent="0.3">
      <c r="A811" s="1">
        <v>15</v>
      </c>
      <c r="B811" s="1">
        <v>28</v>
      </c>
      <c r="C811" s="12">
        <f t="shared" si="108"/>
        <v>-0.75</v>
      </c>
      <c r="D811" s="12">
        <f t="shared" si="109"/>
        <v>0.22500000000000009</v>
      </c>
      <c r="E811" s="12">
        <f t="shared" si="110"/>
        <v>11.058736611555554</v>
      </c>
      <c r="F811" s="12">
        <f t="shared" si="111"/>
        <v>11.058736611555554</v>
      </c>
      <c r="G811" s="12">
        <f t="shared" si="112"/>
        <v>14.48462151111111</v>
      </c>
      <c r="H811" s="12">
        <f t="shared" si="113"/>
        <v>14.48462151111111</v>
      </c>
      <c r="I811" s="1" t="str">
        <f t="shared" si="114"/>
        <v>No</v>
      </c>
      <c r="J811" s="1" t="str">
        <f t="shared" si="115"/>
        <v>Si</v>
      </c>
      <c r="K811" s="1" t="str">
        <f t="shared" si="116"/>
        <v/>
      </c>
    </row>
    <row r="812" spans="1:11" x14ac:dyDescent="0.3">
      <c r="A812" s="1">
        <v>15</v>
      </c>
      <c r="B812" s="1">
        <v>29</v>
      </c>
      <c r="C812" s="12">
        <f t="shared" si="108"/>
        <v>-0.75</v>
      </c>
      <c r="D812" s="12">
        <f t="shared" si="109"/>
        <v>0.29999999999999982</v>
      </c>
      <c r="E812" s="12">
        <f t="shared" si="110"/>
        <v>11.05624851911111</v>
      </c>
      <c r="F812" s="12">
        <f t="shared" si="111"/>
        <v>11.05624851911111</v>
      </c>
      <c r="G812" s="12">
        <f t="shared" si="112"/>
        <v>14.481117155555554</v>
      </c>
      <c r="H812" s="12">
        <f t="shared" si="113"/>
        <v>14.481117155555554</v>
      </c>
      <c r="I812" s="1" t="str">
        <f t="shared" si="114"/>
        <v>No</v>
      </c>
      <c r="J812" s="1" t="str">
        <f t="shared" si="115"/>
        <v>Si</v>
      </c>
      <c r="K812" s="1" t="str">
        <f t="shared" si="116"/>
        <v/>
      </c>
    </row>
    <row r="813" spans="1:11" x14ac:dyDescent="0.3">
      <c r="A813" s="1">
        <v>15</v>
      </c>
      <c r="B813" s="1">
        <v>30</v>
      </c>
      <c r="C813" s="12">
        <f t="shared" si="108"/>
        <v>-0.75</v>
      </c>
      <c r="D813" s="12">
        <f t="shared" si="109"/>
        <v>0.375</v>
      </c>
      <c r="E813" s="12">
        <f t="shared" si="110"/>
        <v>11.053760426666665</v>
      </c>
      <c r="F813" s="12">
        <f t="shared" si="111"/>
        <v>11.053760426666665</v>
      </c>
      <c r="G813" s="12">
        <f t="shared" si="112"/>
        <v>14.477612799999998</v>
      </c>
      <c r="H813" s="12">
        <f t="shared" si="113"/>
        <v>14.477612799999998</v>
      </c>
      <c r="I813" s="1" t="str">
        <f t="shared" si="114"/>
        <v>No</v>
      </c>
      <c r="J813" s="1" t="str">
        <f t="shared" si="115"/>
        <v>Si</v>
      </c>
      <c r="K813" s="1" t="str">
        <f t="shared" si="116"/>
        <v/>
      </c>
    </row>
    <row r="814" spans="1:11" x14ac:dyDescent="0.3">
      <c r="A814" s="1">
        <v>15</v>
      </c>
      <c r="B814" s="1">
        <v>31</v>
      </c>
      <c r="C814" s="12">
        <f t="shared" si="108"/>
        <v>-0.75</v>
      </c>
      <c r="D814" s="12">
        <f t="shared" si="109"/>
        <v>0.45000000000000018</v>
      </c>
      <c r="E814" s="12">
        <f t="shared" si="110"/>
        <v>11.051272334222221</v>
      </c>
      <c r="F814" s="12">
        <f t="shared" si="111"/>
        <v>11.051272334222221</v>
      </c>
      <c r="G814" s="12">
        <f t="shared" si="112"/>
        <v>14.474108444444443</v>
      </c>
      <c r="H814" s="12">
        <f t="shared" si="113"/>
        <v>14.474108444444443</v>
      </c>
      <c r="I814" s="1" t="str">
        <f t="shared" si="114"/>
        <v>No</v>
      </c>
      <c r="J814" s="1" t="str">
        <f t="shared" si="115"/>
        <v>Si</v>
      </c>
      <c r="K814" s="1" t="str">
        <f t="shared" si="116"/>
        <v/>
      </c>
    </row>
    <row r="815" spans="1:11" x14ac:dyDescent="0.3">
      <c r="A815" s="1">
        <v>15</v>
      </c>
      <c r="B815" s="1">
        <v>32</v>
      </c>
      <c r="C815" s="12">
        <f t="shared" si="108"/>
        <v>-0.75</v>
      </c>
      <c r="D815" s="12">
        <f t="shared" si="109"/>
        <v>0.52499999999999991</v>
      </c>
      <c r="E815" s="12">
        <f t="shared" si="110"/>
        <v>11.048784241777778</v>
      </c>
      <c r="F815" s="12">
        <f t="shared" si="111"/>
        <v>11.048784241777778</v>
      </c>
      <c r="G815" s="12">
        <f t="shared" si="112"/>
        <v>14.470604088888887</v>
      </c>
      <c r="H815" s="12">
        <f t="shared" si="113"/>
        <v>14.470604088888887</v>
      </c>
      <c r="I815" s="1" t="str">
        <f t="shared" si="114"/>
        <v>No</v>
      </c>
      <c r="J815" s="1" t="str">
        <f t="shared" si="115"/>
        <v>Si</v>
      </c>
      <c r="K815" s="1" t="str">
        <f t="shared" si="116"/>
        <v/>
      </c>
    </row>
    <row r="816" spans="1:11" x14ac:dyDescent="0.3">
      <c r="A816" s="1">
        <v>15</v>
      </c>
      <c r="B816" s="1">
        <v>33</v>
      </c>
      <c r="C816" s="12">
        <f t="shared" si="108"/>
        <v>-0.75</v>
      </c>
      <c r="D816" s="12">
        <f t="shared" si="109"/>
        <v>0.60000000000000009</v>
      </c>
      <c r="E816" s="12">
        <f t="shared" si="110"/>
        <v>11.046296149333333</v>
      </c>
      <c r="F816" s="12">
        <f t="shared" si="111"/>
        <v>11.046296149333333</v>
      </c>
      <c r="G816" s="12">
        <f t="shared" si="112"/>
        <v>14.467099733333331</v>
      </c>
      <c r="H816" s="12">
        <f t="shared" si="113"/>
        <v>14.467099733333331</v>
      </c>
      <c r="I816" s="1" t="str">
        <f t="shared" si="114"/>
        <v>No</v>
      </c>
      <c r="J816" s="1" t="str">
        <f t="shared" si="115"/>
        <v>Si</v>
      </c>
      <c r="K816" s="1" t="str">
        <f t="shared" si="116"/>
        <v/>
      </c>
    </row>
    <row r="817" spans="1:11" x14ac:dyDescent="0.3">
      <c r="A817" s="1">
        <v>15</v>
      </c>
      <c r="B817" s="1">
        <v>34</v>
      </c>
      <c r="C817" s="12">
        <f t="shared" si="108"/>
        <v>-0.75</v>
      </c>
      <c r="D817" s="12">
        <f t="shared" si="109"/>
        <v>0.67499999999999982</v>
      </c>
      <c r="E817" s="12">
        <f t="shared" si="110"/>
        <v>11.043808056888889</v>
      </c>
      <c r="F817" s="12">
        <f t="shared" si="111"/>
        <v>11.043808056888889</v>
      </c>
      <c r="G817" s="12">
        <f t="shared" si="112"/>
        <v>14.463595377777777</v>
      </c>
      <c r="H817" s="12">
        <f t="shared" si="113"/>
        <v>14.463595377777777</v>
      </c>
      <c r="I817" s="1" t="str">
        <f t="shared" si="114"/>
        <v>No</v>
      </c>
      <c r="J817" s="1" t="str">
        <f t="shared" si="115"/>
        <v>Si</v>
      </c>
      <c r="K817" s="1" t="str">
        <f t="shared" si="116"/>
        <v/>
      </c>
    </row>
    <row r="818" spans="1:11" x14ac:dyDescent="0.3">
      <c r="A818" s="1">
        <v>15</v>
      </c>
      <c r="B818" s="1">
        <v>35</v>
      </c>
      <c r="C818" s="12">
        <f t="shared" si="108"/>
        <v>-0.75</v>
      </c>
      <c r="D818" s="12">
        <f t="shared" si="109"/>
        <v>0.75</v>
      </c>
      <c r="E818" s="12">
        <f t="shared" si="110"/>
        <v>11.041319964444444</v>
      </c>
      <c r="F818" s="12">
        <f t="shared" si="111"/>
        <v>11.041319964444444</v>
      </c>
      <c r="G818" s="12">
        <f t="shared" si="112"/>
        <v>14.460091022222221</v>
      </c>
      <c r="H818" s="12">
        <f t="shared" si="113"/>
        <v>14.460091022222221</v>
      </c>
      <c r="I818" s="1" t="str">
        <f t="shared" si="114"/>
        <v>No</v>
      </c>
      <c r="J818" s="1" t="str">
        <f t="shared" si="115"/>
        <v>Si</v>
      </c>
      <c r="K818" s="1" t="str">
        <f t="shared" si="116"/>
        <v/>
      </c>
    </row>
    <row r="819" spans="1:11" x14ac:dyDescent="0.3">
      <c r="A819" s="1">
        <v>15</v>
      </c>
      <c r="B819" s="1">
        <v>36</v>
      </c>
      <c r="C819" s="12">
        <f t="shared" si="108"/>
        <v>-0.75</v>
      </c>
      <c r="D819" s="12">
        <f t="shared" si="109"/>
        <v>0.82500000000000018</v>
      </c>
      <c r="E819" s="12">
        <f t="shared" si="110"/>
        <v>11.038831871999999</v>
      </c>
      <c r="F819" s="12">
        <f t="shared" si="111"/>
        <v>11.038831871999999</v>
      </c>
      <c r="G819" s="12">
        <f t="shared" si="112"/>
        <v>14.456586666666665</v>
      </c>
      <c r="H819" s="12">
        <f t="shared" si="113"/>
        <v>14.456586666666665</v>
      </c>
      <c r="I819" s="1" t="str">
        <f t="shared" si="114"/>
        <v>No</v>
      </c>
      <c r="J819" s="1" t="str">
        <f t="shared" si="115"/>
        <v>Si</v>
      </c>
      <c r="K819" s="1" t="str">
        <f t="shared" si="116"/>
        <v/>
      </c>
    </row>
    <row r="820" spans="1:11" x14ac:dyDescent="0.3">
      <c r="A820" s="1">
        <v>15</v>
      </c>
      <c r="B820" s="1">
        <v>37</v>
      </c>
      <c r="C820" s="12">
        <f t="shared" si="108"/>
        <v>-0.75</v>
      </c>
      <c r="D820" s="12">
        <f t="shared" si="109"/>
        <v>0.89999999999999991</v>
      </c>
      <c r="E820" s="12">
        <f t="shared" si="110"/>
        <v>11.036343779555555</v>
      </c>
      <c r="F820" s="12">
        <f t="shared" si="111"/>
        <v>11.036343779555555</v>
      </c>
      <c r="G820" s="12">
        <f t="shared" si="112"/>
        <v>14.453082311111109</v>
      </c>
      <c r="H820" s="12">
        <f t="shared" si="113"/>
        <v>14.453082311111109</v>
      </c>
      <c r="I820" s="1" t="str">
        <f t="shared" si="114"/>
        <v>No</v>
      </c>
      <c r="J820" s="1" t="str">
        <f t="shared" si="115"/>
        <v>Si</v>
      </c>
      <c r="K820" s="1" t="str">
        <f t="shared" si="116"/>
        <v/>
      </c>
    </row>
    <row r="821" spans="1:11" x14ac:dyDescent="0.3">
      <c r="A821" s="1">
        <v>15</v>
      </c>
      <c r="B821" s="1">
        <v>38</v>
      </c>
      <c r="C821" s="12">
        <f t="shared" si="108"/>
        <v>-0.75</v>
      </c>
      <c r="D821" s="12">
        <f t="shared" si="109"/>
        <v>0.97500000000000009</v>
      </c>
      <c r="E821" s="12">
        <f t="shared" si="110"/>
        <v>11.03385568711111</v>
      </c>
      <c r="F821" s="12">
        <f t="shared" si="111"/>
        <v>11.03385568711111</v>
      </c>
      <c r="G821" s="12">
        <f t="shared" si="112"/>
        <v>14.449577955555554</v>
      </c>
      <c r="H821" s="12">
        <f t="shared" si="113"/>
        <v>14.449577955555554</v>
      </c>
      <c r="I821" s="1" t="str">
        <f t="shared" si="114"/>
        <v>No</v>
      </c>
      <c r="J821" s="1" t="str">
        <f t="shared" si="115"/>
        <v>Si</v>
      </c>
      <c r="K821" s="1" t="str">
        <f t="shared" si="116"/>
        <v/>
      </c>
    </row>
    <row r="822" spans="1:11" x14ac:dyDescent="0.3">
      <c r="A822" s="1">
        <v>15</v>
      </c>
      <c r="B822" s="1">
        <v>39</v>
      </c>
      <c r="C822" s="12">
        <f t="shared" si="108"/>
        <v>-0.75</v>
      </c>
      <c r="D822" s="12">
        <f t="shared" si="109"/>
        <v>1.0499999999999998</v>
      </c>
      <c r="E822" s="12">
        <f t="shared" si="110"/>
        <v>11.031367594666666</v>
      </c>
      <c r="F822" s="12">
        <f t="shared" si="111"/>
        <v>11.031367594666666</v>
      </c>
      <c r="G822" s="12">
        <f t="shared" si="112"/>
        <v>14.446073599999998</v>
      </c>
      <c r="H822" s="12">
        <f t="shared" si="113"/>
        <v>14.446073599999998</v>
      </c>
      <c r="I822" s="1" t="str">
        <f t="shared" si="114"/>
        <v>No</v>
      </c>
      <c r="J822" s="1" t="str">
        <f t="shared" si="115"/>
        <v>Si</v>
      </c>
      <c r="K822" s="1" t="str">
        <f t="shared" si="116"/>
        <v/>
      </c>
    </row>
    <row r="823" spans="1:11" x14ac:dyDescent="0.3">
      <c r="A823" s="1">
        <v>15</v>
      </c>
      <c r="B823" s="1">
        <v>40</v>
      </c>
      <c r="C823" s="12">
        <f t="shared" si="108"/>
        <v>-0.75</v>
      </c>
      <c r="D823" s="12">
        <f t="shared" si="109"/>
        <v>1.125</v>
      </c>
      <c r="E823" s="12">
        <f t="shared" si="110"/>
        <v>11.028879502222221</v>
      </c>
      <c r="F823" s="12">
        <f t="shared" si="111"/>
        <v>11.028879502222221</v>
      </c>
      <c r="G823" s="12">
        <f t="shared" si="112"/>
        <v>14.442569244444442</v>
      </c>
      <c r="H823" s="12">
        <f t="shared" si="113"/>
        <v>14.442569244444442</v>
      </c>
      <c r="I823" s="1" t="str">
        <f t="shared" si="114"/>
        <v>No</v>
      </c>
      <c r="J823" s="1" t="str">
        <f t="shared" si="115"/>
        <v>Si</v>
      </c>
      <c r="K823" s="1" t="str">
        <f t="shared" si="116"/>
        <v/>
      </c>
    </row>
    <row r="824" spans="1:11" x14ac:dyDescent="0.3">
      <c r="A824" s="1">
        <v>15</v>
      </c>
      <c r="B824" s="1">
        <v>41</v>
      </c>
      <c r="C824" s="12">
        <f t="shared" si="108"/>
        <v>-0.75</v>
      </c>
      <c r="D824" s="12">
        <f t="shared" si="109"/>
        <v>1.2000000000000002</v>
      </c>
      <c r="E824" s="12">
        <f t="shared" si="110"/>
        <v>11.026391409777776</v>
      </c>
      <c r="F824" s="12">
        <f t="shared" si="111"/>
        <v>11.026391409777776</v>
      </c>
      <c r="G824" s="12">
        <f t="shared" si="112"/>
        <v>14.439064888888888</v>
      </c>
      <c r="H824" s="12">
        <f t="shared" si="113"/>
        <v>14.439064888888888</v>
      </c>
      <c r="I824" s="1" t="str">
        <f t="shared" si="114"/>
        <v>No</v>
      </c>
      <c r="J824" s="1" t="str">
        <f t="shared" si="115"/>
        <v>Si</v>
      </c>
      <c r="K824" s="1" t="str">
        <f t="shared" si="116"/>
        <v/>
      </c>
    </row>
    <row r="825" spans="1:11" x14ac:dyDescent="0.3">
      <c r="A825" s="1">
        <v>15</v>
      </c>
      <c r="B825" s="1">
        <v>42</v>
      </c>
      <c r="C825" s="12">
        <f t="shared" si="108"/>
        <v>-0.75</v>
      </c>
      <c r="D825" s="12">
        <f t="shared" si="109"/>
        <v>1.2749999999999999</v>
      </c>
      <c r="E825" s="12">
        <f t="shared" si="110"/>
        <v>11.023903317333332</v>
      </c>
      <c r="F825" s="12">
        <f t="shared" si="111"/>
        <v>11.023903317333332</v>
      </c>
      <c r="G825" s="12">
        <f t="shared" si="112"/>
        <v>14.435560533333332</v>
      </c>
      <c r="H825" s="12">
        <f t="shared" si="113"/>
        <v>14.435560533333332</v>
      </c>
      <c r="I825" s="1" t="str">
        <f t="shared" si="114"/>
        <v>No</v>
      </c>
      <c r="J825" s="1" t="str">
        <f t="shared" si="115"/>
        <v>Si</v>
      </c>
      <c r="K825" s="1" t="str">
        <f t="shared" si="116"/>
        <v/>
      </c>
    </row>
    <row r="826" spans="1:11" x14ac:dyDescent="0.3">
      <c r="A826" s="1">
        <v>15</v>
      </c>
      <c r="B826" s="1">
        <v>43</v>
      </c>
      <c r="C826" s="12">
        <f t="shared" si="108"/>
        <v>-0.75</v>
      </c>
      <c r="D826" s="12">
        <f t="shared" si="109"/>
        <v>1.35</v>
      </c>
      <c r="E826" s="12">
        <f t="shared" si="110"/>
        <v>11.021415224888887</v>
      </c>
      <c r="F826" s="12">
        <f t="shared" si="111"/>
        <v>11.021415224888887</v>
      </c>
      <c r="G826" s="12">
        <f t="shared" si="112"/>
        <v>14.432056177777776</v>
      </c>
      <c r="H826" s="12">
        <f t="shared" si="113"/>
        <v>14.432056177777776</v>
      </c>
      <c r="I826" s="1" t="str">
        <f t="shared" si="114"/>
        <v>No</v>
      </c>
      <c r="J826" s="1" t="str">
        <f t="shared" si="115"/>
        <v>Si</v>
      </c>
      <c r="K826" s="1" t="str">
        <f t="shared" si="116"/>
        <v/>
      </c>
    </row>
    <row r="827" spans="1:11" x14ac:dyDescent="0.3">
      <c r="A827" s="1">
        <v>15</v>
      </c>
      <c r="B827" s="1">
        <v>44</v>
      </c>
      <c r="C827" s="12">
        <f t="shared" si="108"/>
        <v>-0.75</v>
      </c>
      <c r="D827" s="12">
        <f t="shared" si="109"/>
        <v>1.4249999999999998</v>
      </c>
      <c r="E827" s="12">
        <f t="shared" si="110"/>
        <v>11.018927132444444</v>
      </c>
      <c r="F827" s="12">
        <f t="shared" si="111"/>
        <v>11.018927132444444</v>
      </c>
      <c r="G827" s="12">
        <f t="shared" si="112"/>
        <v>14.42855182222222</v>
      </c>
      <c r="H827" s="12">
        <f t="shared" si="113"/>
        <v>14.42855182222222</v>
      </c>
      <c r="I827" s="1" t="str">
        <f t="shared" si="114"/>
        <v>No</v>
      </c>
      <c r="J827" s="1" t="str">
        <f t="shared" si="115"/>
        <v>Si</v>
      </c>
      <c r="K827" s="1" t="str">
        <f t="shared" si="116"/>
        <v/>
      </c>
    </row>
    <row r="828" spans="1:11" x14ac:dyDescent="0.3">
      <c r="A828" s="1">
        <v>15</v>
      </c>
      <c r="B828" s="1">
        <v>45</v>
      </c>
      <c r="C828" s="12">
        <f t="shared" si="108"/>
        <v>-0.75</v>
      </c>
      <c r="D828" s="12">
        <f t="shared" si="109"/>
        <v>1.5</v>
      </c>
      <c r="E828" s="12">
        <f t="shared" si="110"/>
        <v>11.01643904</v>
      </c>
      <c r="F828" s="12">
        <f t="shared" si="111"/>
        <v>11.01643904</v>
      </c>
      <c r="G828" s="12">
        <f t="shared" si="112"/>
        <v>14.425047466666665</v>
      </c>
      <c r="H828" s="12">
        <f t="shared" si="113"/>
        <v>14.425047466666665</v>
      </c>
      <c r="I828" s="1" t="str">
        <f t="shared" si="114"/>
        <v>No</v>
      </c>
      <c r="J828" s="1" t="str">
        <f t="shared" si="115"/>
        <v>Si</v>
      </c>
      <c r="K828" s="1" t="str">
        <f t="shared" si="116"/>
        <v/>
      </c>
    </row>
    <row r="829" spans="1:11" x14ac:dyDescent="0.3">
      <c r="A829" s="1">
        <v>15</v>
      </c>
      <c r="B829" s="1">
        <v>46</v>
      </c>
      <c r="C829" s="12">
        <f t="shared" si="108"/>
        <v>-0.75</v>
      </c>
      <c r="D829" s="12">
        <f t="shared" si="109"/>
        <v>1.5750000000000002</v>
      </c>
      <c r="E829" s="12">
        <f t="shared" si="110"/>
        <v>11.013950947555555</v>
      </c>
      <c r="F829" s="12">
        <f t="shared" si="111"/>
        <v>11.013950947555555</v>
      </c>
      <c r="G829" s="12">
        <f t="shared" si="112"/>
        <v>14.421543111111109</v>
      </c>
      <c r="H829" s="12">
        <f t="shared" si="113"/>
        <v>14.421543111111109</v>
      </c>
      <c r="I829" s="1" t="str">
        <f t="shared" si="114"/>
        <v>No</v>
      </c>
      <c r="J829" s="1" t="str">
        <f t="shared" si="115"/>
        <v>Si</v>
      </c>
      <c r="K829" s="1" t="str">
        <f t="shared" si="116"/>
        <v/>
      </c>
    </row>
    <row r="830" spans="1:11" x14ac:dyDescent="0.3">
      <c r="A830" s="1">
        <v>15</v>
      </c>
      <c r="B830" s="1">
        <v>47</v>
      </c>
      <c r="C830" s="12">
        <f t="shared" si="108"/>
        <v>-0.75</v>
      </c>
      <c r="D830" s="12">
        <f t="shared" si="109"/>
        <v>1.65</v>
      </c>
      <c r="E830" s="12">
        <f t="shared" si="110"/>
        <v>11.011462855111111</v>
      </c>
      <c r="F830" s="12">
        <f t="shared" si="111"/>
        <v>11.011462855111111</v>
      </c>
      <c r="G830" s="12">
        <f t="shared" si="112"/>
        <v>14.418038755555553</v>
      </c>
      <c r="H830" s="12">
        <f t="shared" si="113"/>
        <v>14.418038755555553</v>
      </c>
      <c r="I830" s="1" t="str">
        <f t="shared" si="114"/>
        <v>No</v>
      </c>
      <c r="J830" s="1" t="str">
        <f t="shared" si="115"/>
        <v>Si</v>
      </c>
      <c r="K830" s="1" t="str">
        <f t="shared" si="116"/>
        <v/>
      </c>
    </row>
    <row r="831" spans="1:11" x14ac:dyDescent="0.3">
      <c r="A831" s="1">
        <v>15</v>
      </c>
      <c r="B831" s="1">
        <v>48</v>
      </c>
      <c r="C831" s="12">
        <f t="shared" si="108"/>
        <v>-0.75</v>
      </c>
      <c r="D831" s="12">
        <f t="shared" si="109"/>
        <v>1.7250000000000001</v>
      </c>
      <c r="E831" s="12">
        <f t="shared" si="110"/>
        <v>11.008974762666666</v>
      </c>
      <c r="F831" s="12">
        <f t="shared" si="111"/>
        <v>11.008974762666666</v>
      </c>
      <c r="G831" s="12">
        <f t="shared" si="112"/>
        <v>14.414534399999999</v>
      </c>
      <c r="H831" s="12">
        <f t="shared" si="113"/>
        <v>14.414534399999999</v>
      </c>
      <c r="I831" s="1" t="str">
        <f t="shared" si="114"/>
        <v>No</v>
      </c>
      <c r="J831" s="1" t="str">
        <f t="shared" si="115"/>
        <v>Si</v>
      </c>
      <c r="K831" s="1" t="str">
        <f t="shared" si="116"/>
        <v/>
      </c>
    </row>
    <row r="832" spans="1:11" x14ac:dyDescent="0.3">
      <c r="A832" s="1">
        <v>15</v>
      </c>
      <c r="B832" s="1">
        <v>49</v>
      </c>
      <c r="C832" s="12">
        <f t="shared" si="108"/>
        <v>-0.75</v>
      </c>
      <c r="D832" s="12">
        <f t="shared" si="109"/>
        <v>1.7999999999999998</v>
      </c>
      <c r="E832" s="12">
        <f t="shared" si="110"/>
        <v>11.006486670222221</v>
      </c>
      <c r="F832" s="12">
        <f t="shared" si="111"/>
        <v>11.006486670222221</v>
      </c>
      <c r="G832" s="12">
        <f t="shared" si="112"/>
        <v>14.411030044444443</v>
      </c>
      <c r="H832" s="12">
        <f t="shared" si="113"/>
        <v>14.411030044444443</v>
      </c>
      <c r="I832" s="1" t="str">
        <f t="shared" si="114"/>
        <v>No</v>
      </c>
      <c r="J832" s="1" t="str">
        <f t="shared" si="115"/>
        <v>Si</v>
      </c>
      <c r="K832" s="1" t="str">
        <f t="shared" si="116"/>
        <v/>
      </c>
    </row>
    <row r="833" spans="1:11" x14ac:dyDescent="0.3">
      <c r="A833" s="1">
        <v>15</v>
      </c>
      <c r="B833" s="1">
        <v>50</v>
      </c>
      <c r="C833" s="12">
        <f t="shared" si="108"/>
        <v>-0.75</v>
      </c>
      <c r="D833" s="12">
        <f t="shared" si="109"/>
        <v>1.875</v>
      </c>
      <c r="E833" s="12">
        <f t="shared" si="110"/>
        <v>11.003998577777777</v>
      </c>
      <c r="F833" s="12">
        <f t="shared" si="111"/>
        <v>11.003998577777777</v>
      </c>
      <c r="G833" s="12">
        <f t="shared" si="112"/>
        <v>14.407525688888887</v>
      </c>
      <c r="H833" s="12">
        <f t="shared" si="113"/>
        <v>14.407525688888887</v>
      </c>
      <c r="I833" s="1" t="str">
        <f t="shared" si="114"/>
        <v>No</v>
      </c>
      <c r="J833" s="1" t="str">
        <f t="shared" si="115"/>
        <v>Si</v>
      </c>
      <c r="K833" s="1" t="str">
        <f t="shared" si="116"/>
        <v/>
      </c>
    </row>
    <row r="834" spans="1:11" x14ac:dyDescent="0.3">
      <c r="A834" s="1">
        <v>16</v>
      </c>
      <c r="B834" s="1">
        <v>0</v>
      </c>
      <c r="C834" s="12">
        <f t="shared" si="108"/>
        <v>-0.67500000000000004</v>
      </c>
      <c r="D834" s="12">
        <f t="shared" si="109"/>
        <v>-1.875</v>
      </c>
      <c r="E834" s="12">
        <f t="shared" si="110"/>
        <v>11.129097244444443</v>
      </c>
      <c r="F834" s="12">
        <f t="shared" si="111"/>
        <v>11.129097244444443</v>
      </c>
      <c r="G834" s="12">
        <f t="shared" si="112"/>
        <v>14.583781119999999</v>
      </c>
      <c r="H834" s="12">
        <f t="shared" si="113"/>
        <v>14.583781119999999</v>
      </c>
      <c r="I834" s="1" t="str">
        <f t="shared" si="114"/>
        <v>No</v>
      </c>
      <c r="J834" s="1" t="str">
        <f t="shared" si="115"/>
        <v>Si</v>
      </c>
      <c r="K834" s="1" t="str">
        <f t="shared" si="116"/>
        <v/>
      </c>
    </row>
    <row r="835" spans="1:11" x14ac:dyDescent="0.3">
      <c r="A835" s="1">
        <v>16</v>
      </c>
      <c r="B835" s="1">
        <v>1</v>
      </c>
      <c r="C835" s="12">
        <f t="shared" si="108"/>
        <v>-0.67500000000000004</v>
      </c>
      <c r="D835" s="12">
        <f t="shared" si="109"/>
        <v>-1.8</v>
      </c>
      <c r="E835" s="12">
        <f t="shared" si="110"/>
        <v>11.126609151999999</v>
      </c>
      <c r="F835" s="12">
        <f t="shared" si="111"/>
        <v>11.126609151999999</v>
      </c>
      <c r="G835" s="12">
        <f t="shared" si="112"/>
        <v>14.580276764444443</v>
      </c>
      <c r="H835" s="12">
        <f t="shared" si="113"/>
        <v>14.580276764444443</v>
      </c>
      <c r="I835" s="1" t="str">
        <f t="shared" si="114"/>
        <v>No</v>
      </c>
      <c r="J835" s="1" t="str">
        <f t="shared" si="115"/>
        <v>Si</v>
      </c>
      <c r="K835" s="1" t="str">
        <f t="shared" si="116"/>
        <v/>
      </c>
    </row>
    <row r="836" spans="1:11" x14ac:dyDescent="0.3">
      <c r="A836" s="1">
        <v>16</v>
      </c>
      <c r="B836" s="1">
        <v>2</v>
      </c>
      <c r="C836" s="12">
        <f t="shared" si="108"/>
        <v>-0.67500000000000004</v>
      </c>
      <c r="D836" s="12">
        <f t="shared" si="109"/>
        <v>-1.7250000000000001</v>
      </c>
      <c r="E836" s="12">
        <f t="shared" si="110"/>
        <v>11.124121059555554</v>
      </c>
      <c r="F836" s="12">
        <f t="shared" si="111"/>
        <v>11.124121059555554</v>
      </c>
      <c r="G836" s="12">
        <f t="shared" si="112"/>
        <v>14.576772408888887</v>
      </c>
      <c r="H836" s="12">
        <f t="shared" si="113"/>
        <v>14.576772408888887</v>
      </c>
      <c r="I836" s="1" t="str">
        <f t="shared" si="114"/>
        <v>No</v>
      </c>
      <c r="J836" s="1" t="str">
        <f t="shared" si="115"/>
        <v>Si</v>
      </c>
      <c r="K836" s="1" t="str">
        <f t="shared" si="116"/>
        <v/>
      </c>
    </row>
    <row r="837" spans="1:11" x14ac:dyDescent="0.3">
      <c r="A837" s="1">
        <v>16</v>
      </c>
      <c r="B837" s="1">
        <v>3</v>
      </c>
      <c r="C837" s="12">
        <f t="shared" si="108"/>
        <v>-0.67500000000000004</v>
      </c>
      <c r="D837" s="12">
        <f t="shared" si="109"/>
        <v>-1.65</v>
      </c>
      <c r="E837" s="12">
        <f t="shared" si="110"/>
        <v>11.121632967111109</v>
      </c>
      <c r="F837" s="12">
        <f t="shared" si="111"/>
        <v>11.121632967111109</v>
      </c>
      <c r="G837" s="12">
        <f t="shared" si="112"/>
        <v>14.573268053333333</v>
      </c>
      <c r="H837" s="12">
        <f t="shared" si="113"/>
        <v>14.573268053333333</v>
      </c>
      <c r="I837" s="1" t="str">
        <f t="shared" si="114"/>
        <v>No</v>
      </c>
      <c r="J837" s="1" t="str">
        <f t="shared" si="115"/>
        <v>Si</v>
      </c>
      <c r="K837" s="1" t="str">
        <f t="shared" si="116"/>
        <v/>
      </c>
    </row>
    <row r="838" spans="1:11" x14ac:dyDescent="0.3">
      <c r="A838" s="1">
        <v>16</v>
      </c>
      <c r="B838" s="1">
        <v>4</v>
      </c>
      <c r="C838" s="12">
        <f t="shared" si="108"/>
        <v>-0.67500000000000004</v>
      </c>
      <c r="D838" s="12">
        <f t="shared" si="109"/>
        <v>-1.575</v>
      </c>
      <c r="E838" s="12">
        <f t="shared" si="110"/>
        <v>11.119144874666665</v>
      </c>
      <c r="F838" s="12">
        <f t="shared" si="111"/>
        <v>11.119144874666665</v>
      </c>
      <c r="G838" s="12">
        <f t="shared" si="112"/>
        <v>14.569763697777777</v>
      </c>
      <c r="H838" s="12">
        <f t="shared" si="113"/>
        <v>14.569763697777777</v>
      </c>
      <c r="I838" s="1" t="str">
        <f t="shared" si="114"/>
        <v>No</v>
      </c>
      <c r="J838" s="1" t="str">
        <f t="shared" si="115"/>
        <v>Si</v>
      </c>
      <c r="K838" s="1" t="str">
        <f t="shared" si="116"/>
        <v/>
      </c>
    </row>
    <row r="839" spans="1:11" x14ac:dyDescent="0.3">
      <c r="A839" s="1">
        <v>16</v>
      </c>
      <c r="B839" s="1">
        <v>5</v>
      </c>
      <c r="C839" s="12">
        <f t="shared" si="108"/>
        <v>-0.67500000000000004</v>
      </c>
      <c r="D839" s="12">
        <f t="shared" si="109"/>
        <v>-1.5</v>
      </c>
      <c r="E839" s="12">
        <f t="shared" si="110"/>
        <v>11.11665678222222</v>
      </c>
      <c r="F839" s="12">
        <f t="shared" si="111"/>
        <v>11.11665678222222</v>
      </c>
      <c r="G839" s="12">
        <f t="shared" si="112"/>
        <v>14.566259342222221</v>
      </c>
      <c r="H839" s="12">
        <f t="shared" si="113"/>
        <v>14.566259342222221</v>
      </c>
      <c r="I839" s="1" t="str">
        <f t="shared" si="114"/>
        <v>No</v>
      </c>
      <c r="J839" s="1" t="str">
        <f t="shared" si="115"/>
        <v>Si</v>
      </c>
      <c r="K839" s="1" t="str">
        <f t="shared" si="116"/>
        <v/>
      </c>
    </row>
    <row r="840" spans="1:11" x14ac:dyDescent="0.3">
      <c r="A840" s="1">
        <v>16</v>
      </c>
      <c r="B840" s="1">
        <v>6</v>
      </c>
      <c r="C840" s="12">
        <f t="shared" si="108"/>
        <v>-0.67500000000000004</v>
      </c>
      <c r="D840" s="12">
        <f t="shared" si="109"/>
        <v>-1.425</v>
      </c>
      <c r="E840" s="12">
        <f t="shared" si="110"/>
        <v>11.114168689777776</v>
      </c>
      <c r="F840" s="12">
        <f t="shared" si="111"/>
        <v>11.114168689777776</v>
      </c>
      <c r="G840" s="12">
        <f t="shared" si="112"/>
        <v>14.562754986666667</v>
      </c>
      <c r="H840" s="12">
        <f t="shared" si="113"/>
        <v>14.562754986666667</v>
      </c>
      <c r="I840" s="1" t="str">
        <f t="shared" si="114"/>
        <v>No</v>
      </c>
      <c r="J840" s="1" t="str">
        <f t="shared" si="115"/>
        <v>Si</v>
      </c>
      <c r="K840" s="1" t="str">
        <f t="shared" si="116"/>
        <v/>
      </c>
    </row>
    <row r="841" spans="1:11" x14ac:dyDescent="0.3">
      <c r="A841" s="1">
        <v>16</v>
      </c>
      <c r="B841" s="1">
        <v>7</v>
      </c>
      <c r="C841" s="12">
        <f t="shared" si="108"/>
        <v>-0.67500000000000004</v>
      </c>
      <c r="D841" s="12">
        <f t="shared" si="109"/>
        <v>-1.35</v>
      </c>
      <c r="E841" s="12">
        <f t="shared" si="110"/>
        <v>11.111680597333333</v>
      </c>
      <c r="F841" s="12">
        <f t="shared" si="111"/>
        <v>11.111680597333333</v>
      </c>
      <c r="G841" s="12">
        <f t="shared" si="112"/>
        <v>14.559250631111111</v>
      </c>
      <c r="H841" s="12">
        <f t="shared" si="113"/>
        <v>14.559250631111111</v>
      </c>
      <c r="I841" s="1" t="str">
        <f t="shared" si="114"/>
        <v>No</v>
      </c>
      <c r="J841" s="1" t="str">
        <f t="shared" si="115"/>
        <v>Si</v>
      </c>
      <c r="K841" s="1" t="str">
        <f t="shared" si="116"/>
        <v/>
      </c>
    </row>
    <row r="842" spans="1:11" x14ac:dyDescent="0.3">
      <c r="A842" s="1">
        <v>16</v>
      </c>
      <c r="B842" s="1">
        <v>8</v>
      </c>
      <c r="C842" s="12">
        <f t="shared" si="108"/>
        <v>-0.67500000000000004</v>
      </c>
      <c r="D842" s="12">
        <f t="shared" si="109"/>
        <v>-1.2749999999999999</v>
      </c>
      <c r="E842" s="12">
        <f t="shared" si="110"/>
        <v>11.109192504888888</v>
      </c>
      <c r="F842" s="12">
        <f t="shared" si="111"/>
        <v>11.109192504888888</v>
      </c>
      <c r="G842" s="12">
        <f t="shared" si="112"/>
        <v>14.555746275555554</v>
      </c>
      <c r="H842" s="12">
        <f t="shared" si="113"/>
        <v>14.555746275555554</v>
      </c>
      <c r="I842" s="1" t="str">
        <f t="shared" si="114"/>
        <v>No</v>
      </c>
      <c r="J842" s="1" t="str">
        <f t="shared" si="115"/>
        <v>Si</v>
      </c>
      <c r="K842" s="1" t="str">
        <f t="shared" si="116"/>
        <v/>
      </c>
    </row>
    <row r="843" spans="1:11" x14ac:dyDescent="0.3">
      <c r="A843" s="1">
        <v>16</v>
      </c>
      <c r="B843" s="1">
        <v>9</v>
      </c>
      <c r="C843" s="12">
        <f t="shared" si="108"/>
        <v>-0.67500000000000004</v>
      </c>
      <c r="D843" s="12">
        <f t="shared" si="109"/>
        <v>-1.2</v>
      </c>
      <c r="E843" s="12">
        <f t="shared" si="110"/>
        <v>11.106704412444444</v>
      </c>
      <c r="F843" s="12">
        <f t="shared" si="111"/>
        <v>11.106704412444444</v>
      </c>
      <c r="G843" s="12">
        <f t="shared" si="112"/>
        <v>14.552241919999998</v>
      </c>
      <c r="H843" s="12">
        <f t="shared" si="113"/>
        <v>14.552241919999998</v>
      </c>
      <c r="I843" s="1" t="str">
        <f t="shared" si="114"/>
        <v>No</v>
      </c>
      <c r="J843" s="1" t="str">
        <f t="shared" si="115"/>
        <v>Si</v>
      </c>
      <c r="K843" s="1" t="str">
        <f t="shared" si="116"/>
        <v/>
      </c>
    </row>
    <row r="844" spans="1:11" x14ac:dyDescent="0.3">
      <c r="A844" s="1">
        <v>16</v>
      </c>
      <c r="B844" s="1">
        <v>10</v>
      </c>
      <c r="C844" s="12">
        <f t="shared" si="108"/>
        <v>-0.67500000000000004</v>
      </c>
      <c r="D844" s="12">
        <f t="shared" si="109"/>
        <v>-1.125</v>
      </c>
      <c r="E844" s="12">
        <f t="shared" si="110"/>
        <v>11.104216319999999</v>
      </c>
      <c r="F844" s="12">
        <f t="shared" si="111"/>
        <v>11.104216319999999</v>
      </c>
      <c r="G844" s="12">
        <f t="shared" si="112"/>
        <v>14.548737564444444</v>
      </c>
      <c r="H844" s="12">
        <f t="shared" si="113"/>
        <v>14.548737564444444</v>
      </c>
      <c r="I844" s="1" t="str">
        <f t="shared" si="114"/>
        <v>No</v>
      </c>
      <c r="J844" s="1" t="str">
        <f t="shared" si="115"/>
        <v>Si</v>
      </c>
      <c r="K844" s="1" t="str">
        <f t="shared" si="116"/>
        <v/>
      </c>
    </row>
    <row r="845" spans="1:11" x14ac:dyDescent="0.3">
      <c r="A845" s="1">
        <v>16</v>
      </c>
      <c r="B845" s="1">
        <v>11</v>
      </c>
      <c r="C845" s="12">
        <f t="shared" si="108"/>
        <v>-0.67500000000000004</v>
      </c>
      <c r="D845" s="12">
        <f t="shared" si="109"/>
        <v>-1.05</v>
      </c>
      <c r="E845" s="12">
        <f t="shared" si="110"/>
        <v>11.101728227555554</v>
      </c>
      <c r="F845" s="12">
        <f t="shared" si="111"/>
        <v>11.101728227555554</v>
      </c>
      <c r="G845" s="12">
        <f t="shared" si="112"/>
        <v>14.545233208888888</v>
      </c>
      <c r="H845" s="12">
        <f t="shared" si="113"/>
        <v>14.545233208888888</v>
      </c>
      <c r="I845" s="1" t="str">
        <f t="shared" si="114"/>
        <v>No</v>
      </c>
      <c r="J845" s="1" t="str">
        <f t="shared" si="115"/>
        <v>Si</v>
      </c>
      <c r="K845" s="1" t="str">
        <f t="shared" si="116"/>
        <v/>
      </c>
    </row>
    <row r="846" spans="1:11" x14ac:dyDescent="0.3">
      <c r="A846" s="1">
        <v>16</v>
      </c>
      <c r="B846" s="1">
        <v>12</v>
      </c>
      <c r="C846" s="12">
        <f t="shared" si="108"/>
        <v>-0.67500000000000004</v>
      </c>
      <c r="D846" s="12">
        <f t="shared" si="109"/>
        <v>-0.97499999999999998</v>
      </c>
      <c r="E846" s="12">
        <f t="shared" si="110"/>
        <v>11.09924013511111</v>
      </c>
      <c r="F846" s="12">
        <f t="shared" si="111"/>
        <v>11.09924013511111</v>
      </c>
      <c r="G846" s="12">
        <f t="shared" si="112"/>
        <v>14.541728853333332</v>
      </c>
      <c r="H846" s="12">
        <f t="shared" si="113"/>
        <v>14.541728853333332</v>
      </c>
      <c r="I846" s="1" t="str">
        <f t="shared" si="114"/>
        <v>No</v>
      </c>
      <c r="J846" s="1" t="str">
        <f t="shared" si="115"/>
        <v>Si</v>
      </c>
      <c r="K846" s="1" t="str">
        <f t="shared" si="116"/>
        <v/>
      </c>
    </row>
    <row r="847" spans="1:11" x14ac:dyDescent="0.3">
      <c r="A847" s="1">
        <v>16</v>
      </c>
      <c r="B847" s="1">
        <v>13</v>
      </c>
      <c r="C847" s="12">
        <f t="shared" si="108"/>
        <v>-0.67500000000000004</v>
      </c>
      <c r="D847" s="12">
        <f t="shared" si="109"/>
        <v>-0.9</v>
      </c>
      <c r="E847" s="12">
        <f t="shared" si="110"/>
        <v>11.096752042666665</v>
      </c>
      <c r="F847" s="12">
        <f t="shared" si="111"/>
        <v>11.096752042666665</v>
      </c>
      <c r="G847" s="12">
        <f t="shared" si="112"/>
        <v>14.538224497777778</v>
      </c>
      <c r="H847" s="12">
        <f t="shared" si="113"/>
        <v>14.538224497777778</v>
      </c>
      <c r="I847" s="1" t="str">
        <f t="shared" si="114"/>
        <v>No</v>
      </c>
      <c r="J847" s="1" t="str">
        <f t="shared" si="115"/>
        <v>Si</v>
      </c>
      <c r="K847" s="1" t="str">
        <f t="shared" si="116"/>
        <v/>
      </c>
    </row>
    <row r="848" spans="1:11" x14ac:dyDescent="0.3">
      <c r="A848" s="1">
        <v>16</v>
      </c>
      <c r="B848" s="1">
        <v>14</v>
      </c>
      <c r="C848" s="12">
        <f t="shared" si="108"/>
        <v>-0.67500000000000004</v>
      </c>
      <c r="D848" s="12">
        <f t="shared" si="109"/>
        <v>-0.82499999999999996</v>
      </c>
      <c r="E848" s="12">
        <f t="shared" si="110"/>
        <v>11.094263950222221</v>
      </c>
      <c r="F848" s="12">
        <f t="shared" si="111"/>
        <v>11.094263950222221</v>
      </c>
      <c r="G848" s="12">
        <f t="shared" si="112"/>
        <v>14.534720142222222</v>
      </c>
      <c r="H848" s="12">
        <f t="shared" si="113"/>
        <v>14.534720142222222</v>
      </c>
      <c r="I848" s="1" t="str">
        <f t="shared" si="114"/>
        <v>No</v>
      </c>
      <c r="J848" s="1" t="str">
        <f t="shared" si="115"/>
        <v>Si</v>
      </c>
      <c r="K848" s="1" t="str">
        <f t="shared" si="116"/>
        <v/>
      </c>
    </row>
    <row r="849" spans="1:11" x14ac:dyDescent="0.3">
      <c r="A849" s="1">
        <v>16</v>
      </c>
      <c r="B849" s="1">
        <v>15</v>
      </c>
      <c r="C849" s="12">
        <f t="shared" si="108"/>
        <v>-0.67500000000000004</v>
      </c>
      <c r="D849" s="12">
        <f t="shared" si="109"/>
        <v>-0.75</v>
      </c>
      <c r="E849" s="12">
        <f t="shared" si="110"/>
        <v>11.091775857777776</v>
      </c>
      <c r="F849" s="12">
        <f t="shared" si="111"/>
        <v>11.091775857777776</v>
      </c>
      <c r="G849" s="12">
        <f t="shared" si="112"/>
        <v>14.531215786666666</v>
      </c>
      <c r="H849" s="12">
        <f t="shared" si="113"/>
        <v>14.531215786666666</v>
      </c>
      <c r="I849" s="1" t="str">
        <f t="shared" si="114"/>
        <v>No</v>
      </c>
      <c r="J849" s="1" t="str">
        <f t="shared" si="115"/>
        <v>Si</v>
      </c>
      <c r="K849" s="1" t="str">
        <f t="shared" si="116"/>
        <v/>
      </c>
    </row>
    <row r="850" spans="1:11" x14ac:dyDescent="0.3">
      <c r="A850" s="1">
        <v>16</v>
      </c>
      <c r="B850" s="1">
        <v>16</v>
      </c>
      <c r="C850" s="12">
        <f t="shared" ref="C850:C913" si="117">IF(OR(A850&gt;inp_n_div_x,B850&gt;inp_n_div_y),"",-inp_bx/2+A850*inp_bx/inp_n_div_x)</f>
        <v>-0.67500000000000004</v>
      </c>
      <c r="D850" s="12">
        <f t="shared" ref="D850:D913" si="118">IF(C850="","",-inp_by/2+B850*inp_by/inp_n_div_y)</f>
        <v>-0.67500000000000004</v>
      </c>
      <c r="E850" s="12">
        <f t="shared" ref="E850:E913" si="119">IF(C850="","",res_srv_p_tot/geo_area+res_srv_mx_tot/geo_ix*D850+res_srv_my_tot/geo_iy*C850)</f>
        <v>11.089287765333331</v>
      </c>
      <c r="F850" s="12">
        <f t="shared" ref="F850:F913" si="120">IF(E850="","",MAX(0,E850))</f>
        <v>11.089287765333331</v>
      </c>
      <c r="G850" s="12">
        <f t="shared" ref="G850:G913" si="121">IF(C850="","",res_u_p_tot/geo_area+res_u_mx_tot/geo_ix*D850+res_u_my_tot/geo_iy*C850)</f>
        <v>14.52771143111111</v>
      </c>
      <c r="H850" s="12">
        <f t="shared" ref="H850:H913" si="122">IF(G850="","",MAX(0,G850))</f>
        <v>14.52771143111111</v>
      </c>
      <c r="I850" s="1" t="str">
        <f t="shared" ref="I850:I913" si="123">IF(C850="","",IF(AND(C850&gt;=inp_xc-inp_cx/2,C850&lt;=inp_xc+inp_cx/2,D850&gt;=inp_yc-inp_cy/2,D850&lt;=inp_yc+inp_cy/2),"Si","No"))</f>
        <v>No</v>
      </c>
      <c r="J850" s="1" t="str">
        <f t="shared" ref="J850:J913" si="124">IF(C850="","","Si")</f>
        <v>Si</v>
      </c>
      <c r="K850" s="1" t="str">
        <f t="shared" ref="K850:K913" si="125">IF(OR(E850&lt;0,G850&lt;0),"Presion negativa","")</f>
        <v/>
      </c>
    </row>
    <row r="851" spans="1:11" x14ac:dyDescent="0.3">
      <c r="A851" s="1">
        <v>16</v>
      </c>
      <c r="B851" s="1">
        <v>17</v>
      </c>
      <c r="C851" s="12">
        <f t="shared" si="117"/>
        <v>-0.67500000000000004</v>
      </c>
      <c r="D851" s="12">
        <f t="shared" si="118"/>
        <v>-0.60000000000000009</v>
      </c>
      <c r="E851" s="12">
        <f t="shared" si="119"/>
        <v>11.086799672888887</v>
      </c>
      <c r="F851" s="12">
        <f t="shared" si="120"/>
        <v>11.086799672888887</v>
      </c>
      <c r="G851" s="12">
        <f t="shared" si="121"/>
        <v>14.524207075555555</v>
      </c>
      <c r="H851" s="12">
        <f t="shared" si="122"/>
        <v>14.524207075555555</v>
      </c>
      <c r="I851" s="1" t="str">
        <f t="shared" si="123"/>
        <v>No</v>
      </c>
      <c r="J851" s="1" t="str">
        <f t="shared" si="124"/>
        <v>Si</v>
      </c>
      <c r="K851" s="1" t="str">
        <f t="shared" si="125"/>
        <v/>
      </c>
    </row>
    <row r="852" spans="1:11" x14ac:dyDescent="0.3">
      <c r="A852" s="1">
        <v>16</v>
      </c>
      <c r="B852" s="1">
        <v>18</v>
      </c>
      <c r="C852" s="12">
        <f t="shared" si="117"/>
        <v>-0.67500000000000004</v>
      </c>
      <c r="D852" s="12">
        <f t="shared" si="118"/>
        <v>-0.52499999999999991</v>
      </c>
      <c r="E852" s="12">
        <f t="shared" si="119"/>
        <v>11.084311580444442</v>
      </c>
      <c r="F852" s="12">
        <f t="shared" si="120"/>
        <v>11.084311580444442</v>
      </c>
      <c r="G852" s="12">
        <f t="shared" si="121"/>
        <v>14.520702719999999</v>
      </c>
      <c r="H852" s="12">
        <f t="shared" si="122"/>
        <v>14.520702719999999</v>
      </c>
      <c r="I852" s="1" t="str">
        <f t="shared" si="123"/>
        <v>No</v>
      </c>
      <c r="J852" s="1" t="str">
        <f t="shared" si="124"/>
        <v>Si</v>
      </c>
      <c r="K852" s="1" t="str">
        <f t="shared" si="125"/>
        <v/>
      </c>
    </row>
    <row r="853" spans="1:11" x14ac:dyDescent="0.3">
      <c r="A853" s="1">
        <v>16</v>
      </c>
      <c r="B853" s="1">
        <v>19</v>
      </c>
      <c r="C853" s="12">
        <f t="shared" si="117"/>
        <v>-0.67500000000000004</v>
      </c>
      <c r="D853" s="12">
        <f t="shared" si="118"/>
        <v>-0.44999999999999996</v>
      </c>
      <c r="E853" s="12">
        <f t="shared" si="119"/>
        <v>11.081823488</v>
      </c>
      <c r="F853" s="12">
        <f t="shared" si="120"/>
        <v>11.081823488</v>
      </c>
      <c r="G853" s="12">
        <f t="shared" si="121"/>
        <v>14.517198364444443</v>
      </c>
      <c r="H853" s="12">
        <f t="shared" si="122"/>
        <v>14.517198364444443</v>
      </c>
      <c r="I853" s="1" t="str">
        <f t="shared" si="123"/>
        <v>No</v>
      </c>
      <c r="J853" s="1" t="str">
        <f t="shared" si="124"/>
        <v>Si</v>
      </c>
      <c r="K853" s="1" t="str">
        <f t="shared" si="125"/>
        <v/>
      </c>
    </row>
    <row r="854" spans="1:11" x14ac:dyDescent="0.3">
      <c r="A854" s="1">
        <v>16</v>
      </c>
      <c r="B854" s="1">
        <v>20</v>
      </c>
      <c r="C854" s="12">
        <f t="shared" si="117"/>
        <v>-0.67500000000000004</v>
      </c>
      <c r="D854" s="12">
        <f t="shared" si="118"/>
        <v>-0.375</v>
      </c>
      <c r="E854" s="12">
        <f t="shared" si="119"/>
        <v>11.079335395555555</v>
      </c>
      <c r="F854" s="12">
        <f t="shared" si="120"/>
        <v>11.079335395555555</v>
      </c>
      <c r="G854" s="12">
        <f t="shared" si="121"/>
        <v>14.513694008888889</v>
      </c>
      <c r="H854" s="12">
        <f t="shared" si="122"/>
        <v>14.513694008888889</v>
      </c>
      <c r="I854" s="1" t="str">
        <f t="shared" si="123"/>
        <v>No</v>
      </c>
      <c r="J854" s="1" t="str">
        <f t="shared" si="124"/>
        <v>Si</v>
      </c>
      <c r="K854" s="1" t="str">
        <f t="shared" si="125"/>
        <v/>
      </c>
    </row>
    <row r="855" spans="1:11" x14ac:dyDescent="0.3">
      <c r="A855" s="1">
        <v>16</v>
      </c>
      <c r="B855" s="1">
        <v>21</v>
      </c>
      <c r="C855" s="12">
        <f t="shared" si="117"/>
        <v>-0.67500000000000004</v>
      </c>
      <c r="D855" s="12">
        <f t="shared" si="118"/>
        <v>-0.30000000000000004</v>
      </c>
      <c r="E855" s="12">
        <f t="shared" si="119"/>
        <v>11.07684730311111</v>
      </c>
      <c r="F855" s="12">
        <f t="shared" si="120"/>
        <v>11.07684730311111</v>
      </c>
      <c r="G855" s="12">
        <f t="shared" si="121"/>
        <v>14.510189653333333</v>
      </c>
      <c r="H855" s="12">
        <f t="shared" si="122"/>
        <v>14.510189653333333</v>
      </c>
      <c r="I855" s="1" t="str">
        <f t="shared" si="123"/>
        <v>No</v>
      </c>
      <c r="J855" s="1" t="str">
        <f t="shared" si="124"/>
        <v>Si</v>
      </c>
      <c r="K855" s="1" t="str">
        <f t="shared" si="125"/>
        <v/>
      </c>
    </row>
    <row r="856" spans="1:11" x14ac:dyDescent="0.3">
      <c r="A856" s="1">
        <v>16</v>
      </c>
      <c r="B856" s="1">
        <v>22</v>
      </c>
      <c r="C856" s="12">
        <f t="shared" si="117"/>
        <v>-0.67500000000000004</v>
      </c>
      <c r="D856" s="12">
        <f t="shared" si="118"/>
        <v>-0.22500000000000009</v>
      </c>
      <c r="E856" s="12">
        <f t="shared" si="119"/>
        <v>11.074359210666666</v>
      </c>
      <c r="F856" s="12">
        <f t="shared" si="120"/>
        <v>11.074359210666666</v>
      </c>
      <c r="G856" s="12">
        <f t="shared" si="121"/>
        <v>14.506685297777777</v>
      </c>
      <c r="H856" s="12">
        <f t="shared" si="122"/>
        <v>14.506685297777777</v>
      </c>
      <c r="I856" s="1" t="str">
        <f t="shared" si="123"/>
        <v>No</v>
      </c>
      <c r="J856" s="1" t="str">
        <f t="shared" si="124"/>
        <v>Si</v>
      </c>
      <c r="K856" s="1" t="str">
        <f t="shared" si="125"/>
        <v/>
      </c>
    </row>
    <row r="857" spans="1:11" x14ac:dyDescent="0.3">
      <c r="A857" s="1">
        <v>16</v>
      </c>
      <c r="B857" s="1">
        <v>23</v>
      </c>
      <c r="C857" s="12">
        <f t="shared" si="117"/>
        <v>-0.67500000000000004</v>
      </c>
      <c r="D857" s="12">
        <f t="shared" si="118"/>
        <v>-0.14999999999999991</v>
      </c>
      <c r="E857" s="12">
        <f t="shared" si="119"/>
        <v>11.071871118222221</v>
      </c>
      <c r="F857" s="12">
        <f t="shared" si="120"/>
        <v>11.071871118222221</v>
      </c>
      <c r="G857" s="12">
        <f t="shared" si="121"/>
        <v>14.503180942222221</v>
      </c>
      <c r="H857" s="12">
        <f t="shared" si="122"/>
        <v>14.503180942222221</v>
      </c>
      <c r="I857" s="1" t="str">
        <f t="shared" si="123"/>
        <v>No</v>
      </c>
      <c r="J857" s="1" t="str">
        <f t="shared" si="124"/>
        <v>Si</v>
      </c>
      <c r="K857" s="1" t="str">
        <f t="shared" si="125"/>
        <v/>
      </c>
    </row>
    <row r="858" spans="1:11" x14ac:dyDescent="0.3">
      <c r="A858" s="1">
        <v>16</v>
      </c>
      <c r="B858" s="1">
        <v>24</v>
      </c>
      <c r="C858" s="12">
        <f t="shared" si="117"/>
        <v>-0.67500000000000004</v>
      </c>
      <c r="D858" s="12">
        <f t="shared" si="118"/>
        <v>-7.4999999999999956E-2</v>
      </c>
      <c r="E858" s="12">
        <f t="shared" si="119"/>
        <v>11.069383025777777</v>
      </c>
      <c r="F858" s="12">
        <f t="shared" si="120"/>
        <v>11.069383025777777</v>
      </c>
      <c r="G858" s="12">
        <f t="shared" si="121"/>
        <v>14.499676586666666</v>
      </c>
      <c r="H858" s="12">
        <f t="shared" si="122"/>
        <v>14.499676586666666</v>
      </c>
      <c r="I858" s="1" t="str">
        <f t="shared" si="123"/>
        <v>No</v>
      </c>
      <c r="J858" s="1" t="str">
        <f t="shared" si="124"/>
        <v>Si</v>
      </c>
      <c r="K858" s="1" t="str">
        <f t="shared" si="125"/>
        <v/>
      </c>
    </row>
    <row r="859" spans="1:11" x14ac:dyDescent="0.3">
      <c r="A859" s="1">
        <v>16</v>
      </c>
      <c r="B859" s="1">
        <v>25</v>
      </c>
      <c r="C859" s="12">
        <f t="shared" si="117"/>
        <v>-0.67500000000000004</v>
      </c>
      <c r="D859" s="12">
        <f t="shared" si="118"/>
        <v>0</v>
      </c>
      <c r="E859" s="12">
        <f t="shared" si="119"/>
        <v>11.066894933333332</v>
      </c>
      <c r="F859" s="12">
        <f t="shared" si="120"/>
        <v>11.066894933333332</v>
      </c>
      <c r="G859" s="12">
        <f t="shared" si="121"/>
        <v>14.49617223111111</v>
      </c>
      <c r="H859" s="12">
        <f t="shared" si="122"/>
        <v>14.49617223111111</v>
      </c>
      <c r="I859" s="1" t="str">
        <f t="shared" si="123"/>
        <v>No</v>
      </c>
      <c r="J859" s="1" t="str">
        <f t="shared" si="124"/>
        <v>Si</v>
      </c>
      <c r="K859" s="1" t="str">
        <f t="shared" si="125"/>
        <v/>
      </c>
    </row>
    <row r="860" spans="1:11" x14ac:dyDescent="0.3">
      <c r="A860" s="1">
        <v>16</v>
      </c>
      <c r="B860" s="1">
        <v>26</v>
      </c>
      <c r="C860" s="12">
        <f t="shared" si="117"/>
        <v>-0.67500000000000004</v>
      </c>
      <c r="D860" s="12">
        <f t="shared" si="118"/>
        <v>7.4999999999999956E-2</v>
      </c>
      <c r="E860" s="12">
        <f t="shared" si="119"/>
        <v>11.064406840888887</v>
      </c>
      <c r="F860" s="12">
        <f t="shared" si="120"/>
        <v>11.064406840888887</v>
      </c>
      <c r="G860" s="12">
        <f t="shared" si="121"/>
        <v>14.492667875555554</v>
      </c>
      <c r="H860" s="12">
        <f t="shared" si="122"/>
        <v>14.492667875555554</v>
      </c>
      <c r="I860" s="1" t="str">
        <f t="shared" si="123"/>
        <v>No</v>
      </c>
      <c r="J860" s="1" t="str">
        <f t="shared" si="124"/>
        <v>Si</v>
      </c>
      <c r="K860" s="1" t="str">
        <f t="shared" si="125"/>
        <v/>
      </c>
    </row>
    <row r="861" spans="1:11" x14ac:dyDescent="0.3">
      <c r="A861" s="1">
        <v>16</v>
      </c>
      <c r="B861" s="1">
        <v>27</v>
      </c>
      <c r="C861" s="12">
        <f t="shared" si="117"/>
        <v>-0.67500000000000004</v>
      </c>
      <c r="D861" s="12">
        <f t="shared" si="118"/>
        <v>0.14999999999999991</v>
      </c>
      <c r="E861" s="12">
        <f t="shared" si="119"/>
        <v>11.061918748444443</v>
      </c>
      <c r="F861" s="12">
        <f t="shared" si="120"/>
        <v>11.061918748444443</v>
      </c>
      <c r="G861" s="12">
        <f t="shared" si="121"/>
        <v>14.48916352</v>
      </c>
      <c r="H861" s="12">
        <f t="shared" si="122"/>
        <v>14.48916352</v>
      </c>
      <c r="I861" s="1" t="str">
        <f t="shared" si="123"/>
        <v>No</v>
      </c>
      <c r="J861" s="1" t="str">
        <f t="shared" si="124"/>
        <v>Si</v>
      </c>
      <c r="K861" s="1" t="str">
        <f t="shared" si="125"/>
        <v/>
      </c>
    </row>
    <row r="862" spans="1:11" x14ac:dyDescent="0.3">
      <c r="A862" s="1">
        <v>16</v>
      </c>
      <c r="B862" s="1">
        <v>28</v>
      </c>
      <c r="C862" s="12">
        <f t="shared" si="117"/>
        <v>-0.67500000000000004</v>
      </c>
      <c r="D862" s="12">
        <f t="shared" si="118"/>
        <v>0.22500000000000009</v>
      </c>
      <c r="E862" s="12">
        <f t="shared" si="119"/>
        <v>11.059430655999998</v>
      </c>
      <c r="F862" s="12">
        <f t="shared" si="120"/>
        <v>11.059430655999998</v>
      </c>
      <c r="G862" s="12">
        <f t="shared" si="121"/>
        <v>14.485659164444444</v>
      </c>
      <c r="H862" s="12">
        <f t="shared" si="122"/>
        <v>14.485659164444444</v>
      </c>
      <c r="I862" s="1" t="str">
        <f t="shared" si="123"/>
        <v>No</v>
      </c>
      <c r="J862" s="1" t="str">
        <f t="shared" si="124"/>
        <v>Si</v>
      </c>
      <c r="K862" s="1" t="str">
        <f t="shared" si="125"/>
        <v/>
      </c>
    </row>
    <row r="863" spans="1:11" x14ac:dyDescent="0.3">
      <c r="A863" s="1">
        <v>16</v>
      </c>
      <c r="B863" s="1">
        <v>29</v>
      </c>
      <c r="C863" s="12">
        <f t="shared" si="117"/>
        <v>-0.67500000000000004</v>
      </c>
      <c r="D863" s="12">
        <f t="shared" si="118"/>
        <v>0.29999999999999982</v>
      </c>
      <c r="E863" s="12">
        <f t="shared" si="119"/>
        <v>11.056942563555554</v>
      </c>
      <c r="F863" s="12">
        <f t="shared" si="120"/>
        <v>11.056942563555554</v>
      </c>
      <c r="G863" s="12">
        <f t="shared" si="121"/>
        <v>14.482154808888888</v>
      </c>
      <c r="H863" s="12">
        <f t="shared" si="122"/>
        <v>14.482154808888888</v>
      </c>
      <c r="I863" s="1" t="str">
        <f t="shared" si="123"/>
        <v>No</v>
      </c>
      <c r="J863" s="1" t="str">
        <f t="shared" si="124"/>
        <v>Si</v>
      </c>
      <c r="K863" s="1" t="str">
        <f t="shared" si="125"/>
        <v/>
      </c>
    </row>
    <row r="864" spans="1:11" x14ac:dyDescent="0.3">
      <c r="A864" s="1">
        <v>16</v>
      </c>
      <c r="B864" s="1">
        <v>30</v>
      </c>
      <c r="C864" s="12">
        <f t="shared" si="117"/>
        <v>-0.67500000000000004</v>
      </c>
      <c r="D864" s="12">
        <f t="shared" si="118"/>
        <v>0.375</v>
      </c>
      <c r="E864" s="12">
        <f t="shared" si="119"/>
        <v>11.054454471111109</v>
      </c>
      <c r="F864" s="12">
        <f t="shared" si="120"/>
        <v>11.054454471111109</v>
      </c>
      <c r="G864" s="12">
        <f t="shared" si="121"/>
        <v>14.478650453333332</v>
      </c>
      <c r="H864" s="12">
        <f t="shared" si="122"/>
        <v>14.478650453333332</v>
      </c>
      <c r="I864" s="1" t="str">
        <f t="shared" si="123"/>
        <v>No</v>
      </c>
      <c r="J864" s="1" t="str">
        <f t="shared" si="124"/>
        <v>Si</v>
      </c>
      <c r="K864" s="1" t="str">
        <f t="shared" si="125"/>
        <v/>
      </c>
    </row>
    <row r="865" spans="1:11" x14ac:dyDescent="0.3">
      <c r="A865" s="1">
        <v>16</v>
      </c>
      <c r="B865" s="1">
        <v>31</v>
      </c>
      <c r="C865" s="12">
        <f t="shared" si="117"/>
        <v>-0.67500000000000004</v>
      </c>
      <c r="D865" s="12">
        <f t="shared" si="118"/>
        <v>0.45000000000000018</v>
      </c>
      <c r="E865" s="12">
        <f t="shared" si="119"/>
        <v>11.051966378666664</v>
      </c>
      <c r="F865" s="12">
        <f t="shared" si="120"/>
        <v>11.051966378666664</v>
      </c>
      <c r="G865" s="12">
        <f t="shared" si="121"/>
        <v>14.475146097777777</v>
      </c>
      <c r="H865" s="12">
        <f t="shared" si="122"/>
        <v>14.475146097777777</v>
      </c>
      <c r="I865" s="1" t="str">
        <f t="shared" si="123"/>
        <v>No</v>
      </c>
      <c r="J865" s="1" t="str">
        <f t="shared" si="124"/>
        <v>Si</v>
      </c>
      <c r="K865" s="1" t="str">
        <f t="shared" si="125"/>
        <v/>
      </c>
    </row>
    <row r="866" spans="1:11" x14ac:dyDescent="0.3">
      <c r="A866" s="1">
        <v>16</v>
      </c>
      <c r="B866" s="1">
        <v>32</v>
      </c>
      <c r="C866" s="12">
        <f t="shared" si="117"/>
        <v>-0.67500000000000004</v>
      </c>
      <c r="D866" s="12">
        <f t="shared" si="118"/>
        <v>0.52499999999999991</v>
      </c>
      <c r="E866" s="12">
        <f t="shared" si="119"/>
        <v>11.049478286222222</v>
      </c>
      <c r="F866" s="12">
        <f t="shared" si="120"/>
        <v>11.049478286222222</v>
      </c>
      <c r="G866" s="12">
        <f t="shared" si="121"/>
        <v>14.471641742222221</v>
      </c>
      <c r="H866" s="12">
        <f t="shared" si="122"/>
        <v>14.471641742222221</v>
      </c>
      <c r="I866" s="1" t="str">
        <f t="shared" si="123"/>
        <v>No</v>
      </c>
      <c r="J866" s="1" t="str">
        <f t="shared" si="124"/>
        <v>Si</v>
      </c>
      <c r="K866" s="1" t="str">
        <f t="shared" si="125"/>
        <v/>
      </c>
    </row>
    <row r="867" spans="1:11" x14ac:dyDescent="0.3">
      <c r="A867" s="1">
        <v>16</v>
      </c>
      <c r="B867" s="1">
        <v>33</v>
      </c>
      <c r="C867" s="12">
        <f t="shared" si="117"/>
        <v>-0.67500000000000004</v>
      </c>
      <c r="D867" s="12">
        <f t="shared" si="118"/>
        <v>0.60000000000000009</v>
      </c>
      <c r="E867" s="12">
        <f t="shared" si="119"/>
        <v>11.046990193777777</v>
      </c>
      <c r="F867" s="12">
        <f t="shared" si="120"/>
        <v>11.046990193777777</v>
      </c>
      <c r="G867" s="12">
        <f t="shared" si="121"/>
        <v>14.468137386666665</v>
      </c>
      <c r="H867" s="12">
        <f t="shared" si="122"/>
        <v>14.468137386666665</v>
      </c>
      <c r="I867" s="1" t="str">
        <f t="shared" si="123"/>
        <v>No</v>
      </c>
      <c r="J867" s="1" t="str">
        <f t="shared" si="124"/>
        <v>Si</v>
      </c>
      <c r="K867" s="1" t="str">
        <f t="shared" si="125"/>
        <v/>
      </c>
    </row>
    <row r="868" spans="1:11" x14ac:dyDescent="0.3">
      <c r="A868" s="1">
        <v>16</v>
      </c>
      <c r="B868" s="1">
        <v>34</v>
      </c>
      <c r="C868" s="12">
        <f t="shared" si="117"/>
        <v>-0.67500000000000004</v>
      </c>
      <c r="D868" s="12">
        <f t="shared" si="118"/>
        <v>0.67499999999999982</v>
      </c>
      <c r="E868" s="12">
        <f t="shared" si="119"/>
        <v>11.044502101333332</v>
      </c>
      <c r="F868" s="12">
        <f t="shared" si="120"/>
        <v>11.044502101333332</v>
      </c>
      <c r="G868" s="12">
        <f t="shared" si="121"/>
        <v>14.464633031111111</v>
      </c>
      <c r="H868" s="12">
        <f t="shared" si="122"/>
        <v>14.464633031111111</v>
      </c>
      <c r="I868" s="1" t="str">
        <f t="shared" si="123"/>
        <v>No</v>
      </c>
      <c r="J868" s="1" t="str">
        <f t="shared" si="124"/>
        <v>Si</v>
      </c>
      <c r="K868" s="1" t="str">
        <f t="shared" si="125"/>
        <v/>
      </c>
    </row>
    <row r="869" spans="1:11" x14ac:dyDescent="0.3">
      <c r="A869" s="1">
        <v>16</v>
      </c>
      <c r="B869" s="1">
        <v>35</v>
      </c>
      <c r="C869" s="12">
        <f t="shared" si="117"/>
        <v>-0.67500000000000004</v>
      </c>
      <c r="D869" s="12">
        <f t="shared" si="118"/>
        <v>0.75</v>
      </c>
      <c r="E869" s="12">
        <f t="shared" si="119"/>
        <v>11.042014008888888</v>
      </c>
      <c r="F869" s="12">
        <f t="shared" si="120"/>
        <v>11.042014008888888</v>
      </c>
      <c r="G869" s="12">
        <f t="shared" si="121"/>
        <v>14.461128675555555</v>
      </c>
      <c r="H869" s="12">
        <f t="shared" si="122"/>
        <v>14.461128675555555</v>
      </c>
      <c r="I869" s="1" t="str">
        <f t="shared" si="123"/>
        <v>No</v>
      </c>
      <c r="J869" s="1" t="str">
        <f t="shared" si="124"/>
        <v>Si</v>
      </c>
      <c r="K869" s="1" t="str">
        <f t="shared" si="125"/>
        <v/>
      </c>
    </row>
    <row r="870" spans="1:11" x14ac:dyDescent="0.3">
      <c r="A870" s="1">
        <v>16</v>
      </c>
      <c r="B870" s="1">
        <v>36</v>
      </c>
      <c r="C870" s="12">
        <f t="shared" si="117"/>
        <v>-0.67500000000000004</v>
      </c>
      <c r="D870" s="12">
        <f t="shared" si="118"/>
        <v>0.82500000000000018</v>
      </c>
      <c r="E870" s="12">
        <f t="shared" si="119"/>
        <v>11.039525916444443</v>
      </c>
      <c r="F870" s="12">
        <f t="shared" si="120"/>
        <v>11.039525916444443</v>
      </c>
      <c r="G870" s="12">
        <f t="shared" si="121"/>
        <v>14.457624319999999</v>
      </c>
      <c r="H870" s="12">
        <f t="shared" si="122"/>
        <v>14.457624319999999</v>
      </c>
      <c r="I870" s="1" t="str">
        <f t="shared" si="123"/>
        <v>No</v>
      </c>
      <c r="J870" s="1" t="str">
        <f t="shared" si="124"/>
        <v>Si</v>
      </c>
      <c r="K870" s="1" t="str">
        <f t="shared" si="125"/>
        <v/>
      </c>
    </row>
    <row r="871" spans="1:11" x14ac:dyDescent="0.3">
      <c r="A871" s="1">
        <v>16</v>
      </c>
      <c r="B871" s="1">
        <v>37</v>
      </c>
      <c r="C871" s="12">
        <f t="shared" si="117"/>
        <v>-0.67500000000000004</v>
      </c>
      <c r="D871" s="12">
        <f t="shared" si="118"/>
        <v>0.89999999999999991</v>
      </c>
      <c r="E871" s="12">
        <f t="shared" si="119"/>
        <v>11.037037823999999</v>
      </c>
      <c r="F871" s="12">
        <f t="shared" si="120"/>
        <v>11.037037823999999</v>
      </c>
      <c r="G871" s="12">
        <f t="shared" si="121"/>
        <v>14.454119964444443</v>
      </c>
      <c r="H871" s="12">
        <f t="shared" si="122"/>
        <v>14.454119964444443</v>
      </c>
      <c r="I871" s="1" t="str">
        <f t="shared" si="123"/>
        <v>No</v>
      </c>
      <c r="J871" s="1" t="str">
        <f t="shared" si="124"/>
        <v>Si</v>
      </c>
      <c r="K871" s="1" t="str">
        <f t="shared" si="125"/>
        <v/>
      </c>
    </row>
    <row r="872" spans="1:11" x14ac:dyDescent="0.3">
      <c r="A872" s="1">
        <v>16</v>
      </c>
      <c r="B872" s="1">
        <v>38</v>
      </c>
      <c r="C872" s="12">
        <f t="shared" si="117"/>
        <v>-0.67500000000000004</v>
      </c>
      <c r="D872" s="12">
        <f t="shared" si="118"/>
        <v>0.97500000000000009</v>
      </c>
      <c r="E872" s="12">
        <f t="shared" si="119"/>
        <v>11.034549731555554</v>
      </c>
      <c r="F872" s="12">
        <f t="shared" si="120"/>
        <v>11.034549731555554</v>
      </c>
      <c r="G872" s="12">
        <f t="shared" si="121"/>
        <v>14.450615608888889</v>
      </c>
      <c r="H872" s="12">
        <f t="shared" si="122"/>
        <v>14.450615608888889</v>
      </c>
      <c r="I872" s="1" t="str">
        <f t="shared" si="123"/>
        <v>No</v>
      </c>
      <c r="J872" s="1" t="str">
        <f t="shared" si="124"/>
        <v>Si</v>
      </c>
      <c r="K872" s="1" t="str">
        <f t="shared" si="125"/>
        <v/>
      </c>
    </row>
    <row r="873" spans="1:11" x14ac:dyDescent="0.3">
      <c r="A873" s="1">
        <v>16</v>
      </c>
      <c r="B873" s="1">
        <v>39</v>
      </c>
      <c r="C873" s="12">
        <f t="shared" si="117"/>
        <v>-0.67500000000000004</v>
      </c>
      <c r="D873" s="12">
        <f t="shared" si="118"/>
        <v>1.0499999999999998</v>
      </c>
      <c r="E873" s="12">
        <f t="shared" si="119"/>
        <v>11.032061639111109</v>
      </c>
      <c r="F873" s="12">
        <f t="shared" si="120"/>
        <v>11.032061639111109</v>
      </c>
      <c r="G873" s="12">
        <f t="shared" si="121"/>
        <v>14.447111253333333</v>
      </c>
      <c r="H873" s="12">
        <f t="shared" si="122"/>
        <v>14.447111253333333</v>
      </c>
      <c r="I873" s="1" t="str">
        <f t="shared" si="123"/>
        <v>No</v>
      </c>
      <c r="J873" s="1" t="str">
        <f t="shared" si="124"/>
        <v>Si</v>
      </c>
      <c r="K873" s="1" t="str">
        <f t="shared" si="125"/>
        <v/>
      </c>
    </row>
    <row r="874" spans="1:11" x14ac:dyDescent="0.3">
      <c r="A874" s="1">
        <v>16</v>
      </c>
      <c r="B874" s="1">
        <v>40</v>
      </c>
      <c r="C874" s="12">
        <f t="shared" si="117"/>
        <v>-0.67500000000000004</v>
      </c>
      <c r="D874" s="12">
        <f t="shared" si="118"/>
        <v>1.125</v>
      </c>
      <c r="E874" s="12">
        <f t="shared" si="119"/>
        <v>11.029573546666665</v>
      </c>
      <c r="F874" s="12">
        <f t="shared" si="120"/>
        <v>11.029573546666665</v>
      </c>
      <c r="G874" s="12">
        <f t="shared" si="121"/>
        <v>14.443606897777777</v>
      </c>
      <c r="H874" s="12">
        <f t="shared" si="122"/>
        <v>14.443606897777777</v>
      </c>
      <c r="I874" s="1" t="str">
        <f t="shared" si="123"/>
        <v>No</v>
      </c>
      <c r="J874" s="1" t="str">
        <f t="shared" si="124"/>
        <v>Si</v>
      </c>
      <c r="K874" s="1" t="str">
        <f t="shared" si="125"/>
        <v/>
      </c>
    </row>
    <row r="875" spans="1:11" x14ac:dyDescent="0.3">
      <c r="A875" s="1">
        <v>16</v>
      </c>
      <c r="B875" s="1">
        <v>41</v>
      </c>
      <c r="C875" s="12">
        <f t="shared" si="117"/>
        <v>-0.67500000000000004</v>
      </c>
      <c r="D875" s="12">
        <f t="shared" si="118"/>
        <v>1.2000000000000002</v>
      </c>
      <c r="E875" s="12">
        <f t="shared" si="119"/>
        <v>11.02708545422222</v>
      </c>
      <c r="F875" s="12">
        <f t="shared" si="120"/>
        <v>11.02708545422222</v>
      </c>
      <c r="G875" s="12">
        <f t="shared" si="121"/>
        <v>14.440102542222222</v>
      </c>
      <c r="H875" s="12">
        <f t="shared" si="122"/>
        <v>14.440102542222222</v>
      </c>
      <c r="I875" s="1" t="str">
        <f t="shared" si="123"/>
        <v>No</v>
      </c>
      <c r="J875" s="1" t="str">
        <f t="shared" si="124"/>
        <v>Si</v>
      </c>
      <c r="K875" s="1" t="str">
        <f t="shared" si="125"/>
        <v/>
      </c>
    </row>
    <row r="876" spans="1:11" x14ac:dyDescent="0.3">
      <c r="A876" s="1">
        <v>16</v>
      </c>
      <c r="B876" s="1">
        <v>42</v>
      </c>
      <c r="C876" s="12">
        <f t="shared" si="117"/>
        <v>-0.67500000000000004</v>
      </c>
      <c r="D876" s="12">
        <f t="shared" si="118"/>
        <v>1.2749999999999999</v>
      </c>
      <c r="E876" s="12">
        <f t="shared" si="119"/>
        <v>11.024597361777776</v>
      </c>
      <c r="F876" s="12">
        <f t="shared" si="120"/>
        <v>11.024597361777776</v>
      </c>
      <c r="G876" s="12">
        <f t="shared" si="121"/>
        <v>14.436598186666666</v>
      </c>
      <c r="H876" s="12">
        <f t="shared" si="122"/>
        <v>14.436598186666666</v>
      </c>
      <c r="I876" s="1" t="str">
        <f t="shared" si="123"/>
        <v>No</v>
      </c>
      <c r="J876" s="1" t="str">
        <f t="shared" si="124"/>
        <v>Si</v>
      </c>
      <c r="K876" s="1" t="str">
        <f t="shared" si="125"/>
        <v/>
      </c>
    </row>
    <row r="877" spans="1:11" x14ac:dyDescent="0.3">
      <c r="A877" s="1">
        <v>16</v>
      </c>
      <c r="B877" s="1">
        <v>43</v>
      </c>
      <c r="C877" s="12">
        <f t="shared" si="117"/>
        <v>-0.67500000000000004</v>
      </c>
      <c r="D877" s="12">
        <f t="shared" si="118"/>
        <v>1.35</v>
      </c>
      <c r="E877" s="12">
        <f t="shared" si="119"/>
        <v>11.022109269333331</v>
      </c>
      <c r="F877" s="12">
        <f t="shared" si="120"/>
        <v>11.022109269333331</v>
      </c>
      <c r="G877" s="12">
        <f t="shared" si="121"/>
        <v>14.43309383111111</v>
      </c>
      <c r="H877" s="12">
        <f t="shared" si="122"/>
        <v>14.43309383111111</v>
      </c>
      <c r="I877" s="1" t="str">
        <f t="shared" si="123"/>
        <v>No</v>
      </c>
      <c r="J877" s="1" t="str">
        <f t="shared" si="124"/>
        <v>Si</v>
      </c>
      <c r="K877" s="1" t="str">
        <f t="shared" si="125"/>
        <v/>
      </c>
    </row>
    <row r="878" spans="1:11" x14ac:dyDescent="0.3">
      <c r="A878" s="1">
        <v>16</v>
      </c>
      <c r="B878" s="1">
        <v>44</v>
      </c>
      <c r="C878" s="12">
        <f t="shared" si="117"/>
        <v>-0.67500000000000004</v>
      </c>
      <c r="D878" s="12">
        <f t="shared" si="118"/>
        <v>1.4249999999999998</v>
      </c>
      <c r="E878" s="12">
        <f t="shared" si="119"/>
        <v>11.019621176888888</v>
      </c>
      <c r="F878" s="12">
        <f t="shared" si="120"/>
        <v>11.019621176888888</v>
      </c>
      <c r="G878" s="12">
        <f t="shared" si="121"/>
        <v>14.429589475555554</v>
      </c>
      <c r="H878" s="12">
        <f t="shared" si="122"/>
        <v>14.429589475555554</v>
      </c>
      <c r="I878" s="1" t="str">
        <f t="shared" si="123"/>
        <v>No</v>
      </c>
      <c r="J878" s="1" t="str">
        <f t="shared" si="124"/>
        <v>Si</v>
      </c>
      <c r="K878" s="1" t="str">
        <f t="shared" si="125"/>
        <v/>
      </c>
    </row>
    <row r="879" spans="1:11" x14ac:dyDescent="0.3">
      <c r="A879" s="1">
        <v>16</v>
      </c>
      <c r="B879" s="1">
        <v>45</v>
      </c>
      <c r="C879" s="12">
        <f t="shared" si="117"/>
        <v>-0.67500000000000004</v>
      </c>
      <c r="D879" s="12">
        <f t="shared" si="118"/>
        <v>1.5</v>
      </c>
      <c r="E879" s="12">
        <f t="shared" si="119"/>
        <v>11.017133084444444</v>
      </c>
      <c r="F879" s="12">
        <f t="shared" si="120"/>
        <v>11.017133084444444</v>
      </c>
      <c r="G879" s="12">
        <f t="shared" si="121"/>
        <v>14.42608512</v>
      </c>
      <c r="H879" s="12">
        <f t="shared" si="122"/>
        <v>14.42608512</v>
      </c>
      <c r="I879" s="1" t="str">
        <f t="shared" si="123"/>
        <v>No</v>
      </c>
      <c r="J879" s="1" t="str">
        <f t="shared" si="124"/>
        <v>Si</v>
      </c>
      <c r="K879" s="1" t="str">
        <f t="shared" si="125"/>
        <v/>
      </c>
    </row>
    <row r="880" spans="1:11" x14ac:dyDescent="0.3">
      <c r="A880" s="1">
        <v>16</v>
      </c>
      <c r="B880" s="1">
        <v>46</v>
      </c>
      <c r="C880" s="12">
        <f t="shared" si="117"/>
        <v>-0.67500000000000004</v>
      </c>
      <c r="D880" s="12">
        <f t="shared" si="118"/>
        <v>1.5750000000000002</v>
      </c>
      <c r="E880" s="12">
        <f t="shared" si="119"/>
        <v>11.014644991999999</v>
      </c>
      <c r="F880" s="12">
        <f t="shared" si="120"/>
        <v>11.014644991999999</v>
      </c>
      <c r="G880" s="12">
        <f t="shared" si="121"/>
        <v>14.422580764444444</v>
      </c>
      <c r="H880" s="12">
        <f t="shared" si="122"/>
        <v>14.422580764444444</v>
      </c>
      <c r="I880" s="1" t="str">
        <f t="shared" si="123"/>
        <v>No</v>
      </c>
      <c r="J880" s="1" t="str">
        <f t="shared" si="124"/>
        <v>Si</v>
      </c>
      <c r="K880" s="1" t="str">
        <f t="shared" si="125"/>
        <v/>
      </c>
    </row>
    <row r="881" spans="1:11" x14ac:dyDescent="0.3">
      <c r="A881" s="1">
        <v>16</v>
      </c>
      <c r="B881" s="1">
        <v>47</v>
      </c>
      <c r="C881" s="12">
        <f t="shared" si="117"/>
        <v>-0.67500000000000004</v>
      </c>
      <c r="D881" s="12">
        <f t="shared" si="118"/>
        <v>1.65</v>
      </c>
      <c r="E881" s="12">
        <f t="shared" si="119"/>
        <v>11.012156899555555</v>
      </c>
      <c r="F881" s="12">
        <f t="shared" si="120"/>
        <v>11.012156899555555</v>
      </c>
      <c r="G881" s="12">
        <f t="shared" si="121"/>
        <v>14.419076408888888</v>
      </c>
      <c r="H881" s="12">
        <f t="shared" si="122"/>
        <v>14.419076408888888</v>
      </c>
      <c r="I881" s="1" t="str">
        <f t="shared" si="123"/>
        <v>No</v>
      </c>
      <c r="J881" s="1" t="str">
        <f t="shared" si="124"/>
        <v>Si</v>
      </c>
      <c r="K881" s="1" t="str">
        <f t="shared" si="125"/>
        <v/>
      </c>
    </row>
    <row r="882" spans="1:11" x14ac:dyDescent="0.3">
      <c r="A882" s="1">
        <v>16</v>
      </c>
      <c r="B882" s="1">
        <v>48</v>
      </c>
      <c r="C882" s="12">
        <f t="shared" si="117"/>
        <v>-0.67500000000000004</v>
      </c>
      <c r="D882" s="12">
        <f t="shared" si="118"/>
        <v>1.7250000000000001</v>
      </c>
      <c r="E882" s="12">
        <f t="shared" si="119"/>
        <v>11.00966880711111</v>
      </c>
      <c r="F882" s="12">
        <f t="shared" si="120"/>
        <v>11.00966880711111</v>
      </c>
      <c r="G882" s="12">
        <f t="shared" si="121"/>
        <v>14.415572053333333</v>
      </c>
      <c r="H882" s="12">
        <f t="shared" si="122"/>
        <v>14.415572053333333</v>
      </c>
      <c r="I882" s="1" t="str">
        <f t="shared" si="123"/>
        <v>No</v>
      </c>
      <c r="J882" s="1" t="str">
        <f t="shared" si="124"/>
        <v>Si</v>
      </c>
      <c r="K882" s="1" t="str">
        <f t="shared" si="125"/>
        <v/>
      </c>
    </row>
    <row r="883" spans="1:11" x14ac:dyDescent="0.3">
      <c r="A883" s="1">
        <v>16</v>
      </c>
      <c r="B883" s="1">
        <v>49</v>
      </c>
      <c r="C883" s="12">
        <f t="shared" si="117"/>
        <v>-0.67500000000000004</v>
      </c>
      <c r="D883" s="12">
        <f t="shared" si="118"/>
        <v>1.7999999999999998</v>
      </c>
      <c r="E883" s="12">
        <f t="shared" si="119"/>
        <v>11.007180714666665</v>
      </c>
      <c r="F883" s="12">
        <f t="shared" si="120"/>
        <v>11.007180714666665</v>
      </c>
      <c r="G883" s="12">
        <f t="shared" si="121"/>
        <v>14.412067697777777</v>
      </c>
      <c r="H883" s="12">
        <f t="shared" si="122"/>
        <v>14.412067697777777</v>
      </c>
      <c r="I883" s="1" t="str">
        <f t="shared" si="123"/>
        <v>No</v>
      </c>
      <c r="J883" s="1" t="str">
        <f t="shared" si="124"/>
        <v>Si</v>
      </c>
      <c r="K883" s="1" t="str">
        <f t="shared" si="125"/>
        <v/>
      </c>
    </row>
    <row r="884" spans="1:11" x14ac:dyDescent="0.3">
      <c r="A884" s="1">
        <v>16</v>
      </c>
      <c r="B884" s="1">
        <v>50</v>
      </c>
      <c r="C884" s="12">
        <f t="shared" si="117"/>
        <v>-0.67500000000000004</v>
      </c>
      <c r="D884" s="12">
        <f t="shared" si="118"/>
        <v>1.875</v>
      </c>
      <c r="E884" s="12">
        <f t="shared" si="119"/>
        <v>11.004692622222221</v>
      </c>
      <c r="F884" s="12">
        <f t="shared" si="120"/>
        <v>11.004692622222221</v>
      </c>
      <c r="G884" s="12">
        <f t="shared" si="121"/>
        <v>14.408563342222221</v>
      </c>
      <c r="H884" s="12">
        <f t="shared" si="122"/>
        <v>14.408563342222221</v>
      </c>
      <c r="I884" s="1" t="str">
        <f t="shared" si="123"/>
        <v>No</v>
      </c>
      <c r="J884" s="1" t="str">
        <f t="shared" si="124"/>
        <v>Si</v>
      </c>
      <c r="K884" s="1" t="str">
        <f t="shared" si="125"/>
        <v/>
      </c>
    </row>
    <row r="885" spans="1:11" x14ac:dyDescent="0.3">
      <c r="A885" s="1">
        <v>17</v>
      </c>
      <c r="B885" s="1">
        <v>0</v>
      </c>
      <c r="C885" s="12">
        <f t="shared" si="117"/>
        <v>-0.60000000000000009</v>
      </c>
      <c r="D885" s="12">
        <f t="shared" si="118"/>
        <v>-1.875</v>
      </c>
      <c r="E885" s="12">
        <f t="shared" si="119"/>
        <v>11.129791288888887</v>
      </c>
      <c r="F885" s="12">
        <f t="shared" si="120"/>
        <v>11.129791288888887</v>
      </c>
      <c r="G885" s="12">
        <f t="shared" si="121"/>
        <v>14.584818773333332</v>
      </c>
      <c r="H885" s="12">
        <f t="shared" si="122"/>
        <v>14.584818773333332</v>
      </c>
      <c r="I885" s="1" t="str">
        <f t="shared" si="123"/>
        <v>No</v>
      </c>
      <c r="J885" s="1" t="str">
        <f t="shared" si="124"/>
        <v>Si</v>
      </c>
      <c r="K885" s="1" t="str">
        <f t="shared" si="125"/>
        <v/>
      </c>
    </row>
    <row r="886" spans="1:11" x14ac:dyDescent="0.3">
      <c r="A886" s="1">
        <v>17</v>
      </c>
      <c r="B886" s="1">
        <v>1</v>
      </c>
      <c r="C886" s="12">
        <f t="shared" si="117"/>
        <v>-0.60000000000000009</v>
      </c>
      <c r="D886" s="12">
        <f t="shared" si="118"/>
        <v>-1.8</v>
      </c>
      <c r="E886" s="12">
        <f t="shared" si="119"/>
        <v>11.127303196444442</v>
      </c>
      <c r="F886" s="12">
        <f t="shared" si="120"/>
        <v>11.127303196444442</v>
      </c>
      <c r="G886" s="12">
        <f t="shared" si="121"/>
        <v>14.581314417777776</v>
      </c>
      <c r="H886" s="12">
        <f t="shared" si="122"/>
        <v>14.581314417777776</v>
      </c>
      <c r="I886" s="1" t="str">
        <f t="shared" si="123"/>
        <v>No</v>
      </c>
      <c r="J886" s="1" t="str">
        <f t="shared" si="124"/>
        <v>Si</v>
      </c>
      <c r="K886" s="1" t="str">
        <f t="shared" si="125"/>
        <v/>
      </c>
    </row>
    <row r="887" spans="1:11" x14ac:dyDescent="0.3">
      <c r="A887" s="1">
        <v>17</v>
      </c>
      <c r="B887" s="1">
        <v>2</v>
      </c>
      <c r="C887" s="12">
        <f t="shared" si="117"/>
        <v>-0.60000000000000009</v>
      </c>
      <c r="D887" s="12">
        <f t="shared" si="118"/>
        <v>-1.7250000000000001</v>
      </c>
      <c r="E887" s="12">
        <f t="shared" si="119"/>
        <v>11.124815103999998</v>
      </c>
      <c r="F887" s="12">
        <f t="shared" si="120"/>
        <v>11.124815103999998</v>
      </c>
      <c r="G887" s="12">
        <f t="shared" si="121"/>
        <v>14.57781006222222</v>
      </c>
      <c r="H887" s="12">
        <f t="shared" si="122"/>
        <v>14.57781006222222</v>
      </c>
      <c r="I887" s="1" t="str">
        <f t="shared" si="123"/>
        <v>No</v>
      </c>
      <c r="J887" s="1" t="str">
        <f t="shared" si="124"/>
        <v>Si</v>
      </c>
      <c r="K887" s="1" t="str">
        <f t="shared" si="125"/>
        <v/>
      </c>
    </row>
    <row r="888" spans="1:11" x14ac:dyDescent="0.3">
      <c r="A888" s="1">
        <v>17</v>
      </c>
      <c r="B888" s="1">
        <v>3</v>
      </c>
      <c r="C888" s="12">
        <f t="shared" si="117"/>
        <v>-0.60000000000000009</v>
      </c>
      <c r="D888" s="12">
        <f t="shared" si="118"/>
        <v>-1.65</v>
      </c>
      <c r="E888" s="12">
        <f t="shared" si="119"/>
        <v>11.122327011555553</v>
      </c>
      <c r="F888" s="12">
        <f t="shared" si="120"/>
        <v>11.122327011555553</v>
      </c>
      <c r="G888" s="12">
        <f t="shared" si="121"/>
        <v>14.574305706666665</v>
      </c>
      <c r="H888" s="12">
        <f t="shared" si="122"/>
        <v>14.574305706666665</v>
      </c>
      <c r="I888" s="1" t="str">
        <f t="shared" si="123"/>
        <v>No</v>
      </c>
      <c r="J888" s="1" t="str">
        <f t="shared" si="124"/>
        <v>Si</v>
      </c>
      <c r="K888" s="1" t="str">
        <f t="shared" si="125"/>
        <v/>
      </c>
    </row>
    <row r="889" spans="1:11" x14ac:dyDescent="0.3">
      <c r="A889" s="1">
        <v>17</v>
      </c>
      <c r="B889" s="1">
        <v>4</v>
      </c>
      <c r="C889" s="12">
        <f t="shared" si="117"/>
        <v>-0.60000000000000009</v>
      </c>
      <c r="D889" s="12">
        <f t="shared" si="118"/>
        <v>-1.575</v>
      </c>
      <c r="E889" s="12">
        <f t="shared" si="119"/>
        <v>11.119838919111109</v>
      </c>
      <c r="F889" s="12">
        <f t="shared" si="120"/>
        <v>11.119838919111109</v>
      </c>
      <c r="G889" s="12">
        <f t="shared" si="121"/>
        <v>14.570801351111109</v>
      </c>
      <c r="H889" s="12">
        <f t="shared" si="122"/>
        <v>14.570801351111109</v>
      </c>
      <c r="I889" s="1" t="str">
        <f t="shared" si="123"/>
        <v>No</v>
      </c>
      <c r="J889" s="1" t="str">
        <f t="shared" si="124"/>
        <v>Si</v>
      </c>
      <c r="K889" s="1" t="str">
        <f t="shared" si="125"/>
        <v/>
      </c>
    </row>
    <row r="890" spans="1:11" x14ac:dyDescent="0.3">
      <c r="A890" s="1">
        <v>17</v>
      </c>
      <c r="B890" s="1">
        <v>5</v>
      </c>
      <c r="C890" s="12">
        <f t="shared" si="117"/>
        <v>-0.60000000000000009</v>
      </c>
      <c r="D890" s="12">
        <f t="shared" si="118"/>
        <v>-1.5</v>
      </c>
      <c r="E890" s="12">
        <f t="shared" si="119"/>
        <v>11.117350826666664</v>
      </c>
      <c r="F890" s="12">
        <f t="shared" si="120"/>
        <v>11.117350826666664</v>
      </c>
      <c r="G890" s="12">
        <f t="shared" si="121"/>
        <v>14.567296995555553</v>
      </c>
      <c r="H890" s="12">
        <f t="shared" si="122"/>
        <v>14.567296995555553</v>
      </c>
      <c r="I890" s="1" t="str">
        <f t="shared" si="123"/>
        <v>No</v>
      </c>
      <c r="J890" s="1" t="str">
        <f t="shared" si="124"/>
        <v>Si</v>
      </c>
      <c r="K890" s="1" t="str">
        <f t="shared" si="125"/>
        <v/>
      </c>
    </row>
    <row r="891" spans="1:11" x14ac:dyDescent="0.3">
      <c r="A891" s="1">
        <v>17</v>
      </c>
      <c r="B891" s="1">
        <v>6</v>
      </c>
      <c r="C891" s="12">
        <f t="shared" si="117"/>
        <v>-0.60000000000000009</v>
      </c>
      <c r="D891" s="12">
        <f t="shared" si="118"/>
        <v>-1.425</v>
      </c>
      <c r="E891" s="12">
        <f t="shared" si="119"/>
        <v>11.114862734222219</v>
      </c>
      <c r="F891" s="12">
        <f t="shared" si="120"/>
        <v>11.114862734222219</v>
      </c>
      <c r="G891" s="12">
        <f t="shared" si="121"/>
        <v>14.563792639999999</v>
      </c>
      <c r="H891" s="12">
        <f t="shared" si="122"/>
        <v>14.563792639999999</v>
      </c>
      <c r="I891" s="1" t="str">
        <f t="shared" si="123"/>
        <v>No</v>
      </c>
      <c r="J891" s="1" t="str">
        <f t="shared" si="124"/>
        <v>Si</v>
      </c>
      <c r="K891" s="1" t="str">
        <f t="shared" si="125"/>
        <v/>
      </c>
    </row>
    <row r="892" spans="1:11" x14ac:dyDescent="0.3">
      <c r="A892" s="1">
        <v>17</v>
      </c>
      <c r="B892" s="1">
        <v>7</v>
      </c>
      <c r="C892" s="12">
        <f t="shared" si="117"/>
        <v>-0.60000000000000009</v>
      </c>
      <c r="D892" s="12">
        <f t="shared" si="118"/>
        <v>-1.35</v>
      </c>
      <c r="E892" s="12">
        <f t="shared" si="119"/>
        <v>11.112374641777777</v>
      </c>
      <c r="F892" s="12">
        <f t="shared" si="120"/>
        <v>11.112374641777777</v>
      </c>
      <c r="G892" s="12">
        <f t="shared" si="121"/>
        <v>14.560288284444443</v>
      </c>
      <c r="H892" s="12">
        <f t="shared" si="122"/>
        <v>14.560288284444443</v>
      </c>
      <c r="I892" s="1" t="str">
        <f t="shared" si="123"/>
        <v>No</v>
      </c>
      <c r="J892" s="1" t="str">
        <f t="shared" si="124"/>
        <v>Si</v>
      </c>
      <c r="K892" s="1" t="str">
        <f t="shared" si="125"/>
        <v/>
      </c>
    </row>
    <row r="893" spans="1:11" x14ac:dyDescent="0.3">
      <c r="A893" s="1">
        <v>17</v>
      </c>
      <c r="B893" s="1">
        <v>8</v>
      </c>
      <c r="C893" s="12">
        <f t="shared" si="117"/>
        <v>-0.60000000000000009</v>
      </c>
      <c r="D893" s="12">
        <f t="shared" si="118"/>
        <v>-1.2749999999999999</v>
      </c>
      <c r="E893" s="12">
        <f t="shared" si="119"/>
        <v>11.109886549333332</v>
      </c>
      <c r="F893" s="12">
        <f t="shared" si="120"/>
        <v>11.109886549333332</v>
      </c>
      <c r="G893" s="12">
        <f t="shared" si="121"/>
        <v>14.556783928888887</v>
      </c>
      <c r="H893" s="12">
        <f t="shared" si="122"/>
        <v>14.556783928888887</v>
      </c>
      <c r="I893" s="1" t="str">
        <f t="shared" si="123"/>
        <v>No</v>
      </c>
      <c r="J893" s="1" t="str">
        <f t="shared" si="124"/>
        <v>Si</v>
      </c>
      <c r="K893" s="1" t="str">
        <f t="shared" si="125"/>
        <v/>
      </c>
    </row>
    <row r="894" spans="1:11" x14ac:dyDescent="0.3">
      <c r="A894" s="1">
        <v>17</v>
      </c>
      <c r="B894" s="1">
        <v>9</v>
      </c>
      <c r="C894" s="12">
        <f t="shared" si="117"/>
        <v>-0.60000000000000009</v>
      </c>
      <c r="D894" s="12">
        <f t="shared" si="118"/>
        <v>-1.2</v>
      </c>
      <c r="E894" s="12">
        <f t="shared" si="119"/>
        <v>11.107398456888887</v>
      </c>
      <c r="F894" s="12">
        <f t="shared" si="120"/>
        <v>11.107398456888887</v>
      </c>
      <c r="G894" s="12">
        <f t="shared" si="121"/>
        <v>14.553279573333331</v>
      </c>
      <c r="H894" s="12">
        <f t="shared" si="122"/>
        <v>14.553279573333331</v>
      </c>
      <c r="I894" s="1" t="str">
        <f t="shared" si="123"/>
        <v>No</v>
      </c>
      <c r="J894" s="1" t="str">
        <f t="shared" si="124"/>
        <v>Si</v>
      </c>
      <c r="K894" s="1" t="str">
        <f t="shared" si="125"/>
        <v/>
      </c>
    </row>
    <row r="895" spans="1:11" x14ac:dyDescent="0.3">
      <c r="A895" s="1">
        <v>17</v>
      </c>
      <c r="B895" s="1">
        <v>10</v>
      </c>
      <c r="C895" s="12">
        <f t="shared" si="117"/>
        <v>-0.60000000000000009</v>
      </c>
      <c r="D895" s="12">
        <f t="shared" si="118"/>
        <v>-1.125</v>
      </c>
      <c r="E895" s="12">
        <f t="shared" si="119"/>
        <v>11.104910364444443</v>
      </c>
      <c r="F895" s="12">
        <f t="shared" si="120"/>
        <v>11.104910364444443</v>
      </c>
      <c r="G895" s="12">
        <f t="shared" si="121"/>
        <v>14.549775217777777</v>
      </c>
      <c r="H895" s="12">
        <f t="shared" si="122"/>
        <v>14.549775217777777</v>
      </c>
      <c r="I895" s="1" t="str">
        <f t="shared" si="123"/>
        <v>No</v>
      </c>
      <c r="J895" s="1" t="str">
        <f t="shared" si="124"/>
        <v>Si</v>
      </c>
      <c r="K895" s="1" t="str">
        <f t="shared" si="125"/>
        <v/>
      </c>
    </row>
    <row r="896" spans="1:11" x14ac:dyDescent="0.3">
      <c r="A896" s="1">
        <v>17</v>
      </c>
      <c r="B896" s="1">
        <v>11</v>
      </c>
      <c r="C896" s="12">
        <f t="shared" si="117"/>
        <v>-0.60000000000000009</v>
      </c>
      <c r="D896" s="12">
        <f t="shared" si="118"/>
        <v>-1.05</v>
      </c>
      <c r="E896" s="12">
        <f t="shared" si="119"/>
        <v>11.102422271999998</v>
      </c>
      <c r="F896" s="12">
        <f t="shared" si="120"/>
        <v>11.102422271999998</v>
      </c>
      <c r="G896" s="12">
        <f t="shared" si="121"/>
        <v>14.546270862222221</v>
      </c>
      <c r="H896" s="12">
        <f t="shared" si="122"/>
        <v>14.546270862222221</v>
      </c>
      <c r="I896" s="1" t="str">
        <f t="shared" si="123"/>
        <v>No</v>
      </c>
      <c r="J896" s="1" t="str">
        <f t="shared" si="124"/>
        <v>Si</v>
      </c>
      <c r="K896" s="1" t="str">
        <f t="shared" si="125"/>
        <v/>
      </c>
    </row>
    <row r="897" spans="1:11" x14ac:dyDescent="0.3">
      <c r="A897" s="1">
        <v>17</v>
      </c>
      <c r="B897" s="1">
        <v>12</v>
      </c>
      <c r="C897" s="12">
        <f t="shared" si="117"/>
        <v>-0.60000000000000009</v>
      </c>
      <c r="D897" s="12">
        <f t="shared" si="118"/>
        <v>-0.97499999999999998</v>
      </c>
      <c r="E897" s="12">
        <f t="shared" si="119"/>
        <v>11.099934179555554</v>
      </c>
      <c r="F897" s="12">
        <f t="shared" si="120"/>
        <v>11.099934179555554</v>
      </c>
      <c r="G897" s="12">
        <f t="shared" si="121"/>
        <v>14.542766506666664</v>
      </c>
      <c r="H897" s="12">
        <f t="shared" si="122"/>
        <v>14.542766506666664</v>
      </c>
      <c r="I897" s="1" t="str">
        <f t="shared" si="123"/>
        <v>No</v>
      </c>
      <c r="J897" s="1" t="str">
        <f t="shared" si="124"/>
        <v>Si</v>
      </c>
      <c r="K897" s="1" t="str">
        <f t="shared" si="125"/>
        <v/>
      </c>
    </row>
    <row r="898" spans="1:11" x14ac:dyDescent="0.3">
      <c r="A898" s="1">
        <v>17</v>
      </c>
      <c r="B898" s="1">
        <v>13</v>
      </c>
      <c r="C898" s="12">
        <f t="shared" si="117"/>
        <v>-0.60000000000000009</v>
      </c>
      <c r="D898" s="12">
        <f t="shared" si="118"/>
        <v>-0.9</v>
      </c>
      <c r="E898" s="12">
        <f t="shared" si="119"/>
        <v>11.097446087111109</v>
      </c>
      <c r="F898" s="12">
        <f t="shared" si="120"/>
        <v>11.097446087111109</v>
      </c>
      <c r="G898" s="12">
        <f t="shared" si="121"/>
        <v>14.53926215111111</v>
      </c>
      <c r="H898" s="12">
        <f t="shared" si="122"/>
        <v>14.53926215111111</v>
      </c>
      <c r="I898" s="1" t="str">
        <f t="shared" si="123"/>
        <v>No</v>
      </c>
      <c r="J898" s="1" t="str">
        <f t="shared" si="124"/>
        <v>Si</v>
      </c>
      <c r="K898" s="1" t="str">
        <f t="shared" si="125"/>
        <v/>
      </c>
    </row>
    <row r="899" spans="1:11" x14ac:dyDescent="0.3">
      <c r="A899" s="1">
        <v>17</v>
      </c>
      <c r="B899" s="1">
        <v>14</v>
      </c>
      <c r="C899" s="12">
        <f t="shared" si="117"/>
        <v>-0.60000000000000009</v>
      </c>
      <c r="D899" s="12">
        <f t="shared" si="118"/>
        <v>-0.82499999999999996</v>
      </c>
      <c r="E899" s="12">
        <f t="shared" si="119"/>
        <v>11.094957994666665</v>
      </c>
      <c r="F899" s="12">
        <f t="shared" si="120"/>
        <v>11.094957994666665</v>
      </c>
      <c r="G899" s="12">
        <f t="shared" si="121"/>
        <v>14.535757795555554</v>
      </c>
      <c r="H899" s="12">
        <f t="shared" si="122"/>
        <v>14.535757795555554</v>
      </c>
      <c r="I899" s="1" t="str">
        <f t="shared" si="123"/>
        <v>No</v>
      </c>
      <c r="J899" s="1" t="str">
        <f t="shared" si="124"/>
        <v>Si</v>
      </c>
      <c r="K899" s="1" t="str">
        <f t="shared" si="125"/>
        <v/>
      </c>
    </row>
    <row r="900" spans="1:11" x14ac:dyDescent="0.3">
      <c r="A900" s="1">
        <v>17</v>
      </c>
      <c r="B900" s="1">
        <v>15</v>
      </c>
      <c r="C900" s="12">
        <f t="shared" si="117"/>
        <v>-0.60000000000000009</v>
      </c>
      <c r="D900" s="12">
        <f t="shared" si="118"/>
        <v>-0.75</v>
      </c>
      <c r="E900" s="12">
        <f t="shared" si="119"/>
        <v>11.09246990222222</v>
      </c>
      <c r="F900" s="12">
        <f t="shared" si="120"/>
        <v>11.09246990222222</v>
      </c>
      <c r="G900" s="12">
        <f t="shared" si="121"/>
        <v>14.532253439999998</v>
      </c>
      <c r="H900" s="12">
        <f t="shared" si="122"/>
        <v>14.532253439999998</v>
      </c>
      <c r="I900" s="1" t="str">
        <f t="shared" si="123"/>
        <v>No</v>
      </c>
      <c r="J900" s="1" t="str">
        <f t="shared" si="124"/>
        <v>Si</v>
      </c>
      <c r="K900" s="1" t="str">
        <f t="shared" si="125"/>
        <v/>
      </c>
    </row>
    <row r="901" spans="1:11" x14ac:dyDescent="0.3">
      <c r="A901" s="1">
        <v>17</v>
      </c>
      <c r="B901" s="1">
        <v>16</v>
      </c>
      <c r="C901" s="12">
        <f t="shared" si="117"/>
        <v>-0.60000000000000009</v>
      </c>
      <c r="D901" s="12">
        <f t="shared" si="118"/>
        <v>-0.67500000000000004</v>
      </c>
      <c r="E901" s="12">
        <f t="shared" si="119"/>
        <v>11.089981809777775</v>
      </c>
      <c r="F901" s="12">
        <f t="shared" si="120"/>
        <v>11.089981809777775</v>
      </c>
      <c r="G901" s="12">
        <f t="shared" si="121"/>
        <v>14.528749084444442</v>
      </c>
      <c r="H901" s="12">
        <f t="shared" si="122"/>
        <v>14.528749084444442</v>
      </c>
      <c r="I901" s="1" t="str">
        <f t="shared" si="123"/>
        <v>No</v>
      </c>
      <c r="J901" s="1" t="str">
        <f t="shared" si="124"/>
        <v>Si</v>
      </c>
      <c r="K901" s="1" t="str">
        <f t="shared" si="125"/>
        <v/>
      </c>
    </row>
    <row r="902" spans="1:11" x14ac:dyDescent="0.3">
      <c r="A902" s="1">
        <v>17</v>
      </c>
      <c r="B902" s="1">
        <v>17</v>
      </c>
      <c r="C902" s="12">
        <f t="shared" si="117"/>
        <v>-0.60000000000000009</v>
      </c>
      <c r="D902" s="12">
        <f t="shared" si="118"/>
        <v>-0.60000000000000009</v>
      </c>
      <c r="E902" s="12">
        <f t="shared" si="119"/>
        <v>11.087493717333331</v>
      </c>
      <c r="F902" s="12">
        <f t="shared" si="120"/>
        <v>11.087493717333331</v>
      </c>
      <c r="G902" s="12">
        <f t="shared" si="121"/>
        <v>14.525244728888888</v>
      </c>
      <c r="H902" s="12">
        <f t="shared" si="122"/>
        <v>14.525244728888888</v>
      </c>
      <c r="I902" s="1" t="str">
        <f t="shared" si="123"/>
        <v>No</v>
      </c>
      <c r="J902" s="1" t="str">
        <f t="shared" si="124"/>
        <v>Si</v>
      </c>
      <c r="K902" s="1" t="str">
        <f t="shared" si="125"/>
        <v/>
      </c>
    </row>
    <row r="903" spans="1:11" x14ac:dyDescent="0.3">
      <c r="A903" s="1">
        <v>17</v>
      </c>
      <c r="B903" s="1">
        <v>18</v>
      </c>
      <c r="C903" s="12">
        <f t="shared" si="117"/>
        <v>-0.60000000000000009</v>
      </c>
      <c r="D903" s="12">
        <f t="shared" si="118"/>
        <v>-0.52499999999999991</v>
      </c>
      <c r="E903" s="12">
        <f t="shared" si="119"/>
        <v>11.085005624888886</v>
      </c>
      <c r="F903" s="12">
        <f t="shared" si="120"/>
        <v>11.085005624888886</v>
      </c>
      <c r="G903" s="12">
        <f t="shared" si="121"/>
        <v>14.521740373333332</v>
      </c>
      <c r="H903" s="12">
        <f t="shared" si="122"/>
        <v>14.521740373333332</v>
      </c>
      <c r="I903" s="1" t="str">
        <f t="shared" si="123"/>
        <v>No</v>
      </c>
      <c r="J903" s="1" t="str">
        <f t="shared" si="124"/>
        <v>Si</v>
      </c>
      <c r="K903" s="1" t="str">
        <f t="shared" si="125"/>
        <v/>
      </c>
    </row>
    <row r="904" spans="1:11" x14ac:dyDescent="0.3">
      <c r="A904" s="1">
        <v>17</v>
      </c>
      <c r="B904" s="1">
        <v>19</v>
      </c>
      <c r="C904" s="12">
        <f t="shared" si="117"/>
        <v>-0.60000000000000009</v>
      </c>
      <c r="D904" s="12">
        <f t="shared" si="118"/>
        <v>-0.44999999999999996</v>
      </c>
      <c r="E904" s="12">
        <f t="shared" si="119"/>
        <v>11.082517532444443</v>
      </c>
      <c r="F904" s="12">
        <f t="shared" si="120"/>
        <v>11.082517532444443</v>
      </c>
      <c r="G904" s="12">
        <f t="shared" si="121"/>
        <v>14.518236017777776</v>
      </c>
      <c r="H904" s="12">
        <f t="shared" si="122"/>
        <v>14.518236017777776</v>
      </c>
      <c r="I904" s="1" t="str">
        <f t="shared" si="123"/>
        <v>No</v>
      </c>
      <c r="J904" s="1" t="str">
        <f t="shared" si="124"/>
        <v>Si</v>
      </c>
      <c r="K904" s="1" t="str">
        <f t="shared" si="125"/>
        <v/>
      </c>
    </row>
    <row r="905" spans="1:11" x14ac:dyDescent="0.3">
      <c r="A905" s="1">
        <v>17</v>
      </c>
      <c r="B905" s="1">
        <v>20</v>
      </c>
      <c r="C905" s="12">
        <f t="shared" si="117"/>
        <v>-0.60000000000000009</v>
      </c>
      <c r="D905" s="12">
        <f t="shared" si="118"/>
        <v>-0.375</v>
      </c>
      <c r="E905" s="12">
        <f t="shared" si="119"/>
        <v>11.080029439999999</v>
      </c>
      <c r="F905" s="12">
        <f t="shared" si="120"/>
        <v>11.080029439999999</v>
      </c>
      <c r="G905" s="12">
        <f t="shared" si="121"/>
        <v>14.514731662222221</v>
      </c>
      <c r="H905" s="12">
        <f t="shared" si="122"/>
        <v>14.514731662222221</v>
      </c>
      <c r="I905" s="1" t="str">
        <f t="shared" si="123"/>
        <v>No</v>
      </c>
      <c r="J905" s="1" t="str">
        <f t="shared" si="124"/>
        <v>Si</v>
      </c>
      <c r="K905" s="1" t="str">
        <f t="shared" si="125"/>
        <v/>
      </c>
    </row>
    <row r="906" spans="1:11" x14ac:dyDescent="0.3">
      <c r="A906" s="1">
        <v>17</v>
      </c>
      <c r="B906" s="1">
        <v>21</v>
      </c>
      <c r="C906" s="12">
        <f t="shared" si="117"/>
        <v>-0.60000000000000009</v>
      </c>
      <c r="D906" s="12">
        <f t="shared" si="118"/>
        <v>-0.30000000000000004</v>
      </c>
      <c r="E906" s="12">
        <f t="shared" si="119"/>
        <v>11.077541347555554</v>
      </c>
      <c r="F906" s="12">
        <f t="shared" si="120"/>
        <v>11.077541347555554</v>
      </c>
      <c r="G906" s="12">
        <f t="shared" si="121"/>
        <v>14.511227306666665</v>
      </c>
      <c r="H906" s="12">
        <f t="shared" si="122"/>
        <v>14.511227306666665</v>
      </c>
      <c r="I906" s="1" t="str">
        <f t="shared" si="123"/>
        <v>No</v>
      </c>
      <c r="J906" s="1" t="str">
        <f t="shared" si="124"/>
        <v>Si</v>
      </c>
      <c r="K906" s="1" t="str">
        <f t="shared" si="125"/>
        <v/>
      </c>
    </row>
    <row r="907" spans="1:11" x14ac:dyDescent="0.3">
      <c r="A907" s="1">
        <v>17</v>
      </c>
      <c r="B907" s="1">
        <v>22</v>
      </c>
      <c r="C907" s="12">
        <f t="shared" si="117"/>
        <v>-0.60000000000000009</v>
      </c>
      <c r="D907" s="12">
        <f t="shared" si="118"/>
        <v>-0.22500000000000009</v>
      </c>
      <c r="E907" s="12">
        <f t="shared" si="119"/>
        <v>11.07505325511111</v>
      </c>
      <c r="F907" s="12">
        <f t="shared" si="120"/>
        <v>11.07505325511111</v>
      </c>
      <c r="G907" s="12">
        <f t="shared" si="121"/>
        <v>14.507722951111109</v>
      </c>
      <c r="H907" s="12">
        <f t="shared" si="122"/>
        <v>14.507722951111109</v>
      </c>
      <c r="I907" s="1" t="str">
        <f t="shared" si="123"/>
        <v>No</v>
      </c>
      <c r="J907" s="1" t="str">
        <f t="shared" si="124"/>
        <v>Si</v>
      </c>
      <c r="K907" s="1" t="str">
        <f t="shared" si="125"/>
        <v/>
      </c>
    </row>
    <row r="908" spans="1:11" x14ac:dyDescent="0.3">
      <c r="A908" s="1">
        <v>17</v>
      </c>
      <c r="B908" s="1">
        <v>23</v>
      </c>
      <c r="C908" s="12">
        <f t="shared" si="117"/>
        <v>-0.60000000000000009</v>
      </c>
      <c r="D908" s="12">
        <f t="shared" si="118"/>
        <v>-0.14999999999999991</v>
      </c>
      <c r="E908" s="12">
        <f t="shared" si="119"/>
        <v>11.072565162666665</v>
      </c>
      <c r="F908" s="12">
        <f t="shared" si="120"/>
        <v>11.072565162666665</v>
      </c>
      <c r="G908" s="12">
        <f t="shared" si="121"/>
        <v>14.504218595555553</v>
      </c>
      <c r="H908" s="12">
        <f t="shared" si="122"/>
        <v>14.504218595555553</v>
      </c>
      <c r="I908" s="1" t="str">
        <f t="shared" si="123"/>
        <v>No</v>
      </c>
      <c r="J908" s="1" t="str">
        <f t="shared" si="124"/>
        <v>Si</v>
      </c>
      <c r="K908" s="1" t="str">
        <f t="shared" si="125"/>
        <v/>
      </c>
    </row>
    <row r="909" spans="1:11" x14ac:dyDescent="0.3">
      <c r="A909" s="1">
        <v>17</v>
      </c>
      <c r="B909" s="1">
        <v>24</v>
      </c>
      <c r="C909" s="12">
        <f t="shared" si="117"/>
        <v>-0.60000000000000009</v>
      </c>
      <c r="D909" s="12">
        <f t="shared" si="118"/>
        <v>-7.4999999999999956E-2</v>
      </c>
      <c r="E909" s="12">
        <f t="shared" si="119"/>
        <v>11.07007707022222</v>
      </c>
      <c r="F909" s="12">
        <f t="shared" si="120"/>
        <v>11.07007707022222</v>
      </c>
      <c r="G909" s="12">
        <f t="shared" si="121"/>
        <v>14.500714239999999</v>
      </c>
      <c r="H909" s="12">
        <f t="shared" si="122"/>
        <v>14.500714239999999</v>
      </c>
      <c r="I909" s="1" t="str">
        <f t="shared" si="123"/>
        <v>No</v>
      </c>
      <c r="J909" s="1" t="str">
        <f t="shared" si="124"/>
        <v>Si</v>
      </c>
      <c r="K909" s="1" t="str">
        <f t="shared" si="125"/>
        <v/>
      </c>
    </row>
    <row r="910" spans="1:11" x14ac:dyDescent="0.3">
      <c r="A910" s="1">
        <v>17</v>
      </c>
      <c r="B910" s="1">
        <v>25</v>
      </c>
      <c r="C910" s="12">
        <f t="shared" si="117"/>
        <v>-0.60000000000000009</v>
      </c>
      <c r="D910" s="12">
        <f t="shared" si="118"/>
        <v>0</v>
      </c>
      <c r="E910" s="12">
        <f t="shared" si="119"/>
        <v>11.067588977777776</v>
      </c>
      <c r="F910" s="12">
        <f t="shared" si="120"/>
        <v>11.067588977777776</v>
      </c>
      <c r="G910" s="12">
        <f t="shared" si="121"/>
        <v>14.497209884444443</v>
      </c>
      <c r="H910" s="12">
        <f t="shared" si="122"/>
        <v>14.497209884444443</v>
      </c>
      <c r="I910" s="1" t="str">
        <f t="shared" si="123"/>
        <v>No</v>
      </c>
      <c r="J910" s="1" t="str">
        <f t="shared" si="124"/>
        <v>Si</v>
      </c>
      <c r="K910" s="1" t="str">
        <f t="shared" si="125"/>
        <v/>
      </c>
    </row>
    <row r="911" spans="1:11" x14ac:dyDescent="0.3">
      <c r="A911" s="1">
        <v>17</v>
      </c>
      <c r="B911" s="1">
        <v>26</v>
      </c>
      <c r="C911" s="12">
        <f t="shared" si="117"/>
        <v>-0.60000000000000009</v>
      </c>
      <c r="D911" s="12">
        <f t="shared" si="118"/>
        <v>7.4999999999999956E-2</v>
      </c>
      <c r="E911" s="12">
        <f t="shared" si="119"/>
        <v>11.065100885333331</v>
      </c>
      <c r="F911" s="12">
        <f t="shared" si="120"/>
        <v>11.065100885333331</v>
      </c>
      <c r="G911" s="12">
        <f t="shared" si="121"/>
        <v>14.493705528888887</v>
      </c>
      <c r="H911" s="12">
        <f t="shared" si="122"/>
        <v>14.493705528888887</v>
      </c>
      <c r="I911" s="1" t="str">
        <f t="shared" si="123"/>
        <v>No</v>
      </c>
      <c r="J911" s="1" t="str">
        <f t="shared" si="124"/>
        <v>Si</v>
      </c>
      <c r="K911" s="1" t="str">
        <f t="shared" si="125"/>
        <v/>
      </c>
    </row>
    <row r="912" spans="1:11" x14ac:dyDescent="0.3">
      <c r="A912" s="1">
        <v>17</v>
      </c>
      <c r="B912" s="1">
        <v>27</v>
      </c>
      <c r="C912" s="12">
        <f t="shared" si="117"/>
        <v>-0.60000000000000009</v>
      </c>
      <c r="D912" s="12">
        <f t="shared" si="118"/>
        <v>0.14999999999999991</v>
      </c>
      <c r="E912" s="12">
        <f t="shared" si="119"/>
        <v>11.062612792888887</v>
      </c>
      <c r="F912" s="12">
        <f t="shared" si="120"/>
        <v>11.062612792888887</v>
      </c>
      <c r="G912" s="12">
        <f t="shared" si="121"/>
        <v>14.490201173333332</v>
      </c>
      <c r="H912" s="12">
        <f t="shared" si="122"/>
        <v>14.490201173333332</v>
      </c>
      <c r="I912" s="1" t="str">
        <f t="shared" si="123"/>
        <v>No</v>
      </c>
      <c r="J912" s="1" t="str">
        <f t="shared" si="124"/>
        <v>Si</v>
      </c>
      <c r="K912" s="1" t="str">
        <f t="shared" si="125"/>
        <v/>
      </c>
    </row>
    <row r="913" spans="1:11" x14ac:dyDescent="0.3">
      <c r="A913" s="1">
        <v>17</v>
      </c>
      <c r="B913" s="1">
        <v>28</v>
      </c>
      <c r="C913" s="12">
        <f t="shared" si="117"/>
        <v>-0.60000000000000009</v>
      </c>
      <c r="D913" s="12">
        <f t="shared" si="118"/>
        <v>0.22500000000000009</v>
      </c>
      <c r="E913" s="12">
        <f t="shared" si="119"/>
        <v>11.060124700444442</v>
      </c>
      <c r="F913" s="12">
        <f t="shared" si="120"/>
        <v>11.060124700444442</v>
      </c>
      <c r="G913" s="12">
        <f t="shared" si="121"/>
        <v>14.486696817777776</v>
      </c>
      <c r="H913" s="12">
        <f t="shared" si="122"/>
        <v>14.486696817777776</v>
      </c>
      <c r="I913" s="1" t="str">
        <f t="shared" si="123"/>
        <v>No</v>
      </c>
      <c r="J913" s="1" t="str">
        <f t="shared" si="124"/>
        <v>Si</v>
      </c>
      <c r="K913" s="1" t="str">
        <f t="shared" si="125"/>
        <v/>
      </c>
    </row>
    <row r="914" spans="1:11" x14ac:dyDescent="0.3">
      <c r="A914" s="1">
        <v>17</v>
      </c>
      <c r="B914" s="1">
        <v>29</v>
      </c>
      <c r="C914" s="12">
        <f t="shared" ref="C914:C977" si="126">IF(OR(A914&gt;inp_n_div_x,B914&gt;inp_n_div_y),"",-inp_bx/2+A914*inp_bx/inp_n_div_x)</f>
        <v>-0.60000000000000009</v>
      </c>
      <c r="D914" s="12">
        <f t="shared" ref="D914:D977" si="127">IF(C914="","",-inp_by/2+B914*inp_by/inp_n_div_y)</f>
        <v>0.29999999999999982</v>
      </c>
      <c r="E914" s="12">
        <f t="shared" ref="E914:E977" si="128">IF(C914="","",res_srv_p_tot/geo_area+res_srv_mx_tot/geo_ix*D914+res_srv_my_tot/geo_iy*C914)</f>
        <v>11.057636607999997</v>
      </c>
      <c r="F914" s="12">
        <f t="shared" ref="F914:F977" si="129">IF(E914="","",MAX(0,E914))</f>
        <v>11.057636607999997</v>
      </c>
      <c r="G914" s="12">
        <f t="shared" ref="G914:G977" si="130">IF(C914="","",res_u_p_tot/geo_area+res_u_mx_tot/geo_ix*D914+res_u_my_tot/geo_iy*C914)</f>
        <v>14.48319246222222</v>
      </c>
      <c r="H914" s="12">
        <f t="shared" ref="H914:H977" si="131">IF(G914="","",MAX(0,G914))</f>
        <v>14.48319246222222</v>
      </c>
      <c r="I914" s="1" t="str">
        <f t="shared" ref="I914:I977" si="132">IF(C914="","",IF(AND(C914&gt;=inp_xc-inp_cx/2,C914&lt;=inp_xc+inp_cx/2,D914&gt;=inp_yc-inp_cy/2,D914&lt;=inp_yc+inp_cy/2),"Si","No"))</f>
        <v>No</v>
      </c>
      <c r="J914" s="1" t="str">
        <f t="shared" ref="J914:J977" si="133">IF(C914="","","Si")</f>
        <v>Si</v>
      </c>
      <c r="K914" s="1" t="str">
        <f t="shared" ref="K914:K977" si="134">IF(OR(E914&lt;0,G914&lt;0),"Presion negativa","")</f>
        <v/>
      </c>
    </row>
    <row r="915" spans="1:11" x14ac:dyDescent="0.3">
      <c r="A915" s="1">
        <v>17</v>
      </c>
      <c r="B915" s="1">
        <v>30</v>
      </c>
      <c r="C915" s="12">
        <f t="shared" si="126"/>
        <v>-0.60000000000000009</v>
      </c>
      <c r="D915" s="12">
        <f t="shared" si="127"/>
        <v>0.375</v>
      </c>
      <c r="E915" s="12">
        <f t="shared" si="128"/>
        <v>11.055148515555553</v>
      </c>
      <c r="F915" s="12">
        <f t="shared" si="129"/>
        <v>11.055148515555553</v>
      </c>
      <c r="G915" s="12">
        <f t="shared" si="130"/>
        <v>14.479688106666664</v>
      </c>
      <c r="H915" s="12">
        <f t="shared" si="131"/>
        <v>14.479688106666664</v>
      </c>
      <c r="I915" s="1" t="str">
        <f t="shared" si="132"/>
        <v>No</v>
      </c>
      <c r="J915" s="1" t="str">
        <f t="shared" si="133"/>
        <v>Si</v>
      </c>
      <c r="K915" s="1" t="str">
        <f t="shared" si="134"/>
        <v/>
      </c>
    </row>
    <row r="916" spans="1:11" x14ac:dyDescent="0.3">
      <c r="A916" s="1">
        <v>17</v>
      </c>
      <c r="B916" s="1">
        <v>31</v>
      </c>
      <c r="C916" s="12">
        <f t="shared" si="126"/>
        <v>-0.60000000000000009</v>
      </c>
      <c r="D916" s="12">
        <f t="shared" si="127"/>
        <v>0.45000000000000018</v>
      </c>
      <c r="E916" s="12">
        <f t="shared" si="128"/>
        <v>11.052660423111108</v>
      </c>
      <c r="F916" s="12">
        <f t="shared" si="129"/>
        <v>11.052660423111108</v>
      </c>
      <c r="G916" s="12">
        <f t="shared" si="130"/>
        <v>14.47618375111111</v>
      </c>
      <c r="H916" s="12">
        <f t="shared" si="131"/>
        <v>14.47618375111111</v>
      </c>
      <c r="I916" s="1" t="str">
        <f t="shared" si="132"/>
        <v>No</v>
      </c>
      <c r="J916" s="1" t="str">
        <f t="shared" si="133"/>
        <v>Si</v>
      </c>
      <c r="K916" s="1" t="str">
        <f t="shared" si="134"/>
        <v/>
      </c>
    </row>
    <row r="917" spans="1:11" x14ac:dyDescent="0.3">
      <c r="A917" s="1">
        <v>17</v>
      </c>
      <c r="B917" s="1">
        <v>32</v>
      </c>
      <c r="C917" s="12">
        <f t="shared" si="126"/>
        <v>-0.60000000000000009</v>
      </c>
      <c r="D917" s="12">
        <f t="shared" si="127"/>
        <v>0.52499999999999991</v>
      </c>
      <c r="E917" s="12">
        <f t="shared" si="128"/>
        <v>11.050172330666665</v>
      </c>
      <c r="F917" s="12">
        <f t="shared" si="129"/>
        <v>11.050172330666665</v>
      </c>
      <c r="G917" s="12">
        <f t="shared" si="130"/>
        <v>14.472679395555554</v>
      </c>
      <c r="H917" s="12">
        <f t="shared" si="131"/>
        <v>14.472679395555554</v>
      </c>
      <c r="I917" s="1" t="str">
        <f t="shared" si="132"/>
        <v>No</v>
      </c>
      <c r="J917" s="1" t="str">
        <f t="shared" si="133"/>
        <v>Si</v>
      </c>
      <c r="K917" s="1" t="str">
        <f t="shared" si="134"/>
        <v/>
      </c>
    </row>
    <row r="918" spans="1:11" x14ac:dyDescent="0.3">
      <c r="A918" s="1">
        <v>17</v>
      </c>
      <c r="B918" s="1">
        <v>33</v>
      </c>
      <c r="C918" s="12">
        <f t="shared" si="126"/>
        <v>-0.60000000000000009</v>
      </c>
      <c r="D918" s="12">
        <f t="shared" si="127"/>
        <v>0.60000000000000009</v>
      </c>
      <c r="E918" s="12">
        <f t="shared" si="128"/>
        <v>11.047684238222221</v>
      </c>
      <c r="F918" s="12">
        <f t="shared" si="129"/>
        <v>11.047684238222221</v>
      </c>
      <c r="G918" s="12">
        <f t="shared" si="130"/>
        <v>14.469175039999998</v>
      </c>
      <c r="H918" s="12">
        <f t="shared" si="131"/>
        <v>14.469175039999998</v>
      </c>
      <c r="I918" s="1" t="str">
        <f t="shared" si="132"/>
        <v>No</v>
      </c>
      <c r="J918" s="1" t="str">
        <f t="shared" si="133"/>
        <v>Si</v>
      </c>
      <c r="K918" s="1" t="str">
        <f t="shared" si="134"/>
        <v/>
      </c>
    </row>
    <row r="919" spans="1:11" x14ac:dyDescent="0.3">
      <c r="A919" s="1">
        <v>17</v>
      </c>
      <c r="B919" s="1">
        <v>34</v>
      </c>
      <c r="C919" s="12">
        <f t="shared" si="126"/>
        <v>-0.60000000000000009</v>
      </c>
      <c r="D919" s="12">
        <f t="shared" si="127"/>
        <v>0.67499999999999982</v>
      </c>
      <c r="E919" s="12">
        <f t="shared" si="128"/>
        <v>11.045196145777776</v>
      </c>
      <c r="F919" s="12">
        <f t="shared" si="129"/>
        <v>11.045196145777776</v>
      </c>
      <c r="G919" s="12">
        <f t="shared" si="130"/>
        <v>14.465670684444444</v>
      </c>
      <c r="H919" s="12">
        <f t="shared" si="131"/>
        <v>14.465670684444444</v>
      </c>
      <c r="I919" s="1" t="str">
        <f t="shared" si="132"/>
        <v>No</v>
      </c>
      <c r="J919" s="1" t="str">
        <f t="shared" si="133"/>
        <v>Si</v>
      </c>
      <c r="K919" s="1" t="str">
        <f t="shared" si="134"/>
        <v/>
      </c>
    </row>
    <row r="920" spans="1:11" x14ac:dyDescent="0.3">
      <c r="A920" s="1">
        <v>17</v>
      </c>
      <c r="B920" s="1">
        <v>35</v>
      </c>
      <c r="C920" s="12">
        <f t="shared" si="126"/>
        <v>-0.60000000000000009</v>
      </c>
      <c r="D920" s="12">
        <f t="shared" si="127"/>
        <v>0.75</v>
      </c>
      <c r="E920" s="12">
        <f t="shared" si="128"/>
        <v>11.042708053333332</v>
      </c>
      <c r="F920" s="12">
        <f t="shared" si="129"/>
        <v>11.042708053333332</v>
      </c>
      <c r="G920" s="12">
        <f t="shared" si="130"/>
        <v>14.462166328888888</v>
      </c>
      <c r="H920" s="12">
        <f t="shared" si="131"/>
        <v>14.462166328888888</v>
      </c>
      <c r="I920" s="1" t="str">
        <f t="shared" si="132"/>
        <v>No</v>
      </c>
      <c r="J920" s="1" t="str">
        <f t="shared" si="133"/>
        <v>Si</v>
      </c>
      <c r="K920" s="1" t="str">
        <f t="shared" si="134"/>
        <v/>
      </c>
    </row>
    <row r="921" spans="1:11" x14ac:dyDescent="0.3">
      <c r="A921" s="1">
        <v>17</v>
      </c>
      <c r="B921" s="1">
        <v>36</v>
      </c>
      <c r="C921" s="12">
        <f t="shared" si="126"/>
        <v>-0.60000000000000009</v>
      </c>
      <c r="D921" s="12">
        <f t="shared" si="127"/>
        <v>0.82500000000000018</v>
      </c>
      <c r="E921" s="12">
        <f t="shared" si="128"/>
        <v>11.040219960888887</v>
      </c>
      <c r="F921" s="12">
        <f t="shared" si="129"/>
        <v>11.040219960888887</v>
      </c>
      <c r="G921" s="12">
        <f t="shared" si="130"/>
        <v>14.458661973333331</v>
      </c>
      <c r="H921" s="12">
        <f t="shared" si="131"/>
        <v>14.458661973333331</v>
      </c>
      <c r="I921" s="1" t="str">
        <f t="shared" si="132"/>
        <v>No</v>
      </c>
      <c r="J921" s="1" t="str">
        <f t="shared" si="133"/>
        <v>Si</v>
      </c>
      <c r="K921" s="1" t="str">
        <f t="shared" si="134"/>
        <v/>
      </c>
    </row>
    <row r="922" spans="1:11" x14ac:dyDescent="0.3">
      <c r="A922" s="1">
        <v>17</v>
      </c>
      <c r="B922" s="1">
        <v>37</v>
      </c>
      <c r="C922" s="12">
        <f t="shared" si="126"/>
        <v>-0.60000000000000009</v>
      </c>
      <c r="D922" s="12">
        <f t="shared" si="127"/>
        <v>0.89999999999999991</v>
      </c>
      <c r="E922" s="12">
        <f t="shared" si="128"/>
        <v>11.037731868444443</v>
      </c>
      <c r="F922" s="12">
        <f t="shared" si="129"/>
        <v>11.037731868444443</v>
      </c>
      <c r="G922" s="12">
        <f t="shared" si="130"/>
        <v>14.455157617777775</v>
      </c>
      <c r="H922" s="12">
        <f t="shared" si="131"/>
        <v>14.455157617777775</v>
      </c>
      <c r="I922" s="1" t="str">
        <f t="shared" si="132"/>
        <v>No</v>
      </c>
      <c r="J922" s="1" t="str">
        <f t="shared" si="133"/>
        <v>Si</v>
      </c>
      <c r="K922" s="1" t="str">
        <f t="shared" si="134"/>
        <v/>
      </c>
    </row>
    <row r="923" spans="1:11" x14ac:dyDescent="0.3">
      <c r="A923" s="1">
        <v>17</v>
      </c>
      <c r="B923" s="1">
        <v>38</v>
      </c>
      <c r="C923" s="12">
        <f t="shared" si="126"/>
        <v>-0.60000000000000009</v>
      </c>
      <c r="D923" s="12">
        <f t="shared" si="127"/>
        <v>0.97500000000000009</v>
      </c>
      <c r="E923" s="12">
        <f t="shared" si="128"/>
        <v>11.035243775999998</v>
      </c>
      <c r="F923" s="12">
        <f t="shared" si="129"/>
        <v>11.035243775999998</v>
      </c>
      <c r="G923" s="12">
        <f t="shared" si="130"/>
        <v>14.451653262222221</v>
      </c>
      <c r="H923" s="12">
        <f t="shared" si="131"/>
        <v>14.451653262222221</v>
      </c>
      <c r="I923" s="1" t="str">
        <f t="shared" si="132"/>
        <v>No</v>
      </c>
      <c r="J923" s="1" t="str">
        <f t="shared" si="133"/>
        <v>Si</v>
      </c>
      <c r="K923" s="1" t="str">
        <f t="shared" si="134"/>
        <v/>
      </c>
    </row>
    <row r="924" spans="1:11" x14ac:dyDescent="0.3">
      <c r="A924" s="1">
        <v>17</v>
      </c>
      <c r="B924" s="1">
        <v>39</v>
      </c>
      <c r="C924" s="12">
        <f t="shared" si="126"/>
        <v>-0.60000000000000009</v>
      </c>
      <c r="D924" s="12">
        <f t="shared" si="127"/>
        <v>1.0499999999999998</v>
      </c>
      <c r="E924" s="12">
        <f t="shared" si="128"/>
        <v>11.032755683555553</v>
      </c>
      <c r="F924" s="12">
        <f t="shared" si="129"/>
        <v>11.032755683555553</v>
      </c>
      <c r="G924" s="12">
        <f t="shared" si="130"/>
        <v>14.448148906666665</v>
      </c>
      <c r="H924" s="12">
        <f t="shared" si="131"/>
        <v>14.448148906666665</v>
      </c>
      <c r="I924" s="1" t="str">
        <f t="shared" si="132"/>
        <v>No</v>
      </c>
      <c r="J924" s="1" t="str">
        <f t="shared" si="133"/>
        <v>Si</v>
      </c>
      <c r="K924" s="1" t="str">
        <f t="shared" si="134"/>
        <v/>
      </c>
    </row>
    <row r="925" spans="1:11" x14ac:dyDescent="0.3">
      <c r="A925" s="1">
        <v>17</v>
      </c>
      <c r="B925" s="1">
        <v>40</v>
      </c>
      <c r="C925" s="12">
        <f t="shared" si="126"/>
        <v>-0.60000000000000009</v>
      </c>
      <c r="D925" s="12">
        <f t="shared" si="127"/>
        <v>1.125</v>
      </c>
      <c r="E925" s="12">
        <f t="shared" si="128"/>
        <v>11.030267591111109</v>
      </c>
      <c r="F925" s="12">
        <f t="shared" si="129"/>
        <v>11.030267591111109</v>
      </c>
      <c r="G925" s="12">
        <f t="shared" si="130"/>
        <v>14.444644551111109</v>
      </c>
      <c r="H925" s="12">
        <f t="shared" si="131"/>
        <v>14.444644551111109</v>
      </c>
      <c r="I925" s="1" t="str">
        <f t="shared" si="132"/>
        <v>No</v>
      </c>
      <c r="J925" s="1" t="str">
        <f t="shared" si="133"/>
        <v>Si</v>
      </c>
      <c r="K925" s="1" t="str">
        <f t="shared" si="134"/>
        <v/>
      </c>
    </row>
    <row r="926" spans="1:11" x14ac:dyDescent="0.3">
      <c r="A926" s="1">
        <v>17</v>
      </c>
      <c r="B926" s="1">
        <v>41</v>
      </c>
      <c r="C926" s="12">
        <f t="shared" si="126"/>
        <v>-0.60000000000000009</v>
      </c>
      <c r="D926" s="12">
        <f t="shared" si="127"/>
        <v>1.2000000000000002</v>
      </c>
      <c r="E926" s="12">
        <f t="shared" si="128"/>
        <v>11.027779498666664</v>
      </c>
      <c r="F926" s="12">
        <f t="shared" si="129"/>
        <v>11.027779498666664</v>
      </c>
      <c r="G926" s="12">
        <f t="shared" si="130"/>
        <v>14.441140195555555</v>
      </c>
      <c r="H926" s="12">
        <f t="shared" si="131"/>
        <v>14.441140195555555</v>
      </c>
      <c r="I926" s="1" t="str">
        <f t="shared" si="132"/>
        <v>No</v>
      </c>
      <c r="J926" s="1" t="str">
        <f t="shared" si="133"/>
        <v>Si</v>
      </c>
      <c r="K926" s="1" t="str">
        <f t="shared" si="134"/>
        <v/>
      </c>
    </row>
    <row r="927" spans="1:11" x14ac:dyDescent="0.3">
      <c r="A927" s="1">
        <v>17</v>
      </c>
      <c r="B927" s="1">
        <v>42</v>
      </c>
      <c r="C927" s="12">
        <f t="shared" si="126"/>
        <v>-0.60000000000000009</v>
      </c>
      <c r="D927" s="12">
        <f t="shared" si="127"/>
        <v>1.2749999999999999</v>
      </c>
      <c r="E927" s="12">
        <f t="shared" si="128"/>
        <v>11.02529140622222</v>
      </c>
      <c r="F927" s="12">
        <f t="shared" si="129"/>
        <v>11.02529140622222</v>
      </c>
      <c r="G927" s="12">
        <f t="shared" si="130"/>
        <v>14.437635839999999</v>
      </c>
      <c r="H927" s="12">
        <f t="shared" si="131"/>
        <v>14.437635839999999</v>
      </c>
      <c r="I927" s="1" t="str">
        <f t="shared" si="132"/>
        <v>No</v>
      </c>
      <c r="J927" s="1" t="str">
        <f t="shared" si="133"/>
        <v>Si</v>
      </c>
      <c r="K927" s="1" t="str">
        <f t="shared" si="134"/>
        <v/>
      </c>
    </row>
    <row r="928" spans="1:11" x14ac:dyDescent="0.3">
      <c r="A928" s="1">
        <v>17</v>
      </c>
      <c r="B928" s="1">
        <v>43</v>
      </c>
      <c r="C928" s="12">
        <f t="shared" si="126"/>
        <v>-0.60000000000000009</v>
      </c>
      <c r="D928" s="12">
        <f t="shared" si="127"/>
        <v>1.35</v>
      </c>
      <c r="E928" s="12">
        <f t="shared" si="128"/>
        <v>11.022803313777775</v>
      </c>
      <c r="F928" s="12">
        <f t="shared" si="129"/>
        <v>11.022803313777775</v>
      </c>
      <c r="G928" s="12">
        <f t="shared" si="130"/>
        <v>14.434131484444443</v>
      </c>
      <c r="H928" s="12">
        <f t="shared" si="131"/>
        <v>14.434131484444443</v>
      </c>
      <c r="I928" s="1" t="str">
        <f t="shared" si="132"/>
        <v>No</v>
      </c>
      <c r="J928" s="1" t="str">
        <f t="shared" si="133"/>
        <v>Si</v>
      </c>
      <c r="K928" s="1" t="str">
        <f t="shared" si="134"/>
        <v/>
      </c>
    </row>
    <row r="929" spans="1:11" x14ac:dyDescent="0.3">
      <c r="A929" s="1">
        <v>17</v>
      </c>
      <c r="B929" s="1">
        <v>44</v>
      </c>
      <c r="C929" s="12">
        <f t="shared" si="126"/>
        <v>-0.60000000000000009</v>
      </c>
      <c r="D929" s="12">
        <f t="shared" si="127"/>
        <v>1.4249999999999998</v>
      </c>
      <c r="E929" s="12">
        <f t="shared" si="128"/>
        <v>11.020315221333332</v>
      </c>
      <c r="F929" s="12">
        <f t="shared" si="129"/>
        <v>11.020315221333332</v>
      </c>
      <c r="G929" s="12">
        <f t="shared" si="130"/>
        <v>14.430627128888887</v>
      </c>
      <c r="H929" s="12">
        <f t="shared" si="131"/>
        <v>14.430627128888887</v>
      </c>
      <c r="I929" s="1" t="str">
        <f t="shared" si="132"/>
        <v>No</v>
      </c>
      <c r="J929" s="1" t="str">
        <f t="shared" si="133"/>
        <v>Si</v>
      </c>
      <c r="K929" s="1" t="str">
        <f t="shared" si="134"/>
        <v/>
      </c>
    </row>
    <row r="930" spans="1:11" x14ac:dyDescent="0.3">
      <c r="A930" s="1">
        <v>17</v>
      </c>
      <c r="B930" s="1">
        <v>45</v>
      </c>
      <c r="C930" s="12">
        <f t="shared" si="126"/>
        <v>-0.60000000000000009</v>
      </c>
      <c r="D930" s="12">
        <f t="shared" si="127"/>
        <v>1.5</v>
      </c>
      <c r="E930" s="12">
        <f t="shared" si="128"/>
        <v>11.017827128888888</v>
      </c>
      <c r="F930" s="12">
        <f t="shared" si="129"/>
        <v>11.017827128888888</v>
      </c>
      <c r="G930" s="12">
        <f t="shared" si="130"/>
        <v>14.427122773333332</v>
      </c>
      <c r="H930" s="12">
        <f t="shared" si="131"/>
        <v>14.427122773333332</v>
      </c>
      <c r="I930" s="1" t="str">
        <f t="shared" si="132"/>
        <v>No</v>
      </c>
      <c r="J930" s="1" t="str">
        <f t="shared" si="133"/>
        <v>Si</v>
      </c>
      <c r="K930" s="1" t="str">
        <f t="shared" si="134"/>
        <v/>
      </c>
    </row>
    <row r="931" spans="1:11" x14ac:dyDescent="0.3">
      <c r="A931" s="1">
        <v>17</v>
      </c>
      <c r="B931" s="1">
        <v>46</v>
      </c>
      <c r="C931" s="12">
        <f t="shared" si="126"/>
        <v>-0.60000000000000009</v>
      </c>
      <c r="D931" s="12">
        <f t="shared" si="127"/>
        <v>1.5750000000000002</v>
      </c>
      <c r="E931" s="12">
        <f t="shared" si="128"/>
        <v>11.015339036444443</v>
      </c>
      <c r="F931" s="12">
        <f t="shared" si="129"/>
        <v>11.015339036444443</v>
      </c>
      <c r="G931" s="12">
        <f t="shared" si="130"/>
        <v>14.423618417777776</v>
      </c>
      <c r="H931" s="12">
        <f t="shared" si="131"/>
        <v>14.423618417777776</v>
      </c>
      <c r="I931" s="1" t="str">
        <f t="shared" si="132"/>
        <v>No</v>
      </c>
      <c r="J931" s="1" t="str">
        <f t="shared" si="133"/>
        <v>Si</v>
      </c>
      <c r="K931" s="1" t="str">
        <f t="shared" si="134"/>
        <v/>
      </c>
    </row>
    <row r="932" spans="1:11" x14ac:dyDescent="0.3">
      <c r="A932" s="1">
        <v>17</v>
      </c>
      <c r="B932" s="1">
        <v>47</v>
      </c>
      <c r="C932" s="12">
        <f t="shared" si="126"/>
        <v>-0.60000000000000009</v>
      </c>
      <c r="D932" s="12">
        <f t="shared" si="127"/>
        <v>1.65</v>
      </c>
      <c r="E932" s="12">
        <f t="shared" si="128"/>
        <v>11.012850943999998</v>
      </c>
      <c r="F932" s="12">
        <f t="shared" si="129"/>
        <v>11.012850943999998</v>
      </c>
      <c r="G932" s="12">
        <f t="shared" si="130"/>
        <v>14.42011406222222</v>
      </c>
      <c r="H932" s="12">
        <f t="shared" si="131"/>
        <v>14.42011406222222</v>
      </c>
      <c r="I932" s="1" t="str">
        <f t="shared" si="132"/>
        <v>No</v>
      </c>
      <c r="J932" s="1" t="str">
        <f t="shared" si="133"/>
        <v>Si</v>
      </c>
      <c r="K932" s="1" t="str">
        <f t="shared" si="134"/>
        <v/>
      </c>
    </row>
    <row r="933" spans="1:11" x14ac:dyDescent="0.3">
      <c r="A933" s="1">
        <v>17</v>
      </c>
      <c r="B933" s="1">
        <v>48</v>
      </c>
      <c r="C933" s="12">
        <f t="shared" si="126"/>
        <v>-0.60000000000000009</v>
      </c>
      <c r="D933" s="12">
        <f t="shared" si="127"/>
        <v>1.7250000000000001</v>
      </c>
      <c r="E933" s="12">
        <f t="shared" si="128"/>
        <v>11.010362851555554</v>
      </c>
      <c r="F933" s="12">
        <f t="shared" si="129"/>
        <v>11.010362851555554</v>
      </c>
      <c r="G933" s="12">
        <f t="shared" si="130"/>
        <v>14.416609706666666</v>
      </c>
      <c r="H933" s="12">
        <f t="shared" si="131"/>
        <v>14.416609706666666</v>
      </c>
      <c r="I933" s="1" t="str">
        <f t="shared" si="132"/>
        <v>No</v>
      </c>
      <c r="J933" s="1" t="str">
        <f t="shared" si="133"/>
        <v>Si</v>
      </c>
      <c r="K933" s="1" t="str">
        <f t="shared" si="134"/>
        <v/>
      </c>
    </row>
    <row r="934" spans="1:11" x14ac:dyDescent="0.3">
      <c r="A934" s="1">
        <v>17</v>
      </c>
      <c r="B934" s="1">
        <v>49</v>
      </c>
      <c r="C934" s="12">
        <f t="shared" si="126"/>
        <v>-0.60000000000000009</v>
      </c>
      <c r="D934" s="12">
        <f t="shared" si="127"/>
        <v>1.7999999999999998</v>
      </c>
      <c r="E934" s="12">
        <f t="shared" si="128"/>
        <v>11.007874759111109</v>
      </c>
      <c r="F934" s="12">
        <f t="shared" si="129"/>
        <v>11.007874759111109</v>
      </c>
      <c r="G934" s="12">
        <f t="shared" si="130"/>
        <v>14.41310535111111</v>
      </c>
      <c r="H934" s="12">
        <f t="shared" si="131"/>
        <v>14.41310535111111</v>
      </c>
      <c r="I934" s="1" t="str">
        <f t="shared" si="132"/>
        <v>No</v>
      </c>
      <c r="J934" s="1" t="str">
        <f t="shared" si="133"/>
        <v>Si</v>
      </c>
      <c r="K934" s="1" t="str">
        <f t="shared" si="134"/>
        <v/>
      </c>
    </row>
    <row r="935" spans="1:11" x14ac:dyDescent="0.3">
      <c r="A935" s="1">
        <v>17</v>
      </c>
      <c r="B935" s="1">
        <v>50</v>
      </c>
      <c r="C935" s="12">
        <f t="shared" si="126"/>
        <v>-0.60000000000000009</v>
      </c>
      <c r="D935" s="12">
        <f t="shared" si="127"/>
        <v>1.875</v>
      </c>
      <c r="E935" s="12">
        <f t="shared" si="128"/>
        <v>11.005386666666665</v>
      </c>
      <c r="F935" s="12">
        <f t="shared" si="129"/>
        <v>11.005386666666665</v>
      </c>
      <c r="G935" s="12">
        <f t="shared" si="130"/>
        <v>14.409600995555554</v>
      </c>
      <c r="H935" s="12">
        <f t="shared" si="131"/>
        <v>14.409600995555554</v>
      </c>
      <c r="I935" s="1" t="str">
        <f t="shared" si="132"/>
        <v>No</v>
      </c>
      <c r="J935" s="1" t="str">
        <f t="shared" si="133"/>
        <v>Si</v>
      </c>
      <c r="K935" s="1" t="str">
        <f t="shared" si="134"/>
        <v/>
      </c>
    </row>
    <row r="936" spans="1:11" x14ac:dyDescent="0.3">
      <c r="A936" s="1">
        <v>18</v>
      </c>
      <c r="B936" s="1">
        <v>0</v>
      </c>
      <c r="C936" s="12">
        <f t="shared" si="126"/>
        <v>-0.52499999999999991</v>
      </c>
      <c r="D936" s="12">
        <f t="shared" si="127"/>
        <v>-1.875</v>
      </c>
      <c r="E936" s="12">
        <f t="shared" si="128"/>
        <v>11.130485333333333</v>
      </c>
      <c r="F936" s="12">
        <f t="shared" si="129"/>
        <v>11.130485333333333</v>
      </c>
      <c r="G936" s="12">
        <f t="shared" si="130"/>
        <v>14.585856426666666</v>
      </c>
      <c r="H936" s="12">
        <f t="shared" si="131"/>
        <v>14.585856426666666</v>
      </c>
      <c r="I936" s="1" t="str">
        <f t="shared" si="132"/>
        <v>No</v>
      </c>
      <c r="J936" s="1" t="str">
        <f t="shared" si="133"/>
        <v>Si</v>
      </c>
      <c r="K936" s="1" t="str">
        <f t="shared" si="134"/>
        <v/>
      </c>
    </row>
    <row r="937" spans="1:11" x14ac:dyDescent="0.3">
      <c r="A937" s="1">
        <v>18</v>
      </c>
      <c r="B937" s="1">
        <v>1</v>
      </c>
      <c r="C937" s="12">
        <f t="shared" si="126"/>
        <v>-0.52499999999999991</v>
      </c>
      <c r="D937" s="12">
        <f t="shared" si="127"/>
        <v>-1.8</v>
      </c>
      <c r="E937" s="12">
        <f t="shared" si="128"/>
        <v>11.127997240888888</v>
      </c>
      <c r="F937" s="12">
        <f t="shared" si="129"/>
        <v>11.127997240888888</v>
      </c>
      <c r="G937" s="12">
        <f t="shared" si="130"/>
        <v>14.58235207111111</v>
      </c>
      <c r="H937" s="12">
        <f t="shared" si="131"/>
        <v>14.58235207111111</v>
      </c>
      <c r="I937" s="1" t="str">
        <f t="shared" si="132"/>
        <v>No</v>
      </c>
      <c r="J937" s="1" t="str">
        <f t="shared" si="133"/>
        <v>Si</v>
      </c>
      <c r="K937" s="1" t="str">
        <f t="shared" si="134"/>
        <v/>
      </c>
    </row>
    <row r="938" spans="1:11" x14ac:dyDescent="0.3">
      <c r="A938" s="1">
        <v>18</v>
      </c>
      <c r="B938" s="1">
        <v>2</v>
      </c>
      <c r="C938" s="12">
        <f t="shared" si="126"/>
        <v>-0.52499999999999991</v>
      </c>
      <c r="D938" s="12">
        <f t="shared" si="127"/>
        <v>-1.7250000000000001</v>
      </c>
      <c r="E938" s="12">
        <f t="shared" si="128"/>
        <v>11.125509148444443</v>
      </c>
      <c r="F938" s="12">
        <f t="shared" si="129"/>
        <v>11.125509148444443</v>
      </c>
      <c r="G938" s="12">
        <f t="shared" si="130"/>
        <v>14.578847715555554</v>
      </c>
      <c r="H938" s="12">
        <f t="shared" si="131"/>
        <v>14.578847715555554</v>
      </c>
      <c r="I938" s="1" t="str">
        <f t="shared" si="132"/>
        <v>No</v>
      </c>
      <c r="J938" s="1" t="str">
        <f t="shared" si="133"/>
        <v>Si</v>
      </c>
      <c r="K938" s="1" t="str">
        <f t="shared" si="134"/>
        <v/>
      </c>
    </row>
    <row r="939" spans="1:11" x14ac:dyDescent="0.3">
      <c r="A939" s="1">
        <v>18</v>
      </c>
      <c r="B939" s="1">
        <v>3</v>
      </c>
      <c r="C939" s="12">
        <f t="shared" si="126"/>
        <v>-0.52499999999999991</v>
      </c>
      <c r="D939" s="12">
        <f t="shared" si="127"/>
        <v>-1.65</v>
      </c>
      <c r="E939" s="12">
        <f t="shared" si="128"/>
        <v>11.123021055999999</v>
      </c>
      <c r="F939" s="12">
        <f t="shared" si="129"/>
        <v>11.123021055999999</v>
      </c>
      <c r="G939" s="12">
        <f t="shared" si="130"/>
        <v>14.57534336</v>
      </c>
      <c r="H939" s="12">
        <f t="shared" si="131"/>
        <v>14.57534336</v>
      </c>
      <c r="I939" s="1" t="str">
        <f t="shared" si="132"/>
        <v>No</v>
      </c>
      <c r="J939" s="1" t="str">
        <f t="shared" si="133"/>
        <v>Si</v>
      </c>
      <c r="K939" s="1" t="str">
        <f t="shared" si="134"/>
        <v/>
      </c>
    </row>
    <row r="940" spans="1:11" x14ac:dyDescent="0.3">
      <c r="A940" s="1">
        <v>18</v>
      </c>
      <c r="B940" s="1">
        <v>4</v>
      </c>
      <c r="C940" s="12">
        <f t="shared" si="126"/>
        <v>-0.52499999999999991</v>
      </c>
      <c r="D940" s="12">
        <f t="shared" si="127"/>
        <v>-1.575</v>
      </c>
      <c r="E940" s="12">
        <f t="shared" si="128"/>
        <v>11.120532963555554</v>
      </c>
      <c r="F940" s="12">
        <f t="shared" si="129"/>
        <v>11.120532963555554</v>
      </c>
      <c r="G940" s="12">
        <f t="shared" si="130"/>
        <v>14.571839004444444</v>
      </c>
      <c r="H940" s="12">
        <f t="shared" si="131"/>
        <v>14.571839004444444</v>
      </c>
      <c r="I940" s="1" t="str">
        <f t="shared" si="132"/>
        <v>No</v>
      </c>
      <c r="J940" s="1" t="str">
        <f t="shared" si="133"/>
        <v>Si</v>
      </c>
      <c r="K940" s="1" t="str">
        <f t="shared" si="134"/>
        <v/>
      </c>
    </row>
    <row r="941" spans="1:11" x14ac:dyDescent="0.3">
      <c r="A941" s="1">
        <v>18</v>
      </c>
      <c r="B941" s="1">
        <v>5</v>
      </c>
      <c r="C941" s="12">
        <f t="shared" si="126"/>
        <v>-0.52499999999999991</v>
      </c>
      <c r="D941" s="12">
        <f t="shared" si="127"/>
        <v>-1.5</v>
      </c>
      <c r="E941" s="12">
        <f t="shared" si="128"/>
        <v>11.11804487111111</v>
      </c>
      <c r="F941" s="12">
        <f t="shared" si="129"/>
        <v>11.11804487111111</v>
      </c>
      <c r="G941" s="12">
        <f t="shared" si="130"/>
        <v>14.568334648888888</v>
      </c>
      <c r="H941" s="12">
        <f t="shared" si="131"/>
        <v>14.568334648888888</v>
      </c>
      <c r="I941" s="1" t="str">
        <f t="shared" si="132"/>
        <v>No</v>
      </c>
      <c r="J941" s="1" t="str">
        <f t="shared" si="133"/>
        <v>Si</v>
      </c>
      <c r="K941" s="1" t="str">
        <f t="shared" si="134"/>
        <v/>
      </c>
    </row>
    <row r="942" spans="1:11" x14ac:dyDescent="0.3">
      <c r="A942" s="1">
        <v>18</v>
      </c>
      <c r="B942" s="1">
        <v>6</v>
      </c>
      <c r="C942" s="12">
        <f t="shared" si="126"/>
        <v>-0.52499999999999991</v>
      </c>
      <c r="D942" s="12">
        <f t="shared" si="127"/>
        <v>-1.425</v>
      </c>
      <c r="E942" s="12">
        <f t="shared" si="128"/>
        <v>11.115556778666665</v>
      </c>
      <c r="F942" s="12">
        <f t="shared" si="129"/>
        <v>11.115556778666665</v>
      </c>
      <c r="G942" s="12">
        <f t="shared" si="130"/>
        <v>14.564830293333333</v>
      </c>
      <c r="H942" s="12">
        <f t="shared" si="131"/>
        <v>14.564830293333333</v>
      </c>
      <c r="I942" s="1" t="str">
        <f t="shared" si="132"/>
        <v>No</v>
      </c>
      <c r="J942" s="1" t="str">
        <f t="shared" si="133"/>
        <v>Si</v>
      </c>
      <c r="K942" s="1" t="str">
        <f t="shared" si="134"/>
        <v/>
      </c>
    </row>
    <row r="943" spans="1:11" x14ac:dyDescent="0.3">
      <c r="A943" s="1">
        <v>18</v>
      </c>
      <c r="B943" s="1">
        <v>7</v>
      </c>
      <c r="C943" s="12">
        <f t="shared" si="126"/>
        <v>-0.52499999999999991</v>
      </c>
      <c r="D943" s="12">
        <f t="shared" si="127"/>
        <v>-1.35</v>
      </c>
      <c r="E943" s="12">
        <f t="shared" si="128"/>
        <v>11.113068686222222</v>
      </c>
      <c r="F943" s="12">
        <f t="shared" si="129"/>
        <v>11.113068686222222</v>
      </c>
      <c r="G943" s="12">
        <f t="shared" si="130"/>
        <v>14.561325937777777</v>
      </c>
      <c r="H943" s="12">
        <f t="shared" si="131"/>
        <v>14.561325937777777</v>
      </c>
      <c r="I943" s="1" t="str">
        <f t="shared" si="132"/>
        <v>No</v>
      </c>
      <c r="J943" s="1" t="str">
        <f t="shared" si="133"/>
        <v>Si</v>
      </c>
      <c r="K943" s="1" t="str">
        <f t="shared" si="134"/>
        <v/>
      </c>
    </row>
    <row r="944" spans="1:11" x14ac:dyDescent="0.3">
      <c r="A944" s="1">
        <v>18</v>
      </c>
      <c r="B944" s="1">
        <v>8</v>
      </c>
      <c r="C944" s="12">
        <f t="shared" si="126"/>
        <v>-0.52499999999999991</v>
      </c>
      <c r="D944" s="12">
        <f t="shared" si="127"/>
        <v>-1.2749999999999999</v>
      </c>
      <c r="E944" s="12">
        <f t="shared" si="128"/>
        <v>11.110580593777778</v>
      </c>
      <c r="F944" s="12">
        <f t="shared" si="129"/>
        <v>11.110580593777778</v>
      </c>
      <c r="G944" s="12">
        <f t="shared" si="130"/>
        <v>14.557821582222221</v>
      </c>
      <c r="H944" s="12">
        <f t="shared" si="131"/>
        <v>14.557821582222221</v>
      </c>
      <c r="I944" s="1" t="str">
        <f t="shared" si="132"/>
        <v>No</v>
      </c>
      <c r="J944" s="1" t="str">
        <f t="shared" si="133"/>
        <v>Si</v>
      </c>
      <c r="K944" s="1" t="str">
        <f t="shared" si="134"/>
        <v/>
      </c>
    </row>
    <row r="945" spans="1:11" x14ac:dyDescent="0.3">
      <c r="A945" s="1">
        <v>18</v>
      </c>
      <c r="B945" s="1">
        <v>9</v>
      </c>
      <c r="C945" s="12">
        <f t="shared" si="126"/>
        <v>-0.52499999999999991</v>
      </c>
      <c r="D945" s="12">
        <f t="shared" si="127"/>
        <v>-1.2</v>
      </c>
      <c r="E945" s="12">
        <f t="shared" si="128"/>
        <v>11.108092501333333</v>
      </c>
      <c r="F945" s="12">
        <f t="shared" si="129"/>
        <v>11.108092501333333</v>
      </c>
      <c r="G945" s="12">
        <f t="shared" si="130"/>
        <v>14.554317226666665</v>
      </c>
      <c r="H945" s="12">
        <f t="shared" si="131"/>
        <v>14.554317226666665</v>
      </c>
      <c r="I945" s="1" t="str">
        <f t="shared" si="132"/>
        <v>No</v>
      </c>
      <c r="J945" s="1" t="str">
        <f t="shared" si="133"/>
        <v>Si</v>
      </c>
      <c r="K945" s="1" t="str">
        <f t="shared" si="134"/>
        <v/>
      </c>
    </row>
    <row r="946" spans="1:11" x14ac:dyDescent="0.3">
      <c r="A946" s="1">
        <v>18</v>
      </c>
      <c r="B946" s="1">
        <v>10</v>
      </c>
      <c r="C946" s="12">
        <f t="shared" si="126"/>
        <v>-0.52499999999999991</v>
      </c>
      <c r="D946" s="12">
        <f t="shared" si="127"/>
        <v>-1.125</v>
      </c>
      <c r="E946" s="12">
        <f t="shared" si="128"/>
        <v>11.105604408888889</v>
      </c>
      <c r="F946" s="12">
        <f t="shared" si="129"/>
        <v>11.105604408888889</v>
      </c>
      <c r="G946" s="12">
        <f t="shared" si="130"/>
        <v>14.550812871111111</v>
      </c>
      <c r="H946" s="12">
        <f t="shared" si="131"/>
        <v>14.550812871111111</v>
      </c>
      <c r="I946" s="1" t="str">
        <f t="shared" si="132"/>
        <v>No</v>
      </c>
      <c r="J946" s="1" t="str">
        <f t="shared" si="133"/>
        <v>Si</v>
      </c>
      <c r="K946" s="1" t="str">
        <f t="shared" si="134"/>
        <v/>
      </c>
    </row>
    <row r="947" spans="1:11" x14ac:dyDescent="0.3">
      <c r="A947" s="1">
        <v>18</v>
      </c>
      <c r="B947" s="1">
        <v>11</v>
      </c>
      <c r="C947" s="12">
        <f t="shared" si="126"/>
        <v>-0.52499999999999991</v>
      </c>
      <c r="D947" s="12">
        <f t="shared" si="127"/>
        <v>-1.05</v>
      </c>
      <c r="E947" s="12">
        <f t="shared" si="128"/>
        <v>11.103116316444444</v>
      </c>
      <c r="F947" s="12">
        <f t="shared" si="129"/>
        <v>11.103116316444444</v>
      </c>
      <c r="G947" s="12">
        <f t="shared" si="130"/>
        <v>14.547308515555555</v>
      </c>
      <c r="H947" s="12">
        <f t="shared" si="131"/>
        <v>14.547308515555555</v>
      </c>
      <c r="I947" s="1" t="str">
        <f t="shared" si="132"/>
        <v>No</v>
      </c>
      <c r="J947" s="1" t="str">
        <f t="shared" si="133"/>
        <v>Si</v>
      </c>
      <c r="K947" s="1" t="str">
        <f t="shared" si="134"/>
        <v/>
      </c>
    </row>
    <row r="948" spans="1:11" x14ac:dyDescent="0.3">
      <c r="A948" s="1">
        <v>18</v>
      </c>
      <c r="B948" s="1">
        <v>12</v>
      </c>
      <c r="C948" s="12">
        <f t="shared" si="126"/>
        <v>-0.52499999999999991</v>
      </c>
      <c r="D948" s="12">
        <f t="shared" si="127"/>
        <v>-0.97499999999999998</v>
      </c>
      <c r="E948" s="12">
        <f t="shared" si="128"/>
        <v>11.100628223999999</v>
      </c>
      <c r="F948" s="12">
        <f t="shared" si="129"/>
        <v>11.100628223999999</v>
      </c>
      <c r="G948" s="12">
        <f t="shared" si="130"/>
        <v>14.543804159999999</v>
      </c>
      <c r="H948" s="12">
        <f t="shared" si="131"/>
        <v>14.543804159999999</v>
      </c>
      <c r="I948" s="1" t="str">
        <f t="shared" si="132"/>
        <v>No</v>
      </c>
      <c r="J948" s="1" t="str">
        <f t="shared" si="133"/>
        <v>Si</v>
      </c>
      <c r="K948" s="1" t="str">
        <f t="shared" si="134"/>
        <v/>
      </c>
    </row>
    <row r="949" spans="1:11" x14ac:dyDescent="0.3">
      <c r="A949" s="1">
        <v>18</v>
      </c>
      <c r="B949" s="1">
        <v>13</v>
      </c>
      <c r="C949" s="12">
        <f t="shared" si="126"/>
        <v>-0.52499999999999991</v>
      </c>
      <c r="D949" s="12">
        <f t="shared" si="127"/>
        <v>-0.9</v>
      </c>
      <c r="E949" s="12">
        <f t="shared" si="128"/>
        <v>11.098140131555555</v>
      </c>
      <c r="F949" s="12">
        <f t="shared" si="129"/>
        <v>11.098140131555555</v>
      </c>
      <c r="G949" s="12">
        <f t="shared" si="130"/>
        <v>14.540299804444444</v>
      </c>
      <c r="H949" s="12">
        <f t="shared" si="131"/>
        <v>14.540299804444444</v>
      </c>
      <c r="I949" s="1" t="str">
        <f t="shared" si="132"/>
        <v>No</v>
      </c>
      <c r="J949" s="1" t="str">
        <f t="shared" si="133"/>
        <v>Si</v>
      </c>
      <c r="K949" s="1" t="str">
        <f t="shared" si="134"/>
        <v/>
      </c>
    </row>
    <row r="950" spans="1:11" x14ac:dyDescent="0.3">
      <c r="A950" s="1">
        <v>18</v>
      </c>
      <c r="B950" s="1">
        <v>14</v>
      </c>
      <c r="C950" s="12">
        <f t="shared" si="126"/>
        <v>-0.52499999999999991</v>
      </c>
      <c r="D950" s="12">
        <f t="shared" si="127"/>
        <v>-0.82499999999999996</v>
      </c>
      <c r="E950" s="12">
        <f t="shared" si="128"/>
        <v>11.09565203911111</v>
      </c>
      <c r="F950" s="12">
        <f t="shared" si="129"/>
        <v>11.09565203911111</v>
      </c>
      <c r="G950" s="12">
        <f t="shared" si="130"/>
        <v>14.536795448888888</v>
      </c>
      <c r="H950" s="12">
        <f t="shared" si="131"/>
        <v>14.536795448888888</v>
      </c>
      <c r="I950" s="1" t="str">
        <f t="shared" si="132"/>
        <v>No</v>
      </c>
      <c r="J950" s="1" t="str">
        <f t="shared" si="133"/>
        <v>Si</v>
      </c>
      <c r="K950" s="1" t="str">
        <f t="shared" si="134"/>
        <v/>
      </c>
    </row>
    <row r="951" spans="1:11" x14ac:dyDescent="0.3">
      <c r="A951" s="1">
        <v>18</v>
      </c>
      <c r="B951" s="1">
        <v>15</v>
      </c>
      <c r="C951" s="12">
        <f t="shared" si="126"/>
        <v>-0.52499999999999991</v>
      </c>
      <c r="D951" s="12">
        <f t="shared" si="127"/>
        <v>-0.75</v>
      </c>
      <c r="E951" s="12">
        <f t="shared" si="128"/>
        <v>11.093163946666666</v>
      </c>
      <c r="F951" s="12">
        <f t="shared" si="129"/>
        <v>11.093163946666666</v>
      </c>
      <c r="G951" s="12">
        <f t="shared" si="130"/>
        <v>14.533291093333332</v>
      </c>
      <c r="H951" s="12">
        <f t="shared" si="131"/>
        <v>14.533291093333332</v>
      </c>
      <c r="I951" s="1" t="str">
        <f t="shared" si="132"/>
        <v>No</v>
      </c>
      <c r="J951" s="1" t="str">
        <f t="shared" si="133"/>
        <v>Si</v>
      </c>
      <c r="K951" s="1" t="str">
        <f t="shared" si="134"/>
        <v/>
      </c>
    </row>
    <row r="952" spans="1:11" x14ac:dyDescent="0.3">
      <c r="A952" s="1">
        <v>18</v>
      </c>
      <c r="B952" s="1">
        <v>16</v>
      </c>
      <c r="C952" s="12">
        <f t="shared" si="126"/>
        <v>-0.52499999999999991</v>
      </c>
      <c r="D952" s="12">
        <f t="shared" si="127"/>
        <v>-0.67500000000000004</v>
      </c>
      <c r="E952" s="12">
        <f t="shared" si="128"/>
        <v>11.090675854222221</v>
      </c>
      <c r="F952" s="12">
        <f t="shared" si="129"/>
        <v>11.090675854222221</v>
      </c>
      <c r="G952" s="12">
        <f t="shared" si="130"/>
        <v>14.529786737777776</v>
      </c>
      <c r="H952" s="12">
        <f t="shared" si="131"/>
        <v>14.529786737777776</v>
      </c>
      <c r="I952" s="1" t="str">
        <f t="shared" si="132"/>
        <v>No</v>
      </c>
      <c r="J952" s="1" t="str">
        <f t="shared" si="133"/>
        <v>Si</v>
      </c>
      <c r="K952" s="1" t="str">
        <f t="shared" si="134"/>
        <v/>
      </c>
    </row>
    <row r="953" spans="1:11" x14ac:dyDescent="0.3">
      <c r="A953" s="1">
        <v>18</v>
      </c>
      <c r="B953" s="1">
        <v>17</v>
      </c>
      <c r="C953" s="12">
        <f t="shared" si="126"/>
        <v>-0.52499999999999991</v>
      </c>
      <c r="D953" s="12">
        <f t="shared" si="127"/>
        <v>-0.60000000000000009</v>
      </c>
      <c r="E953" s="12">
        <f t="shared" si="128"/>
        <v>11.088187761777776</v>
      </c>
      <c r="F953" s="12">
        <f t="shared" si="129"/>
        <v>11.088187761777776</v>
      </c>
      <c r="G953" s="12">
        <f t="shared" si="130"/>
        <v>14.526282382222222</v>
      </c>
      <c r="H953" s="12">
        <f t="shared" si="131"/>
        <v>14.526282382222222</v>
      </c>
      <c r="I953" s="1" t="str">
        <f t="shared" si="132"/>
        <v>No</v>
      </c>
      <c r="J953" s="1" t="str">
        <f t="shared" si="133"/>
        <v>Si</v>
      </c>
      <c r="K953" s="1" t="str">
        <f t="shared" si="134"/>
        <v/>
      </c>
    </row>
    <row r="954" spans="1:11" x14ac:dyDescent="0.3">
      <c r="A954" s="1">
        <v>18</v>
      </c>
      <c r="B954" s="1">
        <v>18</v>
      </c>
      <c r="C954" s="12">
        <f t="shared" si="126"/>
        <v>-0.52499999999999991</v>
      </c>
      <c r="D954" s="12">
        <f t="shared" si="127"/>
        <v>-0.52499999999999991</v>
      </c>
      <c r="E954" s="12">
        <f t="shared" si="128"/>
        <v>11.085699669333332</v>
      </c>
      <c r="F954" s="12">
        <f t="shared" si="129"/>
        <v>11.085699669333332</v>
      </c>
      <c r="G954" s="12">
        <f t="shared" si="130"/>
        <v>14.522778026666666</v>
      </c>
      <c r="H954" s="12">
        <f t="shared" si="131"/>
        <v>14.522778026666666</v>
      </c>
      <c r="I954" s="1" t="str">
        <f t="shared" si="132"/>
        <v>No</v>
      </c>
      <c r="J954" s="1" t="str">
        <f t="shared" si="133"/>
        <v>Si</v>
      </c>
      <c r="K954" s="1" t="str">
        <f t="shared" si="134"/>
        <v/>
      </c>
    </row>
    <row r="955" spans="1:11" x14ac:dyDescent="0.3">
      <c r="A955" s="1">
        <v>18</v>
      </c>
      <c r="B955" s="1">
        <v>19</v>
      </c>
      <c r="C955" s="12">
        <f t="shared" si="126"/>
        <v>-0.52499999999999991</v>
      </c>
      <c r="D955" s="12">
        <f t="shared" si="127"/>
        <v>-0.44999999999999996</v>
      </c>
      <c r="E955" s="12">
        <f t="shared" si="128"/>
        <v>11.083211576888889</v>
      </c>
      <c r="F955" s="12">
        <f t="shared" si="129"/>
        <v>11.083211576888889</v>
      </c>
      <c r="G955" s="12">
        <f t="shared" si="130"/>
        <v>14.51927367111111</v>
      </c>
      <c r="H955" s="12">
        <f t="shared" si="131"/>
        <v>14.51927367111111</v>
      </c>
      <c r="I955" s="1" t="str">
        <f t="shared" si="132"/>
        <v>No</v>
      </c>
      <c r="J955" s="1" t="str">
        <f t="shared" si="133"/>
        <v>Si</v>
      </c>
      <c r="K955" s="1" t="str">
        <f t="shared" si="134"/>
        <v/>
      </c>
    </row>
    <row r="956" spans="1:11" x14ac:dyDescent="0.3">
      <c r="A956" s="1">
        <v>18</v>
      </c>
      <c r="B956" s="1">
        <v>20</v>
      </c>
      <c r="C956" s="12">
        <f t="shared" si="126"/>
        <v>-0.52499999999999991</v>
      </c>
      <c r="D956" s="12">
        <f t="shared" si="127"/>
        <v>-0.375</v>
      </c>
      <c r="E956" s="12">
        <f t="shared" si="128"/>
        <v>11.080723484444444</v>
      </c>
      <c r="F956" s="12">
        <f t="shared" si="129"/>
        <v>11.080723484444444</v>
      </c>
      <c r="G956" s="12">
        <f t="shared" si="130"/>
        <v>14.515769315555556</v>
      </c>
      <c r="H956" s="12">
        <f t="shared" si="131"/>
        <v>14.515769315555556</v>
      </c>
      <c r="I956" s="1" t="str">
        <f t="shared" si="132"/>
        <v>No</v>
      </c>
      <c r="J956" s="1" t="str">
        <f t="shared" si="133"/>
        <v>Si</v>
      </c>
      <c r="K956" s="1" t="str">
        <f t="shared" si="134"/>
        <v/>
      </c>
    </row>
    <row r="957" spans="1:11" x14ac:dyDescent="0.3">
      <c r="A957" s="1">
        <v>18</v>
      </c>
      <c r="B957" s="1">
        <v>21</v>
      </c>
      <c r="C957" s="12">
        <f t="shared" si="126"/>
        <v>-0.52499999999999991</v>
      </c>
      <c r="D957" s="12">
        <f t="shared" si="127"/>
        <v>-0.30000000000000004</v>
      </c>
      <c r="E957" s="12">
        <f t="shared" si="128"/>
        <v>11.078235392</v>
      </c>
      <c r="F957" s="12">
        <f t="shared" si="129"/>
        <v>11.078235392</v>
      </c>
      <c r="G957" s="12">
        <f t="shared" si="130"/>
        <v>14.51226496</v>
      </c>
      <c r="H957" s="12">
        <f t="shared" si="131"/>
        <v>14.51226496</v>
      </c>
      <c r="I957" s="1" t="str">
        <f t="shared" si="132"/>
        <v>No</v>
      </c>
      <c r="J957" s="1" t="str">
        <f t="shared" si="133"/>
        <v>Si</v>
      </c>
      <c r="K957" s="1" t="str">
        <f t="shared" si="134"/>
        <v/>
      </c>
    </row>
    <row r="958" spans="1:11" x14ac:dyDescent="0.3">
      <c r="A958" s="1">
        <v>18</v>
      </c>
      <c r="B958" s="1">
        <v>22</v>
      </c>
      <c r="C958" s="12">
        <f t="shared" si="126"/>
        <v>-0.52499999999999991</v>
      </c>
      <c r="D958" s="12">
        <f t="shared" si="127"/>
        <v>-0.22500000000000009</v>
      </c>
      <c r="E958" s="12">
        <f t="shared" si="128"/>
        <v>11.075747299555555</v>
      </c>
      <c r="F958" s="12">
        <f t="shared" si="129"/>
        <v>11.075747299555555</v>
      </c>
      <c r="G958" s="12">
        <f t="shared" si="130"/>
        <v>14.508760604444443</v>
      </c>
      <c r="H958" s="12">
        <f t="shared" si="131"/>
        <v>14.508760604444443</v>
      </c>
      <c r="I958" s="1" t="str">
        <f t="shared" si="132"/>
        <v>No</v>
      </c>
      <c r="J958" s="1" t="str">
        <f t="shared" si="133"/>
        <v>Si</v>
      </c>
      <c r="K958" s="1" t="str">
        <f t="shared" si="134"/>
        <v/>
      </c>
    </row>
    <row r="959" spans="1:11" x14ac:dyDescent="0.3">
      <c r="A959" s="1">
        <v>18</v>
      </c>
      <c r="B959" s="1">
        <v>23</v>
      </c>
      <c r="C959" s="12">
        <f t="shared" si="126"/>
        <v>-0.52499999999999991</v>
      </c>
      <c r="D959" s="12">
        <f t="shared" si="127"/>
        <v>-0.14999999999999991</v>
      </c>
      <c r="E959" s="12">
        <f t="shared" si="128"/>
        <v>11.073259207111111</v>
      </c>
      <c r="F959" s="12">
        <f t="shared" si="129"/>
        <v>11.073259207111111</v>
      </c>
      <c r="G959" s="12">
        <f t="shared" si="130"/>
        <v>14.505256248888887</v>
      </c>
      <c r="H959" s="12">
        <f t="shared" si="131"/>
        <v>14.505256248888887</v>
      </c>
      <c r="I959" s="1" t="str">
        <f t="shared" si="132"/>
        <v>No</v>
      </c>
      <c r="J959" s="1" t="str">
        <f t="shared" si="133"/>
        <v>Si</v>
      </c>
      <c r="K959" s="1" t="str">
        <f t="shared" si="134"/>
        <v/>
      </c>
    </row>
    <row r="960" spans="1:11" x14ac:dyDescent="0.3">
      <c r="A960" s="1">
        <v>18</v>
      </c>
      <c r="B960" s="1">
        <v>24</v>
      </c>
      <c r="C960" s="12">
        <f t="shared" si="126"/>
        <v>-0.52499999999999991</v>
      </c>
      <c r="D960" s="12">
        <f t="shared" si="127"/>
        <v>-7.4999999999999956E-2</v>
      </c>
      <c r="E960" s="12">
        <f t="shared" si="128"/>
        <v>11.070771114666666</v>
      </c>
      <c r="F960" s="12">
        <f t="shared" si="129"/>
        <v>11.070771114666666</v>
      </c>
      <c r="G960" s="12">
        <f t="shared" si="130"/>
        <v>14.501751893333333</v>
      </c>
      <c r="H960" s="12">
        <f t="shared" si="131"/>
        <v>14.501751893333333</v>
      </c>
      <c r="I960" s="1" t="str">
        <f t="shared" si="132"/>
        <v>No</v>
      </c>
      <c r="J960" s="1" t="str">
        <f t="shared" si="133"/>
        <v>Si</v>
      </c>
      <c r="K960" s="1" t="str">
        <f t="shared" si="134"/>
        <v/>
      </c>
    </row>
    <row r="961" spans="1:11" x14ac:dyDescent="0.3">
      <c r="A961" s="1">
        <v>18</v>
      </c>
      <c r="B961" s="1">
        <v>25</v>
      </c>
      <c r="C961" s="12">
        <f t="shared" si="126"/>
        <v>-0.52499999999999991</v>
      </c>
      <c r="D961" s="12">
        <f t="shared" si="127"/>
        <v>0</v>
      </c>
      <c r="E961" s="12">
        <f t="shared" si="128"/>
        <v>11.068283022222221</v>
      </c>
      <c r="F961" s="12">
        <f t="shared" si="129"/>
        <v>11.068283022222221</v>
      </c>
      <c r="G961" s="12">
        <f t="shared" si="130"/>
        <v>14.498247537777777</v>
      </c>
      <c r="H961" s="12">
        <f t="shared" si="131"/>
        <v>14.498247537777777</v>
      </c>
      <c r="I961" s="1" t="str">
        <f t="shared" si="132"/>
        <v>No</v>
      </c>
      <c r="J961" s="1" t="str">
        <f t="shared" si="133"/>
        <v>Si</v>
      </c>
      <c r="K961" s="1" t="str">
        <f t="shared" si="134"/>
        <v/>
      </c>
    </row>
    <row r="962" spans="1:11" x14ac:dyDescent="0.3">
      <c r="A962" s="1">
        <v>18</v>
      </c>
      <c r="B962" s="1">
        <v>26</v>
      </c>
      <c r="C962" s="12">
        <f t="shared" si="126"/>
        <v>-0.52499999999999991</v>
      </c>
      <c r="D962" s="12">
        <f t="shared" si="127"/>
        <v>7.4999999999999956E-2</v>
      </c>
      <c r="E962" s="12">
        <f t="shared" si="128"/>
        <v>11.065794929777777</v>
      </c>
      <c r="F962" s="12">
        <f t="shared" si="129"/>
        <v>11.065794929777777</v>
      </c>
      <c r="G962" s="12">
        <f t="shared" si="130"/>
        <v>14.494743182222221</v>
      </c>
      <c r="H962" s="12">
        <f t="shared" si="131"/>
        <v>14.494743182222221</v>
      </c>
      <c r="I962" s="1" t="str">
        <f t="shared" si="132"/>
        <v>No</v>
      </c>
      <c r="J962" s="1" t="str">
        <f t="shared" si="133"/>
        <v>Si</v>
      </c>
      <c r="K962" s="1" t="str">
        <f t="shared" si="134"/>
        <v/>
      </c>
    </row>
    <row r="963" spans="1:11" x14ac:dyDescent="0.3">
      <c r="A963" s="1">
        <v>18</v>
      </c>
      <c r="B963" s="1">
        <v>27</v>
      </c>
      <c r="C963" s="12">
        <f t="shared" si="126"/>
        <v>-0.52499999999999991</v>
      </c>
      <c r="D963" s="12">
        <f t="shared" si="127"/>
        <v>0.14999999999999991</v>
      </c>
      <c r="E963" s="12">
        <f t="shared" si="128"/>
        <v>11.063306837333332</v>
      </c>
      <c r="F963" s="12">
        <f t="shared" si="129"/>
        <v>11.063306837333332</v>
      </c>
      <c r="G963" s="12">
        <f t="shared" si="130"/>
        <v>14.491238826666667</v>
      </c>
      <c r="H963" s="12">
        <f t="shared" si="131"/>
        <v>14.491238826666667</v>
      </c>
      <c r="I963" s="1" t="str">
        <f t="shared" si="132"/>
        <v>No</v>
      </c>
      <c r="J963" s="1" t="str">
        <f t="shared" si="133"/>
        <v>Si</v>
      </c>
      <c r="K963" s="1" t="str">
        <f t="shared" si="134"/>
        <v/>
      </c>
    </row>
    <row r="964" spans="1:11" x14ac:dyDescent="0.3">
      <c r="A964" s="1">
        <v>18</v>
      </c>
      <c r="B964" s="1">
        <v>28</v>
      </c>
      <c r="C964" s="12">
        <f t="shared" si="126"/>
        <v>-0.52499999999999991</v>
      </c>
      <c r="D964" s="12">
        <f t="shared" si="127"/>
        <v>0.22500000000000009</v>
      </c>
      <c r="E964" s="12">
        <f t="shared" si="128"/>
        <v>11.060818744888888</v>
      </c>
      <c r="F964" s="12">
        <f t="shared" si="129"/>
        <v>11.060818744888888</v>
      </c>
      <c r="G964" s="12">
        <f t="shared" si="130"/>
        <v>14.487734471111111</v>
      </c>
      <c r="H964" s="12">
        <f t="shared" si="131"/>
        <v>14.487734471111111</v>
      </c>
      <c r="I964" s="1" t="str">
        <f t="shared" si="132"/>
        <v>No</v>
      </c>
      <c r="J964" s="1" t="str">
        <f t="shared" si="133"/>
        <v>Si</v>
      </c>
      <c r="K964" s="1" t="str">
        <f t="shared" si="134"/>
        <v/>
      </c>
    </row>
    <row r="965" spans="1:11" x14ac:dyDescent="0.3">
      <c r="A965" s="1">
        <v>18</v>
      </c>
      <c r="B965" s="1">
        <v>29</v>
      </c>
      <c r="C965" s="12">
        <f t="shared" si="126"/>
        <v>-0.52499999999999991</v>
      </c>
      <c r="D965" s="12">
        <f t="shared" si="127"/>
        <v>0.29999999999999982</v>
      </c>
      <c r="E965" s="12">
        <f t="shared" si="128"/>
        <v>11.058330652444443</v>
      </c>
      <c r="F965" s="12">
        <f t="shared" si="129"/>
        <v>11.058330652444443</v>
      </c>
      <c r="G965" s="12">
        <f t="shared" si="130"/>
        <v>14.484230115555555</v>
      </c>
      <c r="H965" s="12">
        <f t="shared" si="131"/>
        <v>14.484230115555555</v>
      </c>
      <c r="I965" s="1" t="str">
        <f t="shared" si="132"/>
        <v>No</v>
      </c>
      <c r="J965" s="1" t="str">
        <f t="shared" si="133"/>
        <v>Si</v>
      </c>
      <c r="K965" s="1" t="str">
        <f t="shared" si="134"/>
        <v/>
      </c>
    </row>
    <row r="966" spans="1:11" x14ac:dyDescent="0.3">
      <c r="A966" s="1">
        <v>18</v>
      </c>
      <c r="B966" s="1">
        <v>30</v>
      </c>
      <c r="C966" s="12">
        <f t="shared" si="126"/>
        <v>-0.52499999999999991</v>
      </c>
      <c r="D966" s="12">
        <f t="shared" si="127"/>
        <v>0.375</v>
      </c>
      <c r="E966" s="12">
        <f t="shared" si="128"/>
        <v>11.055842559999999</v>
      </c>
      <c r="F966" s="12">
        <f t="shared" si="129"/>
        <v>11.055842559999999</v>
      </c>
      <c r="G966" s="12">
        <f t="shared" si="130"/>
        <v>14.480725759999999</v>
      </c>
      <c r="H966" s="12">
        <f t="shared" si="131"/>
        <v>14.480725759999999</v>
      </c>
      <c r="I966" s="1" t="str">
        <f t="shared" si="132"/>
        <v>No</v>
      </c>
      <c r="J966" s="1" t="str">
        <f t="shared" si="133"/>
        <v>Si</v>
      </c>
      <c r="K966" s="1" t="str">
        <f t="shared" si="134"/>
        <v/>
      </c>
    </row>
    <row r="967" spans="1:11" x14ac:dyDescent="0.3">
      <c r="A967" s="1">
        <v>18</v>
      </c>
      <c r="B967" s="1">
        <v>31</v>
      </c>
      <c r="C967" s="12">
        <f t="shared" si="126"/>
        <v>-0.52499999999999991</v>
      </c>
      <c r="D967" s="12">
        <f t="shared" si="127"/>
        <v>0.45000000000000018</v>
      </c>
      <c r="E967" s="12">
        <f t="shared" si="128"/>
        <v>11.053354467555554</v>
      </c>
      <c r="F967" s="12">
        <f t="shared" si="129"/>
        <v>11.053354467555554</v>
      </c>
      <c r="G967" s="12">
        <f t="shared" si="130"/>
        <v>14.477221404444444</v>
      </c>
      <c r="H967" s="12">
        <f t="shared" si="131"/>
        <v>14.477221404444444</v>
      </c>
      <c r="I967" s="1" t="str">
        <f t="shared" si="132"/>
        <v>No</v>
      </c>
      <c r="J967" s="1" t="str">
        <f t="shared" si="133"/>
        <v>Si</v>
      </c>
      <c r="K967" s="1" t="str">
        <f t="shared" si="134"/>
        <v/>
      </c>
    </row>
    <row r="968" spans="1:11" x14ac:dyDescent="0.3">
      <c r="A968" s="1">
        <v>18</v>
      </c>
      <c r="B968" s="1">
        <v>32</v>
      </c>
      <c r="C968" s="12">
        <f t="shared" si="126"/>
        <v>-0.52499999999999991</v>
      </c>
      <c r="D968" s="12">
        <f t="shared" si="127"/>
        <v>0.52499999999999991</v>
      </c>
      <c r="E968" s="12">
        <f t="shared" si="128"/>
        <v>11.050866375111111</v>
      </c>
      <c r="F968" s="12">
        <f t="shared" si="129"/>
        <v>11.050866375111111</v>
      </c>
      <c r="G968" s="12">
        <f t="shared" si="130"/>
        <v>14.473717048888888</v>
      </c>
      <c r="H968" s="12">
        <f t="shared" si="131"/>
        <v>14.473717048888888</v>
      </c>
      <c r="I968" s="1" t="str">
        <f t="shared" si="132"/>
        <v>No</v>
      </c>
      <c r="J968" s="1" t="str">
        <f t="shared" si="133"/>
        <v>Si</v>
      </c>
      <c r="K968" s="1" t="str">
        <f t="shared" si="134"/>
        <v/>
      </c>
    </row>
    <row r="969" spans="1:11" x14ac:dyDescent="0.3">
      <c r="A969" s="1">
        <v>18</v>
      </c>
      <c r="B969" s="1">
        <v>33</v>
      </c>
      <c r="C969" s="12">
        <f t="shared" si="126"/>
        <v>-0.52499999999999991</v>
      </c>
      <c r="D969" s="12">
        <f t="shared" si="127"/>
        <v>0.60000000000000009</v>
      </c>
      <c r="E969" s="12">
        <f t="shared" si="128"/>
        <v>11.048378282666667</v>
      </c>
      <c r="F969" s="12">
        <f t="shared" si="129"/>
        <v>11.048378282666667</v>
      </c>
      <c r="G969" s="12">
        <f t="shared" si="130"/>
        <v>14.470212693333332</v>
      </c>
      <c r="H969" s="12">
        <f t="shared" si="131"/>
        <v>14.470212693333332</v>
      </c>
      <c r="I969" s="1" t="str">
        <f t="shared" si="132"/>
        <v>No</v>
      </c>
      <c r="J969" s="1" t="str">
        <f t="shared" si="133"/>
        <v>Si</v>
      </c>
      <c r="K969" s="1" t="str">
        <f t="shared" si="134"/>
        <v/>
      </c>
    </row>
    <row r="970" spans="1:11" x14ac:dyDescent="0.3">
      <c r="A970" s="1">
        <v>18</v>
      </c>
      <c r="B970" s="1">
        <v>34</v>
      </c>
      <c r="C970" s="12">
        <f t="shared" si="126"/>
        <v>-0.52499999999999991</v>
      </c>
      <c r="D970" s="12">
        <f t="shared" si="127"/>
        <v>0.67499999999999982</v>
      </c>
      <c r="E970" s="12">
        <f t="shared" si="128"/>
        <v>11.045890190222222</v>
      </c>
      <c r="F970" s="12">
        <f t="shared" si="129"/>
        <v>11.045890190222222</v>
      </c>
      <c r="G970" s="12">
        <f t="shared" si="130"/>
        <v>14.466708337777778</v>
      </c>
      <c r="H970" s="12">
        <f t="shared" si="131"/>
        <v>14.466708337777778</v>
      </c>
      <c r="I970" s="1" t="str">
        <f t="shared" si="132"/>
        <v>No</v>
      </c>
      <c r="J970" s="1" t="str">
        <f t="shared" si="133"/>
        <v>Si</v>
      </c>
      <c r="K970" s="1" t="str">
        <f t="shared" si="134"/>
        <v/>
      </c>
    </row>
    <row r="971" spans="1:11" x14ac:dyDescent="0.3">
      <c r="A971" s="1">
        <v>18</v>
      </c>
      <c r="B971" s="1">
        <v>35</v>
      </c>
      <c r="C971" s="12">
        <f t="shared" si="126"/>
        <v>-0.52499999999999991</v>
      </c>
      <c r="D971" s="12">
        <f t="shared" si="127"/>
        <v>0.75</v>
      </c>
      <c r="E971" s="12">
        <f t="shared" si="128"/>
        <v>11.043402097777777</v>
      </c>
      <c r="F971" s="12">
        <f t="shared" si="129"/>
        <v>11.043402097777777</v>
      </c>
      <c r="G971" s="12">
        <f t="shared" si="130"/>
        <v>14.463203982222222</v>
      </c>
      <c r="H971" s="12">
        <f t="shared" si="131"/>
        <v>14.463203982222222</v>
      </c>
      <c r="I971" s="1" t="str">
        <f t="shared" si="132"/>
        <v>No</v>
      </c>
      <c r="J971" s="1" t="str">
        <f t="shared" si="133"/>
        <v>Si</v>
      </c>
      <c r="K971" s="1" t="str">
        <f t="shared" si="134"/>
        <v/>
      </c>
    </row>
    <row r="972" spans="1:11" x14ac:dyDescent="0.3">
      <c r="A972" s="1">
        <v>18</v>
      </c>
      <c r="B972" s="1">
        <v>36</v>
      </c>
      <c r="C972" s="12">
        <f t="shared" si="126"/>
        <v>-0.52499999999999991</v>
      </c>
      <c r="D972" s="12">
        <f t="shared" si="127"/>
        <v>0.82500000000000018</v>
      </c>
      <c r="E972" s="12">
        <f t="shared" si="128"/>
        <v>11.040914005333333</v>
      </c>
      <c r="F972" s="12">
        <f t="shared" si="129"/>
        <v>11.040914005333333</v>
      </c>
      <c r="G972" s="12">
        <f t="shared" si="130"/>
        <v>14.459699626666666</v>
      </c>
      <c r="H972" s="12">
        <f t="shared" si="131"/>
        <v>14.459699626666666</v>
      </c>
      <c r="I972" s="1" t="str">
        <f t="shared" si="132"/>
        <v>No</v>
      </c>
      <c r="J972" s="1" t="str">
        <f t="shared" si="133"/>
        <v>Si</v>
      </c>
      <c r="K972" s="1" t="str">
        <f t="shared" si="134"/>
        <v/>
      </c>
    </row>
    <row r="973" spans="1:11" x14ac:dyDescent="0.3">
      <c r="A973" s="1">
        <v>18</v>
      </c>
      <c r="B973" s="1">
        <v>37</v>
      </c>
      <c r="C973" s="12">
        <f t="shared" si="126"/>
        <v>-0.52499999999999991</v>
      </c>
      <c r="D973" s="12">
        <f t="shared" si="127"/>
        <v>0.89999999999999991</v>
      </c>
      <c r="E973" s="12">
        <f t="shared" si="128"/>
        <v>11.038425912888888</v>
      </c>
      <c r="F973" s="12">
        <f t="shared" si="129"/>
        <v>11.038425912888888</v>
      </c>
      <c r="G973" s="12">
        <f t="shared" si="130"/>
        <v>14.45619527111111</v>
      </c>
      <c r="H973" s="12">
        <f t="shared" si="131"/>
        <v>14.45619527111111</v>
      </c>
      <c r="I973" s="1" t="str">
        <f t="shared" si="132"/>
        <v>No</v>
      </c>
      <c r="J973" s="1" t="str">
        <f t="shared" si="133"/>
        <v>Si</v>
      </c>
      <c r="K973" s="1" t="str">
        <f t="shared" si="134"/>
        <v/>
      </c>
    </row>
    <row r="974" spans="1:11" x14ac:dyDescent="0.3">
      <c r="A974" s="1">
        <v>18</v>
      </c>
      <c r="B974" s="1">
        <v>38</v>
      </c>
      <c r="C974" s="12">
        <f t="shared" si="126"/>
        <v>-0.52499999999999991</v>
      </c>
      <c r="D974" s="12">
        <f t="shared" si="127"/>
        <v>0.97500000000000009</v>
      </c>
      <c r="E974" s="12">
        <f t="shared" si="128"/>
        <v>11.035937820444444</v>
      </c>
      <c r="F974" s="12">
        <f t="shared" si="129"/>
        <v>11.035937820444444</v>
      </c>
      <c r="G974" s="12">
        <f t="shared" si="130"/>
        <v>14.452690915555555</v>
      </c>
      <c r="H974" s="12">
        <f t="shared" si="131"/>
        <v>14.452690915555555</v>
      </c>
      <c r="I974" s="1" t="str">
        <f t="shared" si="132"/>
        <v>No</v>
      </c>
      <c r="J974" s="1" t="str">
        <f t="shared" si="133"/>
        <v>Si</v>
      </c>
      <c r="K974" s="1" t="str">
        <f t="shared" si="134"/>
        <v/>
      </c>
    </row>
    <row r="975" spans="1:11" x14ac:dyDescent="0.3">
      <c r="A975" s="1">
        <v>18</v>
      </c>
      <c r="B975" s="1">
        <v>39</v>
      </c>
      <c r="C975" s="12">
        <f t="shared" si="126"/>
        <v>-0.52499999999999991</v>
      </c>
      <c r="D975" s="12">
        <f t="shared" si="127"/>
        <v>1.0499999999999998</v>
      </c>
      <c r="E975" s="12">
        <f t="shared" si="128"/>
        <v>11.033449727999999</v>
      </c>
      <c r="F975" s="12">
        <f t="shared" si="129"/>
        <v>11.033449727999999</v>
      </c>
      <c r="G975" s="12">
        <f t="shared" si="130"/>
        <v>14.449186559999999</v>
      </c>
      <c r="H975" s="12">
        <f t="shared" si="131"/>
        <v>14.449186559999999</v>
      </c>
      <c r="I975" s="1" t="str">
        <f t="shared" si="132"/>
        <v>No</v>
      </c>
      <c r="J975" s="1" t="str">
        <f t="shared" si="133"/>
        <v>Si</v>
      </c>
      <c r="K975" s="1" t="str">
        <f t="shared" si="134"/>
        <v/>
      </c>
    </row>
    <row r="976" spans="1:11" x14ac:dyDescent="0.3">
      <c r="A976" s="1">
        <v>18</v>
      </c>
      <c r="B976" s="1">
        <v>40</v>
      </c>
      <c r="C976" s="12">
        <f t="shared" si="126"/>
        <v>-0.52499999999999991</v>
      </c>
      <c r="D976" s="12">
        <f t="shared" si="127"/>
        <v>1.125</v>
      </c>
      <c r="E976" s="12">
        <f t="shared" si="128"/>
        <v>11.030961635555554</v>
      </c>
      <c r="F976" s="12">
        <f t="shared" si="129"/>
        <v>11.030961635555554</v>
      </c>
      <c r="G976" s="12">
        <f t="shared" si="130"/>
        <v>14.445682204444443</v>
      </c>
      <c r="H976" s="12">
        <f t="shared" si="131"/>
        <v>14.445682204444443</v>
      </c>
      <c r="I976" s="1" t="str">
        <f t="shared" si="132"/>
        <v>No</v>
      </c>
      <c r="J976" s="1" t="str">
        <f t="shared" si="133"/>
        <v>Si</v>
      </c>
      <c r="K976" s="1" t="str">
        <f t="shared" si="134"/>
        <v/>
      </c>
    </row>
    <row r="977" spans="1:11" x14ac:dyDescent="0.3">
      <c r="A977" s="1">
        <v>18</v>
      </c>
      <c r="B977" s="1">
        <v>41</v>
      </c>
      <c r="C977" s="12">
        <f t="shared" si="126"/>
        <v>-0.52499999999999991</v>
      </c>
      <c r="D977" s="12">
        <f t="shared" si="127"/>
        <v>1.2000000000000002</v>
      </c>
      <c r="E977" s="12">
        <f t="shared" si="128"/>
        <v>11.02847354311111</v>
      </c>
      <c r="F977" s="12">
        <f t="shared" si="129"/>
        <v>11.02847354311111</v>
      </c>
      <c r="G977" s="12">
        <f t="shared" si="130"/>
        <v>14.442177848888889</v>
      </c>
      <c r="H977" s="12">
        <f t="shared" si="131"/>
        <v>14.442177848888889</v>
      </c>
      <c r="I977" s="1" t="str">
        <f t="shared" si="132"/>
        <v>No</v>
      </c>
      <c r="J977" s="1" t="str">
        <f t="shared" si="133"/>
        <v>Si</v>
      </c>
      <c r="K977" s="1" t="str">
        <f t="shared" si="134"/>
        <v/>
      </c>
    </row>
    <row r="978" spans="1:11" x14ac:dyDescent="0.3">
      <c r="A978" s="1">
        <v>18</v>
      </c>
      <c r="B978" s="1">
        <v>42</v>
      </c>
      <c r="C978" s="12">
        <f t="shared" ref="C978:C1041" si="135">IF(OR(A978&gt;inp_n_div_x,B978&gt;inp_n_div_y),"",-inp_bx/2+A978*inp_bx/inp_n_div_x)</f>
        <v>-0.52499999999999991</v>
      </c>
      <c r="D978" s="12">
        <f t="shared" ref="D978:D1041" si="136">IF(C978="","",-inp_by/2+B978*inp_by/inp_n_div_y)</f>
        <v>1.2749999999999999</v>
      </c>
      <c r="E978" s="12">
        <f t="shared" ref="E978:E1041" si="137">IF(C978="","",res_srv_p_tot/geo_area+res_srv_mx_tot/geo_ix*D978+res_srv_my_tot/geo_iy*C978)</f>
        <v>11.025985450666665</v>
      </c>
      <c r="F978" s="12">
        <f t="shared" ref="F978:F1041" si="138">IF(E978="","",MAX(0,E978))</f>
        <v>11.025985450666665</v>
      </c>
      <c r="G978" s="12">
        <f t="shared" ref="G978:G1041" si="139">IF(C978="","",res_u_p_tot/geo_area+res_u_mx_tot/geo_ix*D978+res_u_my_tot/geo_iy*C978)</f>
        <v>14.438673493333333</v>
      </c>
      <c r="H978" s="12">
        <f t="shared" ref="H978:H1041" si="140">IF(G978="","",MAX(0,G978))</f>
        <v>14.438673493333333</v>
      </c>
      <c r="I978" s="1" t="str">
        <f t="shared" ref="I978:I1041" si="141">IF(C978="","",IF(AND(C978&gt;=inp_xc-inp_cx/2,C978&lt;=inp_xc+inp_cx/2,D978&gt;=inp_yc-inp_cy/2,D978&lt;=inp_yc+inp_cy/2),"Si","No"))</f>
        <v>No</v>
      </c>
      <c r="J978" s="1" t="str">
        <f t="shared" ref="J978:J1041" si="142">IF(C978="","","Si")</f>
        <v>Si</v>
      </c>
      <c r="K978" s="1" t="str">
        <f t="shared" ref="K978:K1041" si="143">IF(OR(E978&lt;0,G978&lt;0),"Presion negativa","")</f>
        <v/>
      </c>
    </row>
    <row r="979" spans="1:11" x14ac:dyDescent="0.3">
      <c r="A979" s="1">
        <v>18</v>
      </c>
      <c r="B979" s="1">
        <v>43</v>
      </c>
      <c r="C979" s="12">
        <f t="shared" si="135"/>
        <v>-0.52499999999999991</v>
      </c>
      <c r="D979" s="12">
        <f t="shared" si="136"/>
        <v>1.35</v>
      </c>
      <c r="E979" s="12">
        <f t="shared" si="137"/>
        <v>11.023497358222221</v>
      </c>
      <c r="F979" s="12">
        <f t="shared" si="138"/>
        <v>11.023497358222221</v>
      </c>
      <c r="G979" s="12">
        <f t="shared" si="139"/>
        <v>14.435169137777777</v>
      </c>
      <c r="H979" s="12">
        <f t="shared" si="140"/>
        <v>14.435169137777777</v>
      </c>
      <c r="I979" s="1" t="str">
        <f t="shared" si="141"/>
        <v>No</v>
      </c>
      <c r="J979" s="1" t="str">
        <f t="shared" si="142"/>
        <v>Si</v>
      </c>
      <c r="K979" s="1" t="str">
        <f t="shared" si="143"/>
        <v/>
      </c>
    </row>
    <row r="980" spans="1:11" x14ac:dyDescent="0.3">
      <c r="A980" s="1">
        <v>18</v>
      </c>
      <c r="B980" s="1">
        <v>44</v>
      </c>
      <c r="C980" s="12">
        <f t="shared" si="135"/>
        <v>-0.52499999999999991</v>
      </c>
      <c r="D980" s="12">
        <f t="shared" si="136"/>
        <v>1.4249999999999998</v>
      </c>
      <c r="E980" s="12">
        <f t="shared" si="137"/>
        <v>11.021009265777778</v>
      </c>
      <c r="F980" s="12">
        <f t="shared" si="138"/>
        <v>11.021009265777778</v>
      </c>
      <c r="G980" s="12">
        <f t="shared" si="139"/>
        <v>14.431664782222221</v>
      </c>
      <c r="H980" s="12">
        <f t="shared" si="140"/>
        <v>14.431664782222221</v>
      </c>
      <c r="I980" s="1" t="str">
        <f t="shared" si="141"/>
        <v>No</v>
      </c>
      <c r="J980" s="1" t="str">
        <f t="shared" si="142"/>
        <v>Si</v>
      </c>
      <c r="K980" s="1" t="str">
        <f t="shared" si="143"/>
        <v/>
      </c>
    </row>
    <row r="981" spans="1:11" x14ac:dyDescent="0.3">
      <c r="A981" s="1">
        <v>18</v>
      </c>
      <c r="B981" s="1">
        <v>45</v>
      </c>
      <c r="C981" s="12">
        <f t="shared" si="135"/>
        <v>-0.52499999999999991</v>
      </c>
      <c r="D981" s="12">
        <f t="shared" si="136"/>
        <v>1.5</v>
      </c>
      <c r="E981" s="12">
        <f t="shared" si="137"/>
        <v>11.018521173333333</v>
      </c>
      <c r="F981" s="12">
        <f t="shared" si="138"/>
        <v>11.018521173333333</v>
      </c>
      <c r="G981" s="12">
        <f t="shared" si="139"/>
        <v>14.428160426666667</v>
      </c>
      <c r="H981" s="12">
        <f t="shared" si="140"/>
        <v>14.428160426666667</v>
      </c>
      <c r="I981" s="1" t="str">
        <f t="shared" si="141"/>
        <v>No</v>
      </c>
      <c r="J981" s="1" t="str">
        <f t="shared" si="142"/>
        <v>Si</v>
      </c>
      <c r="K981" s="1" t="str">
        <f t="shared" si="143"/>
        <v/>
      </c>
    </row>
    <row r="982" spans="1:11" x14ac:dyDescent="0.3">
      <c r="A982" s="1">
        <v>18</v>
      </c>
      <c r="B982" s="1">
        <v>46</v>
      </c>
      <c r="C982" s="12">
        <f t="shared" si="135"/>
        <v>-0.52499999999999991</v>
      </c>
      <c r="D982" s="12">
        <f t="shared" si="136"/>
        <v>1.5750000000000002</v>
      </c>
      <c r="E982" s="12">
        <f t="shared" si="137"/>
        <v>11.016033080888889</v>
      </c>
      <c r="F982" s="12">
        <f t="shared" si="138"/>
        <v>11.016033080888889</v>
      </c>
      <c r="G982" s="12">
        <f t="shared" si="139"/>
        <v>14.42465607111111</v>
      </c>
      <c r="H982" s="12">
        <f t="shared" si="140"/>
        <v>14.42465607111111</v>
      </c>
      <c r="I982" s="1" t="str">
        <f t="shared" si="141"/>
        <v>No</v>
      </c>
      <c r="J982" s="1" t="str">
        <f t="shared" si="142"/>
        <v>Si</v>
      </c>
      <c r="K982" s="1" t="str">
        <f t="shared" si="143"/>
        <v/>
      </c>
    </row>
    <row r="983" spans="1:11" x14ac:dyDescent="0.3">
      <c r="A983" s="1">
        <v>18</v>
      </c>
      <c r="B983" s="1">
        <v>47</v>
      </c>
      <c r="C983" s="12">
        <f t="shared" si="135"/>
        <v>-0.52499999999999991</v>
      </c>
      <c r="D983" s="12">
        <f t="shared" si="136"/>
        <v>1.65</v>
      </c>
      <c r="E983" s="12">
        <f t="shared" si="137"/>
        <v>11.013544988444444</v>
      </c>
      <c r="F983" s="12">
        <f t="shared" si="138"/>
        <v>11.013544988444444</v>
      </c>
      <c r="G983" s="12">
        <f t="shared" si="139"/>
        <v>14.421151715555554</v>
      </c>
      <c r="H983" s="12">
        <f t="shared" si="140"/>
        <v>14.421151715555554</v>
      </c>
      <c r="I983" s="1" t="str">
        <f t="shared" si="141"/>
        <v>No</v>
      </c>
      <c r="J983" s="1" t="str">
        <f t="shared" si="142"/>
        <v>Si</v>
      </c>
      <c r="K983" s="1" t="str">
        <f t="shared" si="143"/>
        <v/>
      </c>
    </row>
    <row r="984" spans="1:11" x14ac:dyDescent="0.3">
      <c r="A984" s="1">
        <v>18</v>
      </c>
      <c r="B984" s="1">
        <v>48</v>
      </c>
      <c r="C984" s="12">
        <f t="shared" si="135"/>
        <v>-0.52499999999999991</v>
      </c>
      <c r="D984" s="12">
        <f t="shared" si="136"/>
        <v>1.7250000000000001</v>
      </c>
      <c r="E984" s="12">
        <f t="shared" si="137"/>
        <v>11.011056895999999</v>
      </c>
      <c r="F984" s="12">
        <f t="shared" si="138"/>
        <v>11.011056895999999</v>
      </c>
      <c r="G984" s="12">
        <f t="shared" si="139"/>
        <v>14.41764736</v>
      </c>
      <c r="H984" s="12">
        <f t="shared" si="140"/>
        <v>14.41764736</v>
      </c>
      <c r="I984" s="1" t="str">
        <f t="shared" si="141"/>
        <v>No</v>
      </c>
      <c r="J984" s="1" t="str">
        <f t="shared" si="142"/>
        <v>Si</v>
      </c>
      <c r="K984" s="1" t="str">
        <f t="shared" si="143"/>
        <v/>
      </c>
    </row>
    <row r="985" spans="1:11" x14ac:dyDescent="0.3">
      <c r="A985" s="1">
        <v>18</v>
      </c>
      <c r="B985" s="1">
        <v>49</v>
      </c>
      <c r="C985" s="12">
        <f t="shared" si="135"/>
        <v>-0.52499999999999991</v>
      </c>
      <c r="D985" s="12">
        <f t="shared" si="136"/>
        <v>1.7999999999999998</v>
      </c>
      <c r="E985" s="12">
        <f t="shared" si="137"/>
        <v>11.008568803555555</v>
      </c>
      <c r="F985" s="12">
        <f t="shared" si="138"/>
        <v>11.008568803555555</v>
      </c>
      <c r="G985" s="12">
        <f t="shared" si="139"/>
        <v>14.414143004444444</v>
      </c>
      <c r="H985" s="12">
        <f t="shared" si="140"/>
        <v>14.414143004444444</v>
      </c>
      <c r="I985" s="1" t="str">
        <f t="shared" si="141"/>
        <v>No</v>
      </c>
      <c r="J985" s="1" t="str">
        <f t="shared" si="142"/>
        <v>Si</v>
      </c>
      <c r="K985" s="1" t="str">
        <f t="shared" si="143"/>
        <v/>
      </c>
    </row>
    <row r="986" spans="1:11" x14ac:dyDescent="0.3">
      <c r="A986" s="1">
        <v>18</v>
      </c>
      <c r="B986" s="1">
        <v>50</v>
      </c>
      <c r="C986" s="12">
        <f t="shared" si="135"/>
        <v>-0.52499999999999991</v>
      </c>
      <c r="D986" s="12">
        <f t="shared" si="136"/>
        <v>1.875</v>
      </c>
      <c r="E986" s="12">
        <f t="shared" si="137"/>
        <v>11.00608071111111</v>
      </c>
      <c r="F986" s="12">
        <f t="shared" si="138"/>
        <v>11.00608071111111</v>
      </c>
      <c r="G986" s="12">
        <f t="shared" si="139"/>
        <v>14.410638648888888</v>
      </c>
      <c r="H986" s="12">
        <f t="shared" si="140"/>
        <v>14.410638648888888</v>
      </c>
      <c r="I986" s="1" t="str">
        <f t="shared" si="141"/>
        <v>No</v>
      </c>
      <c r="J986" s="1" t="str">
        <f t="shared" si="142"/>
        <v>Si</v>
      </c>
      <c r="K986" s="1" t="str">
        <f t="shared" si="143"/>
        <v/>
      </c>
    </row>
    <row r="987" spans="1:11" x14ac:dyDescent="0.3">
      <c r="A987" s="1">
        <v>19</v>
      </c>
      <c r="B987" s="1">
        <v>0</v>
      </c>
      <c r="C987" s="12">
        <f t="shared" si="135"/>
        <v>-0.44999999999999996</v>
      </c>
      <c r="D987" s="12">
        <f t="shared" si="136"/>
        <v>-1.875</v>
      </c>
      <c r="E987" s="12">
        <f t="shared" si="137"/>
        <v>11.131179377777777</v>
      </c>
      <c r="F987" s="12">
        <f t="shared" si="138"/>
        <v>11.131179377777777</v>
      </c>
      <c r="G987" s="12">
        <f t="shared" si="139"/>
        <v>14.586894079999999</v>
      </c>
      <c r="H987" s="12">
        <f t="shared" si="140"/>
        <v>14.586894079999999</v>
      </c>
      <c r="I987" s="1" t="str">
        <f t="shared" si="141"/>
        <v>No</v>
      </c>
      <c r="J987" s="1" t="str">
        <f t="shared" si="142"/>
        <v>Si</v>
      </c>
      <c r="K987" s="1" t="str">
        <f t="shared" si="143"/>
        <v/>
      </c>
    </row>
    <row r="988" spans="1:11" x14ac:dyDescent="0.3">
      <c r="A988" s="1">
        <v>19</v>
      </c>
      <c r="B988" s="1">
        <v>1</v>
      </c>
      <c r="C988" s="12">
        <f t="shared" si="135"/>
        <v>-0.44999999999999996</v>
      </c>
      <c r="D988" s="12">
        <f t="shared" si="136"/>
        <v>-1.8</v>
      </c>
      <c r="E988" s="12">
        <f t="shared" si="137"/>
        <v>11.128691285333332</v>
      </c>
      <c r="F988" s="12">
        <f t="shared" si="138"/>
        <v>11.128691285333332</v>
      </c>
      <c r="G988" s="12">
        <f t="shared" si="139"/>
        <v>14.583389724444443</v>
      </c>
      <c r="H988" s="12">
        <f t="shared" si="140"/>
        <v>14.583389724444443</v>
      </c>
      <c r="I988" s="1" t="str">
        <f t="shared" si="141"/>
        <v>No</v>
      </c>
      <c r="J988" s="1" t="str">
        <f t="shared" si="142"/>
        <v>Si</v>
      </c>
      <c r="K988" s="1" t="str">
        <f t="shared" si="143"/>
        <v/>
      </c>
    </row>
    <row r="989" spans="1:11" x14ac:dyDescent="0.3">
      <c r="A989" s="1">
        <v>19</v>
      </c>
      <c r="B989" s="1">
        <v>2</v>
      </c>
      <c r="C989" s="12">
        <f t="shared" si="135"/>
        <v>-0.44999999999999996</v>
      </c>
      <c r="D989" s="12">
        <f t="shared" si="136"/>
        <v>-1.7250000000000001</v>
      </c>
      <c r="E989" s="12">
        <f t="shared" si="137"/>
        <v>11.126203192888887</v>
      </c>
      <c r="F989" s="12">
        <f t="shared" si="138"/>
        <v>11.126203192888887</v>
      </c>
      <c r="G989" s="12">
        <f t="shared" si="139"/>
        <v>14.579885368888887</v>
      </c>
      <c r="H989" s="12">
        <f t="shared" si="140"/>
        <v>14.579885368888887</v>
      </c>
      <c r="I989" s="1" t="str">
        <f t="shared" si="141"/>
        <v>No</v>
      </c>
      <c r="J989" s="1" t="str">
        <f t="shared" si="142"/>
        <v>Si</v>
      </c>
      <c r="K989" s="1" t="str">
        <f t="shared" si="143"/>
        <v/>
      </c>
    </row>
    <row r="990" spans="1:11" x14ac:dyDescent="0.3">
      <c r="A990" s="1">
        <v>19</v>
      </c>
      <c r="B990" s="1">
        <v>3</v>
      </c>
      <c r="C990" s="12">
        <f t="shared" si="135"/>
        <v>-0.44999999999999996</v>
      </c>
      <c r="D990" s="12">
        <f t="shared" si="136"/>
        <v>-1.65</v>
      </c>
      <c r="E990" s="12">
        <f t="shared" si="137"/>
        <v>11.123715100444443</v>
      </c>
      <c r="F990" s="12">
        <f t="shared" si="138"/>
        <v>11.123715100444443</v>
      </c>
      <c r="G990" s="12">
        <f t="shared" si="139"/>
        <v>14.576381013333332</v>
      </c>
      <c r="H990" s="12">
        <f t="shared" si="140"/>
        <v>14.576381013333332</v>
      </c>
      <c r="I990" s="1" t="str">
        <f t="shared" si="141"/>
        <v>No</v>
      </c>
      <c r="J990" s="1" t="str">
        <f t="shared" si="142"/>
        <v>Si</v>
      </c>
      <c r="K990" s="1" t="str">
        <f t="shared" si="143"/>
        <v/>
      </c>
    </row>
    <row r="991" spans="1:11" x14ac:dyDescent="0.3">
      <c r="A991" s="1">
        <v>19</v>
      </c>
      <c r="B991" s="1">
        <v>4</v>
      </c>
      <c r="C991" s="12">
        <f t="shared" si="135"/>
        <v>-0.44999999999999996</v>
      </c>
      <c r="D991" s="12">
        <f t="shared" si="136"/>
        <v>-1.575</v>
      </c>
      <c r="E991" s="12">
        <f t="shared" si="137"/>
        <v>11.121227007999998</v>
      </c>
      <c r="F991" s="12">
        <f t="shared" si="138"/>
        <v>11.121227007999998</v>
      </c>
      <c r="G991" s="12">
        <f t="shared" si="139"/>
        <v>14.572876657777776</v>
      </c>
      <c r="H991" s="12">
        <f t="shared" si="140"/>
        <v>14.572876657777776</v>
      </c>
      <c r="I991" s="1" t="str">
        <f t="shared" si="141"/>
        <v>No</v>
      </c>
      <c r="J991" s="1" t="str">
        <f t="shared" si="142"/>
        <v>Si</v>
      </c>
      <c r="K991" s="1" t="str">
        <f t="shared" si="143"/>
        <v/>
      </c>
    </row>
    <row r="992" spans="1:11" x14ac:dyDescent="0.3">
      <c r="A992" s="1">
        <v>19</v>
      </c>
      <c r="B992" s="1">
        <v>5</v>
      </c>
      <c r="C992" s="12">
        <f t="shared" si="135"/>
        <v>-0.44999999999999996</v>
      </c>
      <c r="D992" s="12">
        <f t="shared" si="136"/>
        <v>-1.5</v>
      </c>
      <c r="E992" s="12">
        <f t="shared" si="137"/>
        <v>11.118738915555554</v>
      </c>
      <c r="F992" s="12">
        <f t="shared" si="138"/>
        <v>11.118738915555554</v>
      </c>
      <c r="G992" s="12">
        <f t="shared" si="139"/>
        <v>14.56937230222222</v>
      </c>
      <c r="H992" s="12">
        <f t="shared" si="140"/>
        <v>14.56937230222222</v>
      </c>
      <c r="I992" s="1" t="str">
        <f t="shared" si="141"/>
        <v>No</v>
      </c>
      <c r="J992" s="1" t="str">
        <f t="shared" si="142"/>
        <v>Si</v>
      </c>
      <c r="K992" s="1" t="str">
        <f t="shared" si="143"/>
        <v/>
      </c>
    </row>
    <row r="993" spans="1:11" x14ac:dyDescent="0.3">
      <c r="A993" s="1">
        <v>19</v>
      </c>
      <c r="B993" s="1">
        <v>6</v>
      </c>
      <c r="C993" s="12">
        <f t="shared" si="135"/>
        <v>-0.44999999999999996</v>
      </c>
      <c r="D993" s="12">
        <f t="shared" si="136"/>
        <v>-1.425</v>
      </c>
      <c r="E993" s="12">
        <f t="shared" si="137"/>
        <v>11.116250823111109</v>
      </c>
      <c r="F993" s="12">
        <f t="shared" si="138"/>
        <v>11.116250823111109</v>
      </c>
      <c r="G993" s="12">
        <f t="shared" si="139"/>
        <v>14.565867946666666</v>
      </c>
      <c r="H993" s="12">
        <f t="shared" si="140"/>
        <v>14.565867946666666</v>
      </c>
      <c r="I993" s="1" t="str">
        <f t="shared" si="141"/>
        <v>No</v>
      </c>
      <c r="J993" s="1" t="str">
        <f t="shared" si="142"/>
        <v>Si</v>
      </c>
      <c r="K993" s="1" t="str">
        <f t="shared" si="143"/>
        <v/>
      </c>
    </row>
    <row r="994" spans="1:11" x14ac:dyDescent="0.3">
      <c r="A994" s="1">
        <v>19</v>
      </c>
      <c r="B994" s="1">
        <v>7</v>
      </c>
      <c r="C994" s="12">
        <f t="shared" si="135"/>
        <v>-0.44999999999999996</v>
      </c>
      <c r="D994" s="12">
        <f t="shared" si="136"/>
        <v>-1.35</v>
      </c>
      <c r="E994" s="12">
        <f t="shared" si="137"/>
        <v>11.113762730666666</v>
      </c>
      <c r="F994" s="12">
        <f t="shared" si="138"/>
        <v>11.113762730666666</v>
      </c>
      <c r="G994" s="12">
        <f t="shared" si="139"/>
        <v>14.56236359111111</v>
      </c>
      <c r="H994" s="12">
        <f t="shared" si="140"/>
        <v>14.56236359111111</v>
      </c>
      <c r="I994" s="1" t="str">
        <f t="shared" si="141"/>
        <v>No</v>
      </c>
      <c r="J994" s="1" t="str">
        <f t="shared" si="142"/>
        <v>Si</v>
      </c>
      <c r="K994" s="1" t="str">
        <f t="shared" si="143"/>
        <v/>
      </c>
    </row>
    <row r="995" spans="1:11" x14ac:dyDescent="0.3">
      <c r="A995" s="1">
        <v>19</v>
      </c>
      <c r="B995" s="1">
        <v>8</v>
      </c>
      <c r="C995" s="12">
        <f t="shared" si="135"/>
        <v>-0.44999999999999996</v>
      </c>
      <c r="D995" s="12">
        <f t="shared" si="136"/>
        <v>-1.2749999999999999</v>
      </c>
      <c r="E995" s="12">
        <f t="shared" si="137"/>
        <v>11.111274638222222</v>
      </c>
      <c r="F995" s="12">
        <f t="shared" si="138"/>
        <v>11.111274638222222</v>
      </c>
      <c r="G995" s="12">
        <f t="shared" si="139"/>
        <v>14.558859235555554</v>
      </c>
      <c r="H995" s="12">
        <f t="shared" si="140"/>
        <v>14.558859235555554</v>
      </c>
      <c r="I995" s="1" t="str">
        <f t="shared" si="141"/>
        <v>No</v>
      </c>
      <c r="J995" s="1" t="str">
        <f t="shared" si="142"/>
        <v>Si</v>
      </c>
      <c r="K995" s="1" t="str">
        <f t="shared" si="143"/>
        <v/>
      </c>
    </row>
    <row r="996" spans="1:11" x14ac:dyDescent="0.3">
      <c r="A996" s="1">
        <v>19</v>
      </c>
      <c r="B996" s="1">
        <v>9</v>
      </c>
      <c r="C996" s="12">
        <f t="shared" si="135"/>
        <v>-0.44999999999999996</v>
      </c>
      <c r="D996" s="12">
        <f t="shared" si="136"/>
        <v>-1.2</v>
      </c>
      <c r="E996" s="12">
        <f t="shared" si="137"/>
        <v>11.108786545777777</v>
      </c>
      <c r="F996" s="12">
        <f t="shared" si="138"/>
        <v>11.108786545777777</v>
      </c>
      <c r="G996" s="12">
        <f t="shared" si="139"/>
        <v>14.555354879999998</v>
      </c>
      <c r="H996" s="12">
        <f t="shared" si="140"/>
        <v>14.555354879999998</v>
      </c>
      <c r="I996" s="1" t="str">
        <f t="shared" si="141"/>
        <v>No</v>
      </c>
      <c r="J996" s="1" t="str">
        <f t="shared" si="142"/>
        <v>Si</v>
      </c>
      <c r="K996" s="1" t="str">
        <f t="shared" si="143"/>
        <v/>
      </c>
    </row>
    <row r="997" spans="1:11" x14ac:dyDescent="0.3">
      <c r="A997" s="1">
        <v>19</v>
      </c>
      <c r="B997" s="1">
        <v>10</v>
      </c>
      <c r="C997" s="12">
        <f t="shared" si="135"/>
        <v>-0.44999999999999996</v>
      </c>
      <c r="D997" s="12">
        <f t="shared" si="136"/>
        <v>-1.125</v>
      </c>
      <c r="E997" s="12">
        <f t="shared" si="137"/>
        <v>11.106298453333332</v>
      </c>
      <c r="F997" s="12">
        <f t="shared" si="138"/>
        <v>11.106298453333332</v>
      </c>
      <c r="G997" s="12">
        <f t="shared" si="139"/>
        <v>14.551850524444443</v>
      </c>
      <c r="H997" s="12">
        <f t="shared" si="140"/>
        <v>14.551850524444443</v>
      </c>
      <c r="I997" s="1" t="str">
        <f t="shared" si="141"/>
        <v>No</v>
      </c>
      <c r="J997" s="1" t="str">
        <f t="shared" si="142"/>
        <v>Si</v>
      </c>
      <c r="K997" s="1" t="str">
        <f t="shared" si="143"/>
        <v/>
      </c>
    </row>
    <row r="998" spans="1:11" x14ac:dyDescent="0.3">
      <c r="A998" s="1">
        <v>19</v>
      </c>
      <c r="B998" s="1">
        <v>11</v>
      </c>
      <c r="C998" s="12">
        <f t="shared" si="135"/>
        <v>-0.44999999999999996</v>
      </c>
      <c r="D998" s="12">
        <f t="shared" si="136"/>
        <v>-1.05</v>
      </c>
      <c r="E998" s="12">
        <f t="shared" si="137"/>
        <v>11.103810360888888</v>
      </c>
      <c r="F998" s="12">
        <f t="shared" si="138"/>
        <v>11.103810360888888</v>
      </c>
      <c r="G998" s="12">
        <f t="shared" si="139"/>
        <v>14.548346168888887</v>
      </c>
      <c r="H998" s="12">
        <f t="shared" si="140"/>
        <v>14.548346168888887</v>
      </c>
      <c r="I998" s="1" t="str">
        <f t="shared" si="141"/>
        <v>No</v>
      </c>
      <c r="J998" s="1" t="str">
        <f t="shared" si="142"/>
        <v>Si</v>
      </c>
      <c r="K998" s="1" t="str">
        <f t="shared" si="143"/>
        <v/>
      </c>
    </row>
    <row r="999" spans="1:11" x14ac:dyDescent="0.3">
      <c r="A999" s="1">
        <v>19</v>
      </c>
      <c r="B999" s="1">
        <v>12</v>
      </c>
      <c r="C999" s="12">
        <f t="shared" si="135"/>
        <v>-0.44999999999999996</v>
      </c>
      <c r="D999" s="12">
        <f t="shared" si="136"/>
        <v>-0.97499999999999998</v>
      </c>
      <c r="E999" s="12">
        <f t="shared" si="137"/>
        <v>11.101322268444443</v>
      </c>
      <c r="F999" s="12">
        <f t="shared" si="138"/>
        <v>11.101322268444443</v>
      </c>
      <c r="G999" s="12">
        <f t="shared" si="139"/>
        <v>14.544841813333331</v>
      </c>
      <c r="H999" s="12">
        <f t="shared" si="140"/>
        <v>14.544841813333331</v>
      </c>
      <c r="I999" s="1" t="str">
        <f t="shared" si="141"/>
        <v>No</v>
      </c>
      <c r="J999" s="1" t="str">
        <f t="shared" si="142"/>
        <v>Si</v>
      </c>
      <c r="K999" s="1" t="str">
        <f t="shared" si="143"/>
        <v/>
      </c>
    </row>
    <row r="1000" spans="1:11" x14ac:dyDescent="0.3">
      <c r="A1000" s="1">
        <v>19</v>
      </c>
      <c r="B1000" s="1">
        <v>13</v>
      </c>
      <c r="C1000" s="12">
        <f t="shared" si="135"/>
        <v>-0.44999999999999996</v>
      </c>
      <c r="D1000" s="12">
        <f t="shared" si="136"/>
        <v>-0.9</v>
      </c>
      <c r="E1000" s="12">
        <f t="shared" si="137"/>
        <v>11.098834175999999</v>
      </c>
      <c r="F1000" s="12">
        <f t="shared" si="138"/>
        <v>11.098834175999999</v>
      </c>
      <c r="G1000" s="12">
        <f t="shared" si="139"/>
        <v>14.541337457777777</v>
      </c>
      <c r="H1000" s="12">
        <f t="shared" si="140"/>
        <v>14.541337457777777</v>
      </c>
      <c r="I1000" s="1" t="str">
        <f t="shared" si="141"/>
        <v>No</v>
      </c>
      <c r="J1000" s="1" t="str">
        <f t="shared" si="142"/>
        <v>Si</v>
      </c>
      <c r="K1000" s="1" t="str">
        <f t="shared" si="143"/>
        <v/>
      </c>
    </row>
    <row r="1001" spans="1:11" x14ac:dyDescent="0.3">
      <c r="A1001" s="1">
        <v>19</v>
      </c>
      <c r="B1001" s="1">
        <v>14</v>
      </c>
      <c r="C1001" s="12">
        <f t="shared" si="135"/>
        <v>-0.44999999999999996</v>
      </c>
      <c r="D1001" s="12">
        <f t="shared" si="136"/>
        <v>-0.82499999999999996</v>
      </c>
      <c r="E1001" s="12">
        <f t="shared" si="137"/>
        <v>11.096346083555554</v>
      </c>
      <c r="F1001" s="12">
        <f t="shared" si="138"/>
        <v>11.096346083555554</v>
      </c>
      <c r="G1001" s="12">
        <f t="shared" si="139"/>
        <v>14.537833102222221</v>
      </c>
      <c r="H1001" s="12">
        <f t="shared" si="140"/>
        <v>14.537833102222221</v>
      </c>
      <c r="I1001" s="1" t="str">
        <f t="shared" si="141"/>
        <v>No</v>
      </c>
      <c r="J1001" s="1" t="str">
        <f t="shared" si="142"/>
        <v>Si</v>
      </c>
      <c r="K1001" s="1" t="str">
        <f t="shared" si="143"/>
        <v/>
      </c>
    </row>
    <row r="1002" spans="1:11" x14ac:dyDescent="0.3">
      <c r="A1002" s="1">
        <v>19</v>
      </c>
      <c r="B1002" s="1">
        <v>15</v>
      </c>
      <c r="C1002" s="12">
        <f t="shared" si="135"/>
        <v>-0.44999999999999996</v>
      </c>
      <c r="D1002" s="12">
        <f t="shared" si="136"/>
        <v>-0.75</v>
      </c>
      <c r="E1002" s="12">
        <f t="shared" si="137"/>
        <v>11.093857991111109</v>
      </c>
      <c r="F1002" s="12">
        <f t="shared" si="138"/>
        <v>11.093857991111109</v>
      </c>
      <c r="G1002" s="12">
        <f t="shared" si="139"/>
        <v>14.534328746666665</v>
      </c>
      <c r="H1002" s="12">
        <f t="shared" si="140"/>
        <v>14.534328746666665</v>
      </c>
      <c r="I1002" s="1" t="str">
        <f t="shared" si="141"/>
        <v>No</v>
      </c>
      <c r="J1002" s="1" t="str">
        <f t="shared" si="142"/>
        <v>Si</v>
      </c>
      <c r="K1002" s="1" t="str">
        <f t="shared" si="143"/>
        <v/>
      </c>
    </row>
    <row r="1003" spans="1:11" x14ac:dyDescent="0.3">
      <c r="A1003" s="1">
        <v>19</v>
      </c>
      <c r="B1003" s="1">
        <v>16</v>
      </c>
      <c r="C1003" s="12">
        <f t="shared" si="135"/>
        <v>-0.44999999999999996</v>
      </c>
      <c r="D1003" s="12">
        <f t="shared" si="136"/>
        <v>-0.67500000000000004</v>
      </c>
      <c r="E1003" s="12">
        <f t="shared" si="137"/>
        <v>11.091369898666665</v>
      </c>
      <c r="F1003" s="12">
        <f t="shared" si="138"/>
        <v>11.091369898666665</v>
      </c>
      <c r="G1003" s="12">
        <f t="shared" si="139"/>
        <v>14.530824391111109</v>
      </c>
      <c r="H1003" s="12">
        <f t="shared" si="140"/>
        <v>14.530824391111109</v>
      </c>
      <c r="I1003" s="1" t="str">
        <f t="shared" si="141"/>
        <v>No</v>
      </c>
      <c r="J1003" s="1" t="str">
        <f t="shared" si="142"/>
        <v>Si</v>
      </c>
      <c r="K1003" s="1" t="str">
        <f t="shared" si="143"/>
        <v/>
      </c>
    </row>
    <row r="1004" spans="1:11" x14ac:dyDescent="0.3">
      <c r="A1004" s="1">
        <v>19</v>
      </c>
      <c r="B1004" s="1">
        <v>17</v>
      </c>
      <c r="C1004" s="12">
        <f t="shared" si="135"/>
        <v>-0.44999999999999996</v>
      </c>
      <c r="D1004" s="12">
        <f t="shared" si="136"/>
        <v>-0.60000000000000009</v>
      </c>
      <c r="E1004" s="12">
        <f t="shared" si="137"/>
        <v>11.08888180622222</v>
      </c>
      <c r="F1004" s="12">
        <f t="shared" si="138"/>
        <v>11.08888180622222</v>
      </c>
      <c r="G1004" s="12">
        <f t="shared" si="139"/>
        <v>14.527320035555555</v>
      </c>
      <c r="H1004" s="12">
        <f t="shared" si="140"/>
        <v>14.527320035555555</v>
      </c>
      <c r="I1004" s="1" t="str">
        <f t="shared" si="141"/>
        <v>No</v>
      </c>
      <c r="J1004" s="1" t="str">
        <f t="shared" si="142"/>
        <v>Si</v>
      </c>
      <c r="K1004" s="1" t="str">
        <f t="shared" si="143"/>
        <v/>
      </c>
    </row>
    <row r="1005" spans="1:11" x14ac:dyDescent="0.3">
      <c r="A1005" s="1">
        <v>19</v>
      </c>
      <c r="B1005" s="1">
        <v>18</v>
      </c>
      <c r="C1005" s="12">
        <f t="shared" si="135"/>
        <v>-0.44999999999999996</v>
      </c>
      <c r="D1005" s="12">
        <f t="shared" si="136"/>
        <v>-0.52499999999999991</v>
      </c>
      <c r="E1005" s="12">
        <f t="shared" si="137"/>
        <v>11.086393713777776</v>
      </c>
      <c r="F1005" s="12">
        <f t="shared" si="138"/>
        <v>11.086393713777776</v>
      </c>
      <c r="G1005" s="12">
        <f t="shared" si="139"/>
        <v>14.523815679999998</v>
      </c>
      <c r="H1005" s="12">
        <f t="shared" si="140"/>
        <v>14.523815679999998</v>
      </c>
      <c r="I1005" s="1" t="str">
        <f t="shared" si="141"/>
        <v>No</v>
      </c>
      <c r="J1005" s="1" t="str">
        <f t="shared" si="142"/>
        <v>Si</v>
      </c>
      <c r="K1005" s="1" t="str">
        <f t="shared" si="143"/>
        <v/>
      </c>
    </row>
    <row r="1006" spans="1:11" x14ac:dyDescent="0.3">
      <c r="A1006" s="1">
        <v>19</v>
      </c>
      <c r="B1006" s="1">
        <v>19</v>
      </c>
      <c r="C1006" s="12">
        <f t="shared" si="135"/>
        <v>-0.44999999999999996</v>
      </c>
      <c r="D1006" s="12">
        <f t="shared" si="136"/>
        <v>-0.44999999999999996</v>
      </c>
      <c r="E1006" s="12">
        <f t="shared" si="137"/>
        <v>11.083905621333333</v>
      </c>
      <c r="F1006" s="12">
        <f t="shared" si="138"/>
        <v>11.083905621333333</v>
      </c>
      <c r="G1006" s="12">
        <f t="shared" si="139"/>
        <v>14.520311324444442</v>
      </c>
      <c r="H1006" s="12">
        <f t="shared" si="140"/>
        <v>14.520311324444442</v>
      </c>
      <c r="I1006" s="1" t="str">
        <f t="shared" si="141"/>
        <v>No</v>
      </c>
      <c r="J1006" s="1" t="str">
        <f t="shared" si="142"/>
        <v>Si</v>
      </c>
      <c r="K1006" s="1" t="str">
        <f t="shared" si="143"/>
        <v/>
      </c>
    </row>
    <row r="1007" spans="1:11" x14ac:dyDescent="0.3">
      <c r="A1007" s="1">
        <v>19</v>
      </c>
      <c r="B1007" s="1">
        <v>20</v>
      </c>
      <c r="C1007" s="12">
        <f t="shared" si="135"/>
        <v>-0.44999999999999996</v>
      </c>
      <c r="D1007" s="12">
        <f t="shared" si="136"/>
        <v>-0.375</v>
      </c>
      <c r="E1007" s="12">
        <f t="shared" si="137"/>
        <v>11.081417528888888</v>
      </c>
      <c r="F1007" s="12">
        <f t="shared" si="138"/>
        <v>11.081417528888888</v>
      </c>
      <c r="G1007" s="12">
        <f t="shared" si="139"/>
        <v>14.516806968888888</v>
      </c>
      <c r="H1007" s="12">
        <f t="shared" si="140"/>
        <v>14.516806968888888</v>
      </c>
      <c r="I1007" s="1" t="str">
        <f t="shared" si="141"/>
        <v>No</v>
      </c>
      <c r="J1007" s="1" t="str">
        <f t="shared" si="142"/>
        <v>Si</v>
      </c>
      <c r="K1007" s="1" t="str">
        <f t="shared" si="143"/>
        <v/>
      </c>
    </row>
    <row r="1008" spans="1:11" x14ac:dyDescent="0.3">
      <c r="A1008" s="1">
        <v>19</v>
      </c>
      <c r="B1008" s="1">
        <v>21</v>
      </c>
      <c r="C1008" s="12">
        <f t="shared" si="135"/>
        <v>-0.44999999999999996</v>
      </c>
      <c r="D1008" s="12">
        <f t="shared" si="136"/>
        <v>-0.30000000000000004</v>
      </c>
      <c r="E1008" s="12">
        <f t="shared" si="137"/>
        <v>11.078929436444444</v>
      </c>
      <c r="F1008" s="12">
        <f t="shared" si="138"/>
        <v>11.078929436444444</v>
      </c>
      <c r="G1008" s="12">
        <f t="shared" si="139"/>
        <v>14.513302613333332</v>
      </c>
      <c r="H1008" s="12">
        <f t="shared" si="140"/>
        <v>14.513302613333332</v>
      </c>
      <c r="I1008" s="1" t="str">
        <f t="shared" si="141"/>
        <v>No</v>
      </c>
      <c r="J1008" s="1" t="str">
        <f t="shared" si="142"/>
        <v>Si</v>
      </c>
      <c r="K1008" s="1" t="str">
        <f t="shared" si="143"/>
        <v/>
      </c>
    </row>
    <row r="1009" spans="1:11" x14ac:dyDescent="0.3">
      <c r="A1009" s="1">
        <v>19</v>
      </c>
      <c r="B1009" s="1">
        <v>22</v>
      </c>
      <c r="C1009" s="12">
        <f t="shared" si="135"/>
        <v>-0.44999999999999996</v>
      </c>
      <c r="D1009" s="12">
        <f t="shared" si="136"/>
        <v>-0.22500000000000009</v>
      </c>
      <c r="E1009" s="12">
        <f t="shared" si="137"/>
        <v>11.076441343999999</v>
      </c>
      <c r="F1009" s="12">
        <f t="shared" si="138"/>
        <v>11.076441343999999</v>
      </c>
      <c r="G1009" s="12">
        <f t="shared" si="139"/>
        <v>14.509798257777776</v>
      </c>
      <c r="H1009" s="12">
        <f t="shared" si="140"/>
        <v>14.509798257777776</v>
      </c>
      <c r="I1009" s="1" t="str">
        <f t="shared" si="141"/>
        <v>No</v>
      </c>
      <c r="J1009" s="1" t="str">
        <f t="shared" si="142"/>
        <v>Si</v>
      </c>
      <c r="K1009" s="1" t="str">
        <f t="shared" si="143"/>
        <v/>
      </c>
    </row>
    <row r="1010" spans="1:11" x14ac:dyDescent="0.3">
      <c r="A1010" s="1">
        <v>19</v>
      </c>
      <c r="B1010" s="1">
        <v>23</v>
      </c>
      <c r="C1010" s="12">
        <f t="shared" si="135"/>
        <v>-0.44999999999999996</v>
      </c>
      <c r="D1010" s="12">
        <f t="shared" si="136"/>
        <v>-0.14999999999999991</v>
      </c>
      <c r="E1010" s="12">
        <f t="shared" si="137"/>
        <v>11.073953251555555</v>
      </c>
      <c r="F1010" s="12">
        <f t="shared" si="138"/>
        <v>11.073953251555555</v>
      </c>
      <c r="G1010" s="12">
        <f t="shared" si="139"/>
        <v>14.50629390222222</v>
      </c>
      <c r="H1010" s="12">
        <f t="shared" si="140"/>
        <v>14.50629390222222</v>
      </c>
      <c r="I1010" s="1" t="str">
        <f t="shared" si="141"/>
        <v>No</v>
      </c>
      <c r="J1010" s="1" t="str">
        <f t="shared" si="142"/>
        <v>Si</v>
      </c>
      <c r="K1010" s="1" t="str">
        <f t="shared" si="143"/>
        <v/>
      </c>
    </row>
    <row r="1011" spans="1:11" x14ac:dyDescent="0.3">
      <c r="A1011" s="1">
        <v>19</v>
      </c>
      <c r="B1011" s="1">
        <v>24</v>
      </c>
      <c r="C1011" s="12">
        <f t="shared" si="135"/>
        <v>-0.44999999999999996</v>
      </c>
      <c r="D1011" s="12">
        <f t="shared" si="136"/>
        <v>-7.4999999999999956E-2</v>
      </c>
      <c r="E1011" s="12">
        <f t="shared" si="137"/>
        <v>11.07146515911111</v>
      </c>
      <c r="F1011" s="12">
        <f t="shared" si="138"/>
        <v>11.07146515911111</v>
      </c>
      <c r="G1011" s="12">
        <f t="shared" si="139"/>
        <v>14.502789546666666</v>
      </c>
      <c r="H1011" s="12">
        <f t="shared" si="140"/>
        <v>14.502789546666666</v>
      </c>
      <c r="I1011" s="1" t="str">
        <f t="shared" si="141"/>
        <v>No</v>
      </c>
      <c r="J1011" s="1" t="str">
        <f t="shared" si="142"/>
        <v>Si</v>
      </c>
      <c r="K1011" s="1" t="str">
        <f t="shared" si="143"/>
        <v/>
      </c>
    </row>
    <row r="1012" spans="1:11" x14ac:dyDescent="0.3">
      <c r="A1012" s="1">
        <v>19</v>
      </c>
      <c r="B1012" s="1">
        <v>25</v>
      </c>
      <c r="C1012" s="12">
        <f t="shared" si="135"/>
        <v>-0.44999999999999996</v>
      </c>
      <c r="D1012" s="12">
        <f t="shared" si="136"/>
        <v>0</v>
      </c>
      <c r="E1012" s="12">
        <f t="shared" si="137"/>
        <v>11.068977066666665</v>
      </c>
      <c r="F1012" s="12">
        <f t="shared" si="138"/>
        <v>11.068977066666665</v>
      </c>
      <c r="G1012" s="12">
        <f t="shared" si="139"/>
        <v>14.49928519111111</v>
      </c>
      <c r="H1012" s="12">
        <f t="shared" si="140"/>
        <v>14.49928519111111</v>
      </c>
      <c r="I1012" s="1" t="str">
        <f t="shared" si="141"/>
        <v>No</v>
      </c>
      <c r="J1012" s="1" t="str">
        <f t="shared" si="142"/>
        <v>Si</v>
      </c>
      <c r="K1012" s="1" t="str">
        <f t="shared" si="143"/>
        <v/>
      </c>
    </row>
    <row r="1013" spans="1:11" x14ac:dyDescent="0.3">
      <c r="A1013" s="1">
        <v>19</v>
      </c>
      <c r="B1013" s="1">
        <v>26</v>
      </c>
      <c r="C1013" s="12">
        <f t="shared" si="135"/>
        <v>-0.44999999999999996</v>
      </c>
      <c r="D1013" s="12">
        <f t="shared" si="136"/>
        <v>7.4999999999999956E-2</v>
      </c>
      <c r="E1013" s="12">
        <f t="shared" si="137"/>
        <v>11.066488974222221</v>
      </c>
      <c r="F1013" s="12">
        <f t="shared" si="138"/>
        <v>11.066488974222221</v>
      </c>
      <c r="G1013" s="12">
        <f t="shared" si="139"/>
        <v>14.495780835555554</v>
      </c>
      <c r="H1013" s="12">
        <f t="shared" si="140"/>
        <v>14.495780835555554</v>
      </c>
      <c r="I1013" s="1" t="str">
        <f t="shared" si="141"/>
        <v>No</v>
      </c>
      <c r="J1013" s="1" t="str">
        <f t="shared" si="142"/>
        <v>Si</v>
      </c>
      <c r="K1013" s="1" t="str">
        <f t="shared" si="143"/>
        <v/>
      </c>
    </row>
    <row r="1014" spans="1:11" x14ac:dyDescent="0.3">
      <c r="A1014" s="1">
        <v>19</v>
      </c>
      <c r="B1014" s="1">
        <v>27</v>
      </c>
      <c r="C1014" s="12">
        <f t="shared" si="135"/>
        <v>-0.44999999999999996</v>
      </c>
      <c r="D1014" s="12">
        <f t="shared" si="136"/>
        <v>0.14999999999999991</v>
      </c>
      <c r="E1014" s="12">
        <f t="shared" si="137"/>
        <v>11.064000881777776</v>
      </c>
      <c r="F1014" s="12">
        <f t="shared" si="138"/>
        <v>11.064000881777776</v>
      </c>
      <c r="G1014" s="12">
        <f t="shared" si="139"/>
        <v>14.492276479999999</v>
      </c>
      <c r="H1014" s="12">
        <f t="shared" si="140"/>
        <v>14.492276479999999</v>
      </c>
      <c r="I1014" s="1" t="str">
        <f t="shared" si="141"/>
        <v>No</v>
      </c>
      <c r="J1014" s="1" t="str">
        <f t="shared" si="142"/>
        <v>Si</v>
      </c>
      <c r="K1014" s="1" t="str">
        <f t="shared" si="143"/>
        <v/>
      </c>
    </row>
    <row r="1015" spans="1:11" x14ac:dyDescent="0.3">
      <c r="A1015" s="1">
        <v>19</v>
      </c>
      <c r="B1015" s="1">
        <v>28</v>
      </c>
      <c r="C1015" s="12">
        <f t="shared" si="135"/>
        <v>-0.44999999999999996</v>
      </c>
      <c r="D1015" s="12">
        <f t="shared" si="136"/>
        <v>0.22500000000000009</v>
      </c>
      <c r="E1015" s="12">
        <f t="shared" si="137"/>
        <v>11.061512789333332</v>
      </c>
      <c r="F1015" s="12">
        <f t="shared" si="138"/>
        <v>11.061512789333332</v>
      </c>
      <c r="G1015" s="12">
        <f t="shared" si="139"/>
        <v>14.488772124444443</v>
      </c>
      <c r="H1015" s="12">
        <f t="shared" si="140"/>
        <v>14.488772124444443</v>
      </c>
      <c r="I1015" s="1" t="str">
        <f t="shared" si="141"/>
        <v>No</v>
      </c>
      <c r="J1015" s="1" t="str">
        <f t="shared" si="142"/>
        <v>Si</v>
      </c>
      <c r="K1015" s="1" t="str">
        <f t="shared" si="143"/>
        <v/>
      </c>
    </row>
    <row r="1016" spans="1:11" x14ac:dyDescent="0.3">
      <c r="A1016" s="1">
        <v>19</v>
      </c>
      <c r="B1016" s="1">
        <v>29</v>
      </c>
      <c r="C1016" s="12">
        <f t="shared" si="135"/>
        <v>-0.44999999999999996</v>
      </c>
      <c r="D1016" s="12">
        <f t="shared" si="136"/>
        <v>0.29999999999999982</v>
      </c>
      <c r="E1016" s="12">
        <f t="shared" si="137"/>
        <v>11.059024696888887</v>
      </c>
      <c r="F1016" s="12">
        <f t="shared" si="138"/>
        <v>11.059024696888887</v>
      </c>
      <c r="G1016" s="12">
        <f t="shared" si="139"/>
        <v>14.485267768888887</v>
      </c>
      <c r="H1016" s="12">
        <f t="shared" si="140"/>
        <v>14.485267768888887</v>
      </c>
      <c r="I1016" s="1" t="str">
        <f t="shared" si="141"/>
        <v>No</v>
      </c>
      <c r="J1016" s="1" t="str">
        <f t="shared" si="142"/>
        <v>Si</v>
      </c>
      <c r="K1016" s="1" t="str">
        <f t="shared" si="143"/>
        <v/>
      </c>
    </row>
    <row r="1017" spans="1:11" x14ac:dyDescent="0.3">
      <c r="A1017" s="1">
        <v>19</v>
      </c>
      <c r="B1017" s="1">
        <v>30</v>
      </c>
      <c r="C1017" s="12">
        <f t="shared" si="135"/>
        <v>-0.44999999999999996</v>
      </c>
      <c r="D1017" s="12">
        <f t="shared" si="136"/>
        <v>0.375</v>
      </c>
      <c r="E1017" s="12">
        <f t="shared" si="137"/>
        <v>11.056536604444442</v>
      </c>
      <c r="F1017" s="12">
        <f t="shared" si="138"/>
        <v>11.056536604444442</v>
      </c>
      <c r="G1017" s="12">
        <f t="shared" si="139"/>
        <v>14.481763413333331</v>
      </c>
      <c r="H1017" s="12">
        <f t="shared" si="140"/>
        <v>14.481763413333331</v>
      </c>
      <c r="I1017" s="1" t="str">
        <f t="shared" si="141"/>
        <v>No</v>
      </c>
      <c r="J1017" s="1" t="str">
        <f t="shared" si="142"/>
        <v>Si</v>
      </c>
      <c r="K1017" s="1" t="str">
        <f t="shared" si="143"/>
        <v/>
      </c>
    </row>
    <row r="1018" spans="1:11" x14ac:dyDescent="0.3">
      <c r="A1018" s="1">
        <v>19</v>
      </c>
      <c r="B1018" s="1">
        <v>31</v>
      </c>
      <c r="C1018" s="12">
        <f t="shared" si="135"/>
        <v>-0.44999999999999996</v>
      </c>
      <c r="D1018" s="12">
        <f t="shared" si="136"/>
        <v>0.45000000000000018</v>
      </c>
      <c r="E1018" s="12">
        <f t="shared" si="137"/>
        <v>11.054048511999998</v>
      </c>
      <c r="F1018" s="12">
        <f t="shared" si="138"/>
        <v>11.054048511999998</v>
      </c>
      <c r="G1018" s="12">
        <f t="shared" si="139"/>
        <v>14.478259057777777</v>
      </c>
      <c r="H1018" s="12">
        <f t="shared" si="140"/>
        <v>14.478259057777777</v>
      </c>
      <c r="I1018" s="1" t="str">
        <f t="shared" si="141"/>
        <v>No</v>
      </c>
      <c r="J1018" s="1" t="str">
        <f t="shared" si="142"/>
        <v>Si</v>
      </c>
      <c r="K1018" s="1" t="str">
        <f t="shared" si="143"/>
        <v/>
      </c>
    </row>
    <row r="1019" spans="1:11" x14ac:dyDescent="0.3">
      <c r="A1019" s="1">
        <v>19</v>
      </c>
      <c r="B1019" s="1">
        <v>32</v>
      </c>
      <c r="C1019" s="12">
        <f t="shared" si="135"/>
        <v>-0.44999999999999996</v>
      </c>
      <c r="D1019" s="12">
        <f t="shared" si="136"/>
        <v>0.52499999999999991</v>
      </c>
      <c r="E1019" s="12">
        <f t="shared" si="137"/>
        <v>11.051560419555555</v>
      </c>
      <c r="F1019" s="12">
        <f t="shared" si="138"/>
        <v>11.051560419555555</v>
      </c>
      <c r="G1019" s="12">
        <f t="shared" si="139"/>
        <v>14.474754702222221</v>
      </c>
      <c r="H1019" s="12">
        <f t="shared" si="140"/>
        <v>14.474754702222221</v>
      </c>
      <c r="I1019" s="1" t="str">
        <f t="shared" si="141"/>
        <v>No</v>
      </c>
      <c r="J1019" s="1" t="str">
        <f t="shared" si="142"/>
        <v>Si</v>
      </c>
      <c r="K1019" s="1" t="str">
        <f t="shared" si="143"/>
        <v/>
      </c>
    </row>
    <row r="1020" spans="1:11" x14ac:dyDescent="0.3">
      <c r="A1020" s="1">
        <v>19</v>
      </c>
      <c r="B1020" s="1">
        <v>33</v>
      </c>
      <c r="C1020" s="12">
        <f t="shared" si="135"/>
        <v>-0.44999999999999996</v>
      </c>
      <c r="D1020" s="12">
        <f t="shared" si="136"/>
        <v>0.60000000000000009</v>
      </c>
      <c r="E1020" s="12">
        <f t="shared" si="137"/>
        <v>11.04907232711111</v>
      </c>
      <c r="F1020" s="12">
        <f t="shared" si="138"/>
        <v>11.04907232711111</v>
      </c>
      <c r="G1020" s="12">
        <f t="shared" si="139"/>
        <v>14.471250346666665</v>
      </c>
      <c r="H1020" s="12">
        <f t="shared" si="140"/>
        <v>14.471250346666665</v>
      </c>
      <c r="I1020" s="1" t="str">
        <f t="shared" si="141"/>
        <v>No</v>
      </c>
      <c r="J1020" s="1" t="str">
        <f t="shared" si="142"/>
        <v>Si</v>
      </c>
      <c r="K1020" s="1" t="str">
        <f t="shared" si="143"/>
        <v/>
      </c>
    </row>
    <row r="1021" spans="1:11" x14ac:dyDescent="0.3">
      <c r="A1021" s="1">
        <v>19</v>
      </c>
      <c r="B1021" s="1">
        <v>34</v>
      </c>
      <c r="C1021" s="12">
        <f t="shared" si="135"/>
        <v>-0.44999999999999996</v>
      </c>
      <c r="D1021" s="12">
        <f t="shared" si="136"/>
        <v>0.67499999999999982</v>
      </c>
      <c r="E1021" s="12">
        <f t="shared" si="137"/>
        <v>11.046584234666666</v>
      </c>
      <c r="F1021" s="12">
        <f t="shared" si="138"/>
        <v>11.046584234666666</v>
      </c>
      <c r="G1021" s="12">
        <f t="shared" si="139"/>
        <v>14.46774599111111</v>
      </c>
      <c r="H1021" s="12">
        <f t="shared" si="140"/>
        <v>14.46774599111111</v>
      </c>
      <c r="I1021" s="1" t="str">
        <f t="shared" si="141"/>
        <v>No</v>
      </c>
      <c r="J1021" s="1" t="str">
        <f t="shared" si="142"/>
        <v>Si</v>
      </c>
      <c r="K1021" s="1" t="str">
        <f t="shared" si="143"/>
        <v/>
      </c>
    </row>
    <row r="1022" spans="1:11" x14ac:dyDescent="0.3">
      <c r="A1022" s="1">
        <v>19</v>
      </c>
      <c r="B1022" s="1">
        <v>35</v>
      </c>
      <c r="C1022" s="12">
        <f t="shared" si="135"/>
        <v>-0.44999999999999996</v>
      </c>
      <c r="D1022" s="12">
        <f t="shared" si="136"/>
        <v>0.75</v>
      </c>
      <c r="E1022" s="12">
        <f t="shared" si="137"/>
        <v>11.044096142222221</v>
      </c>
      <c r="F1022" s="12">
        <f t="shared" si="138"/>
        <v>11.044096142222221</v>
      </c>
      <c r="G1022" s="12">
        <f t="shared" si="139"/>
        <v>14.464241635555554</v>
      </c>
      <c r="H1022" s="12">
        <f t="shared" si="140"/>
        <v>14.464241635555554</v>
      </c>
      <c r="I1022" s="1" t="str">
        <f t="shared" si="141"/>
        <v>No</v>
      </c>
      <c r="J1022" s="1" t="str">
        <f t="shared" si="142"/>
        <v>Si</v>
      </c>
      <c r="K1022" s="1" t="str">
        <f t="shared" si="143"/>
        <v/>
      </c>
    </row>
    <row r="1023" spans="1:11" x14ac:dyDescent="0.3">
      <c r="A1023" s="1">
        <v>19</v>
      </c>
      <c r="B1023" s="1">
        <v>36</v>
      </c>
      <c r="C1023" s="12">
        <f t="shared" si="135"/>
        <v>-0.44999999999999996</v>
      </c>
      <c r="D1023" s="12">
        <f t="shared" si="136"/>
        <v>0.82500000000000018</v>
      </c>
      <c r="E1023" s="12">
        <f t="shared" si="137"/>
        <v>11.041608049777777</v>
      </c>
      <c r="F1023" s="12">
        <f t="shared" si="138"/>
        <v>11.041608049777777</v>
      </c>
      <c r="G1023" s="12">
        <f t="shared" si="139"/>
        <v>14.460737279999998</v>
      </c>
      <c r="H1023" s="12">
        <f t="shared" si="140"/>
        <v>14.460737279999998</v>
      </c>
      <c r="I1023" s="1" t="str">
        <f t="shared" si="141"/>
        <v>No</v>
      </c>
      <c r="J1023" s="1" t="str">
        <f t="shared" si="142"/>
        <v>Si</v>
      </c>
      <c r="K1023" s="1" t="str">
        <f t="shared" si="143"/>
        <v/>
      </c>
    </row>
    <row r="1024" spans="1:11" x14ac:dyDescent="0.3">
      <c r="A1024" s="1">
        <v>19</v>
      </c>
      <c r="B1024" s="1">
        <v>37</v>
      </c>
      <c r="C1024" s="12">
        <f t="shared" si="135"/>
        <v>-0.44999999999999996</v>
      </c>
      <c r="D1024" s="12">
        <f t="shared" si="136"/>
        <v>0.89999999999999991</v>
      </c>
      <c r="E1024" s="12">
        <f t="shared" si="137"/>
        <v>11.039119957333332</v>
      </c>
      <c r="F1024" s="12">
        <f t="shared" si="138"/>
        <v>11.039119957333332</v>
      </c>
      <c r="G1024" s="12">
        <f t="shared" si="139"/>
        <v>14.457232924444442</v>
      </c>
      <c r="H1024" s="12">
        <f t="shared" si="140"/>
        <v>14.457232924444442</v>
      </c>
      <c r="I1024" s="1" t="str">
        <f t="shared" si="141"/>
        <v>No</v>
      </c>
      <c r="J1024" s="1" t="str">
        <f t="shared" si="142"/>
        <v>Si</v>
      </c>
      <c r="K1024" s="1" t="str">
        <f t="shared" si="143"/>
        <v/>
      </c>
    </row>
    <row r="1025" spans="1:11" x14ac:dyDescent="0.3">
      <c r="A1025" s="1">
        <v>19</v>
      </c>
      <c r="B1025" s="1">
        <v>38</v>
      </c>
      <c r="C1025" s="12">
        <f t="shared" si="135"/>
        <v>-0.44999999999999996</v>
      </c>
      <c r="D1025" s="12">
        <f t="shared" si="136"/>
        <v>0.97500000000000009</v>
      </c>
      <c r="E1025" s="12">
        <f t="shared" si="137"/>
        <v>11.036631864888887</v>
      </c>
      <c r="F1025" s="12">
        <f t="shared" si="138"/>
        <v>11.036631864888887</v>
      </c>
      <c r="G1025" s="12">
        <f t="shared" si="139"/>
        <v>14.453728568888888</v>
      </c>
      <c r="H1025" s="12">
        <f t="shared" si="140"/>
        <v>14.453728568888888</v>
      </c>
      <c r="I1025" s="1" t="str">
        <f t="shared" si="141"/>
        <v>No</v>
      </c>
      <c r="J1025" s="1" t="str">
        <f t="shared" si="142"/>
        <v>Si</v>
      </c>
      <c r="K1025" s="1" t="str">
        <f t="shared" si="143"/>
        <v/>
      </c>
    </row>
    <row r="1026" spans="1:11" x14ac:dyDescent="0.3">
      <c r="A1026" s="1">
        <v>19</v>
      </c>
      <c r="B1026" s="1">
        <v>39</v>
      </c>
      <c r="C1026" s="12">
        <f t="shared" si="135"/>
        <v>-0.44999999999999996</v>
      </c>
      <c r="D1026" s="12">
        <f t="shared" si="136"/>
        <v>1.0499999999999998</v>
      </c>
      <c r="E1026" s="12">
        <f t="shared" si="137"/>
        <v>11.034143772444443</v>
      </c>
      <c r="F1026" s="12">
        <f t="shared" si="138"/>
        <v>11.034143772444443</v>
      </c>
      <c r="G1026" s="12">
        <f t="shared" si="139"/>
        <v>14.450224213333332</v>
      </c>
      <c r="H1026" s="12">
        <f t="shared" si="140"/>
        <v>14.450224213333332</v>
      </c>
      <c r="I1026" s="1" t="str">
        <f t="shared" si="141"/>
        <v>No</v>
      </c>
      <c r="J1026" s="1" t="str">
        <f t="shared" si="142"/>
        <v>Si</v>
      </c>
      <c r="K1026" s="1" t="str">
        <f t="shared" si="143"/>
        <v/>
      </c>
    </row>
    <row r="1027" spans="1:11" x14ac:dyDescent="0.3">
      <c r="A1027" s="1">
        <v>19</v>
      </c>
      <c r="B1027" s="1">
        <v>40</v>
      </c>
      <c r="C1027" s="12">
        <f t="shared" si="135"/>
        <v>-0.44999999999999996</v>
      </c>
      <c r="D1027" s="12">
        <f t="shared" si="136"/>
        <v>1.125</v>
      </c>
      <c r="E1027" s="12">
        <f t="shared" si="137"/>
        <v>11.031655679999998</v>
      </c>
      <c r="F1027" s="12">
        <f t="shared" si="138"/>
        <v>11.031655679999998</v>
      </c>
      <c r="G1027" s="12">
        <f t="shared" si="139"/>
        <v>14.446719857777776</v>
      </c>
      <c r="H1027" s="12">
        <f t="shared" si="140"/>
        <v>14.446719857777776</v>
      </c>
      <c r="I1027" s="1" t="str">
        <f t="shared" si="141"/>
        <v>No</v>
      </c>
      <c r="J1027" s="1" t="str">
        <f t="shared" si="142"/>
        <v>Si</v>
      </c>
      <c r="K1027" s="1" t="str">
        <f t="shared" si="143"/>
        <v/>
      </c>
    </row>
    <row r="1028" spans="1:11" x14ac:dyDescent="0.3">
      <c r="A1028" s="1">
        <v>19</v>
      </c>
      <c r="B1028" s="1">
        <v>41</v>
      </c>
      <c r="C1028" s="12">
        <f t="shared" si="135"/>
        <v>-0.44999999999999996</v>
      </c>
      <c r="D1028" s="12">
        <f t="shared" si="136"/>
        <v>1.2000000000000002</v>
      </c>
      <c r="E1028" s="12">
        <f t="shared" si="137"/>
        <v>11.029167587555554</v>
      </c>
      <c r="F1028" s="12">
        <f t="shared" si="138"/>
        <v>11.029167587555554</v>
      </c>
      <c r="G1028" s="12">
        <f t="shared" si="139"/>
        <v>14.443215502222222</v>
      </c>
      <c r="H1028" s="12">
        <f t="shared" si="140"/>
        <v>14.443215502222222</v>
      </c>
      <c r="I1028" s="1" t="str">
        <f t="shared" si="141"/>
        <v>No</v>
      </c>
      <c r="J1028" s="1" t="str">
        <f t="shared" si="142"/>
        <v>Si</v>
      </c>
      <c r="K1028" s="1" t="str">
        <f t="shared" si="143"/>
        <v/>
      </c>
    </row>
    <row r="1029" spans="1:11" x14ac:dyDescent="0.3">
      <c r="A1029" s="1">
        <v>19</v>
      </c>
      <c r="B1029" s="1">
        <v>42</v>
      </c>
      <c r="C1029" s="12">
        <f t="shared" si="135"/>
        <v>-0.44999999999999996</v>
      </c>
      <c r="D1029" s="12">
        <f t="shared" si="136"/>
        <v>1.2749999999999999</v>
      </c>
      <c r="E1029" s="12">
        <f t="shared" si="137"/>
        <v>11.026679495111109</v>
      </c>
      <c r="F1029" s="12">
        <f t="shared" si="138"/>
        <v>11.026679495111109</v>
      </c>
      <c r="G1029" s="12">
        <f t="shared" si="139"/>
        <v>14.439711146666665</v>
      </c>
      <c r="H1029" s="12">
        <f t="shared" si="140"/>
        <v>14.439711146666665</v>
      </c>
      <c r="I1029" s="1" t="str">
        <f t="shared" si="141"/>
        <v>No</v>
      </c>
      <c r="J1029" s="1" t="str">
        <f t="shared" si="142"/>
        <v>Si</v>
      </c>
      <c r="K1029" s="1" t="str">
        <f t="shared" si="143"/>
        <v/>
      </c>
    </row>
    <row r="1030" spans="1:11" x14ac:dyDescent="0.3">
      <c r="A1030" s="1">
        <v>19</v>
      </c>
      <c r="B1030" s="1">
        <v>43</v>
      </c>
      <c r="C1030" s="12">
        <f t="shared" si="135"/>
        <v>-0.44999999999999996</v>
      </c>
      <c r="D1030" s="12">
        <f t="shared" si="136"/>
        <v>1.35</v>
      </c>
      <c r="E1030" s="12">
        <f t="shared" si="137"/>
        <v>11.024191402666665</v>
      </c>
      <c r="F1030" s="12">
        <f t="shared" si="138"/>
        <v>11.024191402666665</v>
      </c>
      <c r="G1030" s="12">
        <f t="shared" si="139"/>
        <v>14.436206791111109</v>
      </c>
      <c r="H1030" s="12">
        <f t="shared" si="140"/>
        <v>14.436206791111109</v>
      </c>
      <c r="I1030" s="1" t="str">
        <f t="shared" si="141"/>
        <v>No</v>
      </c>
      <c r="J1030" s="1" t="str">
        <f t="shared" si="142"/>
        <v>Si</v>
      </c>
      <c r="K1030" s="1" t="str">
        <f t="shared" si="143"/>
        <v/>
      </c>
    </row>
    <row r="1031" spans="1:11" x14ac:dyDescent="0.3">
      <c r="A1031" s="1">
        <v>19</v>
      </c>
      <c r="B1031" s="1">
        <v>44</v>
      </c>
      <c r="C1031" s="12">
        <f t="shared" si="135"/>
        <v>-0.44999999999999996</v>
      </c>
      <c r="D1031" s="12">
        <f t="shared" si="136"/>
        <v>1.4249999999999998</v>
      </c>
      <c r="E1031" s="12">
        <f t="shared" si="137"/>
        <v>11.021703310222222</v>
      </c>
      <c r="F1031" s="12">
        <f t="shared" si="138"/>
        <v>11.021703310222222</v>
      </c>
      <c r="G1031" s="12">
        <f t="shared" si="139"/>
        <v>14.432702435555553</v>
      </c>
      <c r="H1031" s="12">
        <f t="shared" si="140"/>
        <v>14.432702435555553</v>
      </c>
      <c r="I1031" s="1" t="str">
        <f t="shared" si="141"/>
        <v>No</v>
      </c>
      <c r="J1031" s="1" t="str">
        <f t="shared" si="142"/>
        <v>Si</v>
      </c>
      <c r="K1031" s="1" t="str">
        <f t="shared" si="143"/>
        <v/>
      </c>
    </row>
    <row r="1032" spans="1:11" x14ac:dyDescent="0.3">
      <c r="A1032" s="1">
        <v>19</v>
      </c>
      <c r="B1032" s="1">
        <v>45</v>
      </c>
      <c r="C1032" s="12">
        <f t="shared" si="135"/>
        <v>-0.44999999999999996</v>
      </c>
      <c r="D1032" s="12">
        <f t="shared" si="136"/>
        <v>1.5</v>
      </c>
      <c r="E1032" s="12">
        <f t="shared" si="137"/>
        <v>11.019215217777777</v>
      </c>
      <c r="F1032" s="12">
        <f t="shared" si="138"/>
        <v>11.019215217777777</v>
      </c>
      <c r="G1032" s="12">
        <f t="shared" si="139"/>
        <v>14.429198079999999</v>
      </c>
      <c r="H1032" s="12">
        <f t="shared" si="140"/>
        <v>14.429198079999999</v>
      </c>
      <c r="I1032" s="1" t="str">
        <f t="shared" si="141"/>
        <v>No</v>
      </c>
      <c r="J1032" s="1" t="str">
        <f t="shared" si="142"/>
        <v>Si</v>
      </c>
      <c r="K1032" s="1" t="str">
        <f t="shared" si="143"/>
        <v/>
      </c>
    </row>
    <row r="1033" spans="1:11" x14ac:dyDescent="0.3">
      <c r="A1033" s="1">
        <v>19</v>
      </c>
      <c r="B1033" s="1">
        <v>46</v>
      </c>
      <c r="C1033" s="12">
        <f t="shared" si="135"/>
        <v>-0.44999999999999996</v>
      </c>
      <c r="D1033" s="12">
        <f t="shared" si="136"/>
        <v>1.5750000000000002</v>
      </c>
      <c r="E1033" s="12">
        <f t="shared" si="137"/>
        <v>11.016727125333333</v>
      </c>
      <c r="F1033" s="12">
        <f t="shared" si="138"/>
        <v>11.016727125333333</v>
      </c>
      <c r="G1033" s="12">
        <f t="shared" si="139"/>
        <v>14.425693724444443</v>
      </c>
      <c r="H1033" s="12">
        <f t="shared" si="140"/>
        <v>14.425693724444443</v>
      </c>
      <c r="I1033" s="1" t="str">
        <f t="shared" si="141"/>
        <v>No</v>
      </c>
      <c r="J1033" s="1" t="str">
        <f t="shared" si="142"/>
        <v>Si</v>
      </c>
      <c r="K1033" s="1" t="str">
        <f t="shared" si="143"/>
        <v/>
      </c>
    </row>
    <row r="1034" spans="1:11" x14ac:dyDescent="0.3">
      <c r="A1034" s="1">
        <v>19</v>
      </c>
      <c r="B1034" s="1">
        <v>47</v>
      </c>
      <c r="C1034" s="12">
        <f t="shared" si="135"/>
        <v>-0.44999999999999996</v>
      </c>
      <c r="D1034" s="12">
        <f t="shared" si="136"/>
        <v>1.65</v>
      </c>
      <c r="E1034" s="12">
        <f t="shared" si="137"/>
        <v>11.014239032888888</v>
      </c>
      <c r="F1034" s="12">
        <f t="shared" si="138"/>
        <v>11.014239032888888</v>
      </c>
      <c r="G1034" s="12">
        <f t="shared" si="139"/>
        <v>14.422189368888887</v>
      </c>
      <c r="H1034" s="12">
        <f t="shared" si="140"/>
        <v>14.422189368888887</v>
      </c>
      <c r="I1034" s="1" t="str">
        <f t="shared" si="141"/>
        <v>No</v>
      </c>
      <c r="J1034" s="1" t="str">
        <f t="shared" si="142"/>
        <v>Si</v>
      </c>
      <c r="K1034" s="1" t="str">
        <f t="shared" si="143"/>
        <v/>
      </c>
    </row>
    <row r="1035" spans="1:11" x14ac:dyDescent="0.3">
      <c r="A1035" s="1">
        <v>19</v>
      </c>
      <c r="B1035" s="1">
        <v>48</v>
      </c>
      <c r="C1035" s="12">
        <f t="shared" si="135"/>
        <v>-0.44999999999999996</v>
      </c>
      <c r="D1035" s="12">
        <f t="shared" si="136"/>
        <v>1.7250000000000001</v>
      </c>
      <c r="E1035" s="12">
        <f t="shared" si="137"/>
        <v>11.011750940444443</v>
      </c>
      <c r="F1035" s="12">
        <f t="shared" si="138"/>
        <v>11.011750940444443</v>
      </c>
      <c r="G1035" s="12">
        <f t="shared" si="139"/>
        <v>14.418685013333333</v>
      </c>
      <c r="H1035" s="12">
        <f t="shared" si="140"/>
        <v>14.418685013333333</v>
      </c>
      <c r="I1035" s="1" t="str">
        <f t="shared" si="141"/>
        <v>No</v>
      </c>
      <c r="J1035" s="1" t="str">
        <f t="shared" si="142"/>
        <v>Si</v>
      </c>
      <c r="K1035" s="1" t="str">
        <f t="shared" si="143"/>
        <v/>
      </c>
    </row>
    <row r="1036" spans="1:11" x14ac:dyDescent="0.3">
      <c r="A1036" s="1">
        <v>19</v>
      </c>
      <c r="B1036" s="1">
        <v>49</v>
      </c>
      <c r="C1036" s="12">
        <f t="shared" si="135"/>
        <v>-0.44999999999999996</v>
      </c>
      <c r="D1036" s="12">
        <f t="shared" si="136"/>
        <v>1.7999999999999998</v>
      </c>
      <c r="E1036" s="12">
        <f t="shared" si="137"/>
        <v>11.009262847999999</v>
      </c>
      <c r="F1036" s="12">
        <f t="shared" si="138"/>
        <v>11.009262847999999</v>
      </c>
      <c r="G1036" s="12">
        <f t="shared" si="139"/>
        <v>14.415180657777777</v>
      </c>
      <c r="H1036" s="12">
        <f t="shared" si="140"/>
        <v>14.415180657777777</v>
      </c>
      <c r="I1036" s="1" t="str">
        <f t="shared" si="141"/>
        <v>No</v>
      </c>
      <c r="J1036" s="1" t="str">
        <f t="shared" si="142"/>
        <v>Si</v>
      </c>
      <c r="K1036" s="1" t="str">
        <f t="shared" si="143"/>
        <v/>
      </c>
    </row>
    <row r="1037" spans="1:11" x14ac:dyDescent="0.3">
      <c r="A1037" s="1">
        <v>19</v>
      </c>
      <c r="B1037" s="1">
        <v>50</v>
      </c>
      <c r="C1037" s="12">
        <f t="shared" si="135"/>
        <v>-0.44999999999999996</v>
      </c>
      <c r="D1037" s="12">
        <f t="shared" si="136"/>
        <v>1.875</v>
      </c>
      <c r="E1037" s="12">
        <f t="shared" si="137"/>
        <v>11.006774755555554</v>
      </c>
      <c r="F1037" s="12">
        <f t="shared" si="138"/>
        <v>11.006774755555554</v>
      </c>
      <c r="G1037" s="12">
        <f t="shared" si="139"/>
        <v>14.411676302222221</v>
      </c>
      <c r="H1037" s="12">
        <f t="shared" si="140"/>
        <v>14.411676302222221</v>
      </c>
      <c r="I1037" s="1" t="str">
        <f t="shared" si="141"/>
        <v>No</v>
      </c>
      <c r="J1037" s="1" t="str">
        <f t="shared" si="142"/>
        <v>Si</v>
      </c>
      <c r="K1037" s="1" t="str">
        <f t="shared" si="143"/>
        <v/>
      </c>
    </row>
    <row r="1038" spans="1:11" x14ac:dyDescent="0.3">
      <c r="A1038" s="1">
        <v>20</v>
      </c>
      <c r="B1038" s="1">
        <v>0</v>
      </c>
      <c r="C1038" s="12">
        <f t="shared" si="135"/>
        <v>-0.375</v>
      </c>
      <c r="D1038" s="12">
        <f t="shared" si="136"/>
        <v>-1.875</v>
      </c>
      <c r="E1038" s="12">
        <f t="shared" si="137"/>
        <v>11.13187342222222</v>
      </c>
      <c r="F1038" s="12">
        <f t="shared" si="138"/>
        <v>11.13187342222222</v>
      </c>
      <c r="G1038" s="12">
        <f t="shared" si="139"/>
        <v>14.587931733333333</v>
      </c>
      <c r="H1038" s="12">
        <f t="shared" si="140"/>
        <v>14.587931733333333</v>
      </c>
      <c r="I1038" s="1" t="str">
        <f t="shared" si="141"/>
        <v>No</v>
      </c>
      <c r="J1038" s="1" t="str">
        <f t="shared" si="142"/>
        <v>Si</v>
      </c>
      <c r="K1038" s="1" t="str">
        <f t="shared" si="143"/>
        <v/>
      </c>
    </row>
    <row r="1039" spans="1:11" x14ac:dyDescent="0.3">
      <c r="A1039" s="1">
        <v>20</v>
      </c>
      <c r="B1039" s="1">
        <v>1</v>
      </c>
      <c r="C1039" s="12">
        <f t="shared" si="135"/>
        <v>-0.375</v>
      </c>
      <c r="D1039" s="12">
        <f t="shared" si="136"/>
        <v>-1.8</v>
      </c>
      <c r="E1039" s="12">
        <f t="shared" si="137"/>
        <v>11.129385329777776</v>
      </c>
      <c r="F1039" s="12">
        <f t="shared" si="138"/>
        <v>11.129385329777776</v>
      </c>
      <c r="G1039" s="12">
        <f t="shared" si="139"/>
        <v>14.584427377777777</v>
      </c>
      <c r="H1039" s="12">
        <f t="shared" si="140"/>
        <v>14.584427377777777</v>
      </c>
      <c r="I1039" s="1" t="str">
        <f t="shared" si="141"/>
        <v>No</v>
      </c>
      <c r="J1039" s="1" t="str">
        <f t="shared" si="142"/>
        <v>Si</v>
      </c>
      <c r="K1039" s="1" t="str">
        <f t="shared" si="143"/>
        <v/>
      </c>
    </row>
    <row r="1040" spans="1:11" x14ac:dyDescent="0.3">
      <c r="A1040" s="1">
        <v>20</v>
      </c>
      <c r="B1040" s="1">
        <v>2</v>
      </c>
      <c r="C1040" s="12">
        <f t="shared" si="135"/>
        <v>-0.375</v>
      </c>
      <c r="D1040" s="12">
        <f t="shared" si="136"/>
        <v>-1.7250000000000001</v>
      </c>
      <c r="E1040" s="12">
        <f t="shared" si="137"/>
        <v>11.126897237333331</v>
      </c>
      <c r="F1040" s="12">
        <f t="shared" si="138"/>
        <v>11.126897237333331</v>
      </c>
      <c r="G1040" s="12">
        <f t="shared" si="139"/>
        <v>14.580923022222221</v>
      </c>
      <c r="H1040" s="12">
        <f t="shared" si="140"/>
        <v>14.580923022222221</v>
      </c>
      <c r="I1040" s="1" t="str">
        <f t="shared" si="141"/>
        <v>No</v>
      </c>
      <c r="J1040" s="1" t="str">
        <f t="shared" si="142"/>
        <v>Si</v>
      </c>
      <c r="K1040" s="1" t="str">
        <f t="shared" si="143"/>
        <v/>
      </c>
    </row>
    <row r="1041" spans="1:11" x14ac:dyDescent="0.3">
      <c r="A1041" s="1">
        <v>20</v>
      </c>
      <c r="B1041" s="1">
        <v>3</v>
      </c>
      <c r="C1041" s="12">
        <f t="shared" si="135"/>
        <v>-0.375</v>
      </c>
      <c r="D1041" s="12">
        <f t="shared" si="136"/>
        <v>-1.65</v>
      </c>
      <c r="E1041" s="12">
        <f t="shared" si="137"/>
        <v>11.124409144888887</v>
      </c>
      <c r="F1041" s="12">
        <f t="shared" si="138"/>
        <v>11.124409144888887</v>
      </c>
      <c r="G1041" s="12">
        <f t="shared" si="139"/>
        <v>14.577418666666667</v>
      </c>
      <c r="H1041" s="12">
        <f t="shared" si="140"/>
        <v>14.577418666666667</v>
      </c>
      <c r="I1041" s="1" t="str">
        <f t="shared" si="141"/>
        <v>No</v>
      </c>
      <c r="J1041" s="1" t="str">
        <f t="shared" si="142"/>
        <v>Si</v>
      </c>
      <c r="K1041" s="1" t="str">
        <f t="shared" si="143"/>
        <v/>
      </c>
    </row>
    <row r="1042" spans="1:11" x14ac:dyDescent="0.3">
      <c r="A1042" s="1">
        <v>20</v>
      </c>
      <c r="B1042" s="1">
        <v>4</v>
      </c>
      <c r="C1042" s="12">
        <f t="shared" ref="C1042:C1105" si="144">IF(OR(A1042&gt;inp_n_div_x,B1042&gt;inp_n_div_y),"",-inp_bx/2+A1042*inp_bx/inp_n_div_x)</f>
        <v>-0.375</v>
      </c>
      <c r="D1042" s="12">
        <f t="shared" ref="D1042:D1105" si="145">IF(C1042="","",-inp_by/2+B1042*inp_by/inp_n_div_y)</f>
        <v>-1.575</v>
      </c>
      <c r="E1042" s="12">
        <f t="shared" ref="E1042:E1105" si="146">IF(C1042="","",res_srv_p_tot/geo_area+res_srv_mx_tot/geo_ix*D1042+res_srv_my_tot/geo_iy*C1042)</f>
        <v>11.121921052444442</v>
      </c>
      <c r="F1042" s="12">
        <f t="shared" ref="F1042:F1105" si="147">IF(E1042="","",MAX(0,E1042))</f>
        <v>11.121921052444442</v>
      </c>
      <c r="G1042" s="12">
        <f t="shared" ref="G1042:G1105" si="148">IF(C1042="","",res_u_p_tot/geo_area+res_u_mx_tot/geo_ix*D1042+res_u_my_tot/geo_iy*C1042)</f>
        <v>14.57391431111111</v>
      </c>
      <c r="H1042" s="12">
        <f t="shared" ref="H1042:H1105" si="149">IF(G1042="","",MAX(0,G1042))</f>
        <v>14.57391431111111</v>
      </c>
      <c r="I1042" s="1" t="str">
        <f t="shared" ref="I1042:I1105" si="150">IF(C1042="","",IF(AND(C1042&gt;=inp_xc-inp_cx/2,C1042&lt;=inp_xc+inp_cx/2,D1042&gt;=inp_yc-inp_cy/2,D1042&lt;=inp_yc+inp_cy/2),"Si","No"))</f>
        <v>No</v>
      </c>
      <c r="J1042" s="1" t="str">
        <f t="shared" ref="J1042:J1105" si="151">IF(C1042="","","Si")</f>
        <v>Si</v>
      </c>
      <c r="K1042" s="1" t="str">
        <f t="shared" ref="K1042:K1105" si="152">IF(OR(E1042&lt;0,G1042&lt;0),"Presion negativa","")</f>
        <v/>
      </c>
    </row>
    <row r="1043" spans="1:11" x14ac:dyDescent="0.3">
      <c r="A1043" s="1">
        <v>20</v>
      </c>
      <c r="B1043" s="1">
        <v>5</v>
      </c>
      <c r="C1043" s="12">
        <f t="shared" si="144"/>
        <v>-0.375</v>
      </c>
      <c r="D1043" s="12">
        <f t="shared" si="145"/>
        <v>-1.5</v>
      </c>
      <c r="E1043" s="12">
        <f t="shared" si="146"/>
        <v>11.119432959999997</v>
      </c>
      <c r="F1043" s="12">
        <f t="shared" si="147"/>
        <v>11.119432959999997</v>
      </c>
      <c r="G1043" s="12">
        <f t="shared" si="148"/>
        <v>14.570409955555554</v>
      </c>
      <c r="H1043" s="12">
        <f t="shared" si="149"/>
        <v>14.570409955555554</v>
      </c>
      <c r="I1043" s="1" t="str">
        <f t="shared" si="150"/>
        <v>No</v>
      </c>
      <c r="J1043" s="1" t="str">
        <f t="shared" si="151"/>
        <v>Si</v>
      </c>
      <c r="K1043" s="1" t="str">
        <f t="shared" si="152"/>
        <v/>
      </c>
    </row>
    <row r="1044" spans="1:11" x14ac:dyDescent="0.3">
      <c r="A1044" s="1">
        <v>20</v>
      </c>
      <c r="B1044" s="1">
        <v>6</v>
      </c>
      <c r="C1044" s="12">
        <f t="shared" si="144"/>
        <v>-0.375</v>
      </c>
      <c r="D1044" s="12">
        <f t="shared" si="145"/>
        <v>-1.425</v>
      </c>
      <c r="E1044" s="12">
        <f t="shared" si="146"/>
        <v>11.116944867555553</v>
      </c>
      <c r="F1044" s="12">
        <f t="shared" si="147"/>
        <v>11.116944867555553</v>
      </c>
      <c r="G1044" s="12">
        <f t="shared" si="148"/>
        <v>14.5669056</v>
      </c>
      <c r="H1044" s="12">
        <f t="shared" si="149"/>
        <v>14.5669056</v>
      </c>
      <c r="I1044" s="1" t="str">
        <f t="shared" si="150"/>
        <v>No</v>
      </c>
      <c r="J1044" s="1" t="str">
        <f t="shared" si="151"/>
        <v>Si</v>
      </c>
      <c r="K1044" s="1" t="str">
        <f t="shared" si="152"/>
        <v/>
      </c>
    </row>
    <row r="1045" spans="1:11" x14ac:dyDescent="0.3">
      <c r="A1045" s="1">
        <v>20</v>
      </c>
      <c r="B1045" s="1">
        <v>7</v>
      </c>
      <c r="C1045" s="12">
        <f t="shared" si="144"/>
        <v>-0.375</v>
      </c>
      <c r="D1045" s="12">
        <f t="shared" si="145"/>
        <v>-1.35</v>
      </c>
      <c r="E1045" s="12">
        <f t="shared" si="146"/>
        <v>11.11445677511111</v>
      </c>
      <c r="F1045" s="12">
        <f t="shared" si="147"/>
        <v>11.11445677511111</v>
      </c>
      <c r="G1045" s="12">
        <f t="shared" si="148"/>
        <v>14.563401244444444</v>
      </c>
      <c r="H1045" s="12">
        <f t="shared" si="149"/>
        <v>14.563401244444444</v>
      </c>
      <c r="I1045" s="1" t="str">
        <f t="shared" si="150"/>
        <v>No</v>
      </c>
      <c r="J1045" s="1" t="str">
        <f t="shared" si="151"/>
        <v>Si</v>
      </c>
      <c r="K1045" s="1" t="str">
        <f t="shared" si="152"/>
        <v/>
      </c>
    </row>
    <row r="1046" spans="1:11" x14ac:dyDescent="0.3">
      <c r="A1046" s="1">
        <v>20</v>
      </c>
      <c r="B1046" s="1">
        <v>8</v>
      </c>
      <c r="C1046" s="12">
        <f t="shared" si="144"/>
        <v>-0.375</v>
      </c>
      <c r="D1046" s="12">
        <f t="shared" si="145"/>
        <v>-1.2749999999999999</v>
      </c>
      <c r="E1046" s="12">
        <f t="shared" si="146"/>
        <v>11.111968682666665</v>
      </c>
      <c r="F1046" s="12">
        <f t="shared" si="147"/>
        <v>11.111968682666665</v>
      </c>
      <c r="G1046" s="12">
        <f t="shared" si="148"/>
        <v>14.559896888888888</v>
      </c>
      <c r="H1046" s="12">
        <f t="shared" si="149"/>
        <v>14.559896888888888</v>
      </c>
      <c r="I1046" s="1" t="str">
        <f t="shared" si="150"/>
        <v>No</v>
      </c>
      <c r="J1046" s="1" t="str">
        <f t="shared" si="151"/>
        <v>Si</v>
      </c>
      <c r="K1046" s="1" t="str">
        <f t="shared" si="152"/>
        <v/>
      </c>
    </row>
    <row r="1047" spans="1:11" x14ac:dyDescent="0.3">
      <c r="A1047" s="1">
        <v>20</v>
      </c>
      <c r="B1047" s="1">
        <v>9</v>
      </c>
      <c r="C1047" s="12">
        <f t="shared" si="144"/>
        <v>-0.375</v>
      </c>
      <c r="D1047" s="12">
        <f t="shared" si="145"/>
        <v>-1.2</v>
      </c>
      <c r="E1047" s="12">
        <f t="shared" si="146"/>
        <v>11.109480590222221</v>
      </c>
      <c r="F1047" s="12">
        <f t="shared" si="147"/>
        <v>11.109480590222221</v>
      </c>
      <c r="G1047" s="12">
        <f t="shared" si="148"/>
        <v>14.556392533333332</v>
      </c>
      <c r="H1047" s="12">
        <f t="shared" si="149"/>
        <v>14.556392533333332</v>
      </c>
      <c r="I1047" s="1" t="str">
        <f t="shared" si="150"/>
        <v>No</v>
      </c>
      <c r="J1047" s="1" t="str">
        <f t="shared" si="151"/>
        <v>Si</v>
      </c>
      <c r="K1047" s="1" t="str">
        <f t="shared" si="152"/>
        <v/>
      </c>
    </row>
    <row r="1048" spans="1:11" x14ac:dyDescent="0.3">
      <c r="A1048" s="1">
        <v>20</v>
      </c>
      <c r="B1048" s="1">
        <v>10</v>
      </c>
      <c r="C1048" s="12">
        <f t="shared" si="144"/>
        <v>-0.375</v>
      </c>
      <c r="D1048" s="12">
        <f t="shared" si="145"/>
        <v>-1.125</v>
      </c>
      <c r="E1048" s="12">
        <f t="shared" si="146"/>
        <v>11.106992497777776</v>
      </c>
      <c r="F1048" s="12">
        <f t="shared" si="147"/>
        <v>11.106992497777776</v>
      </c>
      <c r="G1048" s="12">
        <f t="shared" si="148"/>
        <v>14.552888177777778</v>
      </c>
      <c r="H1048" s="12">
        <f t="shared" si="149"/>
        <v>14.552888177777778</v>
      </c>
      <c r="I1048" s="1" t="str">
        <f t="shared" si="150"/>
        <v>No</v>
      </c>
      <c r="J1048" s="1" t="str">
        <f t="shared" si="151"/>
        <v>Si</v>
      </c>
      <c r="K1048" s="1" t="str">
        <f t="shared" si="152"/>
        <v/>
      </c>
    </row>
    <row r="1049" spans="1:11" x14ac:dyDescent="0.3">
      <c r="A1049" s="1">
        <v>20</v>
      </c>
      <c r="B1049" s="1">
        <v>11</v>
      </c>
      <c r="C1049" s="12">
        <f t="shared" si="144"/>
        <v>-0.375</v>
      </c>
      <c r="D1049" s="12">
        <f t="shared" si="145"/>
        <v>-1.05</v>
      </c>
      <c r="E1049" s="12">
        <f t="shared" si="146"/>
        <v>11.104504405333332</v>
      </c>
      <c r="F1049" s="12">
        <f t="shared" si="147"/>
        <v>11.104504405333332</v>
      </c>
      <c r="G1049" s="12">
        <f t="shared" si="148"/>
        <v>14.549383822222222</v>
      </c>
      <c r="H1049" s="12">
        <f t="shared" si="149"/>
        <v>14.549383822222222</v>
      </c>
      <c r="I1049" s="1" t="str">
        <f t="shared" si="150"/>
        <v>No</v>
      </c>
      <c r="J1049" s="1" t="str">
        <f t="shared" si="151"/>
        <v>Si</v>
      </c>
      <c r="K1049" s="1" t="str">
        <f t="shared" si="152"/>
        <v/>
      </c>
    </row>
    <row r="1050" spans="1:11" x14ac:dyDescent="0.3">
      <c r="A1050" s="1">
        <v>20</v>
      </c>
      <c r="B1050" s="1">
        <v>12</v>
      </c>
      <c r="C1050" s="12">
        <f t="shared" si="144"/>
        <v>-0.375</v>
      </c>
      <c r="D1050" s="12">
        <f t="shared" si="145"/>
        <v>-0.97499999999999998</v>
      </c>
      <c r="E1050" s="12">
        <f t="shared" si="146"/>
        <v>11.102016312888887</v>
      </c>
      <c r="F1050" s="12">
        <f t="shared" si="147"/>
        <v>11.102016312888887</v>
      </c>
      <c r="G1050" s="12">
        <f t="shared" si="148"/>
        <v>14.545879466666666</v>
      </c>
      <c r="H1050" s="12">
        <f t="shared" si="149"/>
        <v>14.545879466666666</v>
      </c>
      <c r="I1050" s="1" t="str">
        <f t="shared" si="150"/>
        <v>No</v>
      </c>
      <c r="J1050" s="1" t="str">
        <f t="shared" si="151"/>
        <v>Si</v>
      </c>
      <c r="K1050" s="1" t="str">
        <f t="shared" si="152"/>
        <v/>
      </c>
    </row>
    <row r="1051" spans="1:11" x14ac:dyDescent="0.3">
      <c r="A1051" s="1">
        <v>20</v>
      </c>
      <c r="B1051" s="1">
        <v>13</v>
      </c>
      <c r="C1051" s="12">
        <f t="shared" si="144"/>
        <v>-0.375</v>
      </c>
      <c r="D1051" s="12">
        <f t="shared" si="145"/>
        <v>-0.9</v>
      </c>
      <c r="E1051" s="12">
        <f t="shared" si="146"/>
        <v>11.099528220444443</v>
      </c>
      <c r="F1051" s="12">
        <f t="shared" si="147"/>
        <v>11.099528220444443</v>
      </c>
      <c r="G1051" s="12">
        <f t="shared" si="148"/>
        <v>14.542375111111111</v>
      </c>
      <c r="H1051" s="12">
        <f t="shared" si="149"/>
        <v>14.542375111111111</v>
      </c>
      <c r="I1051" s="1" t="str">
        <f t="shared" si="150"/>
        <v>No</v>
      </c>
      <c r="J1051" s="1" t="str">
        <f t="shared" si="151"/>
        <v>Si</v>
      </c>
      <c r="K1051" s="1" t="str">
        <f t="shared" si="152"/>
        <v/>
      </c>
    </row>
    <row r="1052" spans="1:11" x14ac:dyDescent="0.3">
      <c r="A1052" s="1">
        <v>20</v>
      </c>
      <c r="B1052" s="1">
        <v>14</v>
      </c>
      <c r="C1052" s="12">
        <f t="shared" si="144"/>
        <v>-0.375</v>
      </c>
      <c r="D1052" s="12">
        <f t="shared" si="145"/>
        <v>-0.82499999999999996</v>
      </c>
      <c r="E1052" s="12">
        <f t="shared" si="146"/>
        <v>11.097040127999998</v>
      </c>
      <c r="F1052" s="12">
        <f t="shared" si="147"/>
        <v>11.097040127999998</v>
      </c>
      <c r="G1052" s="12">
        <f t="shared" si="148"/>
        <v>14.538870755555555</v>
      </c>
      <c r="H1052" s="12">
        <f t="shared" si="149"/>
        <v>14.538870755555555</v>
      </c>
      <c r="I1052" s="1" t="str">
        <f t="shared" si="150"/>
        <v>No</v>
      </c>
      <c r="J1052" s="1" t="str">
        <f t="shared" si="151"/>
        <v>Si</v>
      </c>
      <c r="K1052" s="1" t="str">
        <f t="shared" si="152"/>
        <v/>
      </c>
    </row>
    <row r="1053" spans="1:11" x14ac:dyDescent="0.3">
      <c r="A1053" s="1">
        <v>20</v>
      </c>
      <c r="B1053" s="1">
        <v>15</v>
      </c>
      <c r="C1053" s="12">
        <f t="shared" si="144"/>
        <v>-0.375</v>
      </c>
      <c r="D1053" s="12">
        <f t="shared" si="145"/>
        <v>-0.75</v>
      </c>
      <c r="E1053" s="12">
        <f t="shared" si="146"/>
        <v>11.094552035555553</v>
      </c>
      <c r="F1053" s="12">
        <f t="shared" si="147"/>
        <v>11.094552035555553</v>
      </c>
      <c r="G1053" s="12">
        <f t="shared" si="148"/>
        <v>14.535366399999999</v>
      </c>
      <c r="H1053" s="12">
        <f t="shared" si="149"/>
        <v>14.535366399999999</v>
      </c>
      <c r="I1053" s="1" t="str">
        <f t="shared" si="150"/>
        <v>No</v>
      </c>
      <c r="J1053" s="1" t="str">
        <f t="shared" si="151"/>
        <v>Si</v>
      </c>
      <c r="K1053" s="1" t="str">
        <f t="shared" si="152"/>
        <v/>
      </c>
    </row>
    <row r="1054" spans="1:11" x14ac:dyDescent="0.3">
      <c r="A1054" s="1">
        <v>20</v>
      </c>
      <c r="B1054" s="1">
        <v>16</v>
      </c>
      <c r="C1054" s="12">
        <f t="shared" si="144"/>
        <v>-0.375</v>
      </c>
      <c r="D1054" s="12">
        <f t="shared" si="145"/>
        <v>-0.67500000000000004</v>
      </c>
      <c r="E1054" s="12">
        <f t="shared" si="146"/>
        <v>11.092063943111109</v>
      </c>
      <c r="F1054" s="12">
        <f t="shared" si="147"/>
        <v>11.092063943111109</v>
      </c>
      <c r="G1054" s="12">
        <f t="shared" si="148"/>
        <v>14.531862044444443</v>
      </c>
      <c r="H1054" s="12">
        <f t="shared" si="149"/>
        <v>14.531862044444443</v>
      </c>
      <c r="I1054" s="1" t="str">
        <f t="shared" si="150"/>
        <v>No</v>
      </c>
      <c r="J1054" s="1" t="str">
        <f t="shared" si="151"/>
        <v>Si</v>
      </c>
      <c r="K1054" s="1" t="str">
        <f t="shared" si="152"/>
        <v/>
      </c>
    </row>
    <row r="1055" spans="1:11" x14ac:dyDescent="0.3">
      <c r="A1055" s="1">
        <v>20</v>
      </c>
      <c r="B1055" s="1">
        <v>17</v>
      </c>
      <c r="C1055" s="12">
        <f t="shared" si="144"/>
        <v>-0.375</v>
      </c>
      <c r="D1055" s="12">
        <f t="shared" si="145"/>
        <v>-0.60000000000000009</v>
      </c>
      <c r="E1055" s="12">
        <f t="shared" si="146"/>
        <v>11.089575850666664</v>
      </c>
      <c r="F1055" s="12">
        <f t="shared" si="147"/>
        <v>11.089575850666664</v>
      </c>
      <c r="G1055" s="12">
        <f t="shared" si="148"/>
        <v>14.528357688888889</v>
      </c>
      <c r="H1055" s="12">
        <f t="shared" si="149"/>
        <v>14.528357688888889</v>
      </c>
      <c r="I1055" s="1" t="str">
        <f t="shared" si="150"/>
        <v>No</v>
      </c>
      <c r="J1055" s="1" t="str">
        <f t="shared" si="151"/>
        <v>Si</v>
      </c>
      <c r="K1055" s="1" t="str">
        <f t="shared" si="152"/>
        <v/>
      </c>
    </row>
    <row r="1056" spans="1:11" x14ac:dyDescent="0.3">
      <c r="A1056" s="1">
        <v>20</v>
      </c>
      <c r="B1056" s="1">
        <v>18</v>
      </c>
      <c r="C1056" s="12">
        <f t="shared" si="144"/>
        <v>-0.375</v>
      </c>
      <c r="D1056" s="12">
        <f t="shared" si="145"/>
        <v>-0.52499999999999991</v>
      </c>
      <c r="E1056" s="12">
        <f t="shared" si="146"/>
        <v>11.08708775822222</v>
      </c>
      <c r="F1056" s="12">
        <f t="shared" si="147"/>
        <v>11.08708775822222</v>
      </c>
      <c r="G1056" s="12">
        <f t="shared" si="148"/>
        <v>14.524853333333333</v>
      </c>
      <c r="H1056" s="12">
        <f t="shared" si="149"/>
        <v>14.524853333333333</v>
      </c>
      <c r="I1056" s="1" t="str">
        <f t="shared" si="150"/>
        <v>No</v>
      </c>
      <c r="J1056" s="1" t="str">
        <f t="shared" si="151"/>
        <v>Si</v>
      </c>
      <c r="K1056" s="1" t="str">
        <f t="shared" si="152"/>
        <v/>
      </c>
    </row>
    <row r="1057" spans="1:11" x14ac:dyDescent="0.3">
      <c r="A1057" s="1">
        <v>20</v>
      </c>
      <c r="B1057" s="1">
        <v>19</v>
      </c>
      <c r="C1057" s="12">
        <f t="shared" si="144"/>
        <v>-0.375</v>
      </c>
      <c r="D1057" s="12">
        <f t="shared" si="145"/>
        <v>-0.44999999999999996</v>
      </c>
      <c r="E1057" s="12">
        <f t="shared" si="146"/>
        <v>11.084599665777777</v>
      </c>
      <c r="F1057" s="12">
        <f t="shared" si="147"/>
        <v>11.084599665777777</v>
      </c>
      <c r="G1057" s="12">
        <f t="shared" si="148"/>
        <v>14.521348977777777</v>
      </c>
      <c r="H1057" s="12">
        <f t="shared" si="149"/>
        <v>14.521348977777777</v>
      </c>
      <c r="I1057" s="1" t="str">
        <f t="shared" si="150"/>
        <v>No</v>
      </c>
      <c r="J1057" s="1" t="str">
        <f t="shared" si="151"/>
        <v>Si</v>
      </c>
      <c r="K1057" s="1" t="str">
        <f t="shared" si="152"/>
        <v/>
      </c>
    </row>
    <row r="1058" spans="1:11" x14ac:dyDescent="0.3">
      <c r="A1058" s="1">
        <v>20</v>
      </c>
      <c r="B1058" s="1">
        <v>20</v>
      </c>
      <c r="C1058" s="12">
        <f t="shared" si="144"/>
        <v>-0.375</v>
      </c>
      <c r="D1058" s="12">
        <f t="shared" si="145"/>
        <v>-0.375</v>
      </c>
      <c r="E1058" s="12">
        <f t="shared" si="146"/>
        <v>11.082111573333332</v>
      </c>
      <c r="F1058" s="12">
        <f t="shared" si="147"/>
        <v>11.082111573333332</v>
      </c>
      <c r="G1058" s="12">
        <f t="shared" si="148"/>
        <v>14.517844622222222</v>
      </c>
      <c r="H1058" s="12">
        <f t="shared" si="149"/>
        <v>14.517844622222222</v>
      </c>
      <c r="I1058" s="1" t="str">
        <f t="shared" si="150"/>
        <v>No</v>
      </c>
      <c r="J1058" s="1" t="str">
        <f t="shared" si="151"/>
        <v>Si</v>
      </c>
      <c r="K1058" s="1" t="str">
        <f t="shared" si="152"/>
        <v/>
      </c>
    </row>
    <row r="1059" spans="1:11" x14ac:dyDescent="0.3">
      <c r="A1059" s="1">
        <v>20</v>
      </c>
      <c r="B1059" s="1">
        <v>21</v>
      </c>
      <c r="C1059" s="12">
        <f t="shared" si="144"/>
        <v>-0.375</v>
      </c>
      <c r="D1059" s="12">
        <f t="shared" si="145"/>
        <v>-0.30000000000000004</v>
      </c>
      <c r="E1059" s="12">
        <f t="shared" si="146"/>
        <v>11.079623480888888</v>
      </c>
      <c r="F1059" s="12">
        <f t="shared" si="147"/>
        <v>11.079623480888888</v>
      </c>
      <c r="G1059" s="12">
        <f t="shared" si="148"/>
        <v>14.514340266666666</v>
      </c>
      <c r="H1059" s="12">
        <f t="shared" si="149"/>
        <v>14.514340266666666</v>
      </c>
      <c r="I1059" s="1" t="str">
        <f t="shared" si="150"/>
        <v>No</v>
      </c>
      <c r="J1059" s="1" t="str">
        <f t="shared" si="151"/>
        <v>Si</v>
      </c>
      <c r="K1059" s="1" t="str">
        <f t="shared" si="152"/>
        <v/>
      </c>
    </row>
    <row r="1060" spans="1:11" x14ac:dyDescent="0.3">
      <c r="A1060" s="1">
        <v>20</v>
      </c>
      <c r="B1060" s="1">
        <v>22</v>
      </c>
      <c r="C1060" s="12">
        <f t="shared" si="144"/>
        <v>-0.375</v>
      </c>
      <c r="D1060" s="12">
        <f t="shared" si="145"/>
        <v>-0.22500000000000009</v>
      </c>
      <c r="E1060" s="12">
        <f t="shared" si="146"/>
        <v>11.077135388444443</v>
      </c>
      <c r="F1060" s="12">
        <f t="shared" si="147"/>
        <v>11.077135388444443</v>
      </c>
      <c r="G1060" s="12">
        <f t="shared" si="148"/>
        <v>14.51083591111111</v>
      </c>
      <c r="H1060" s="12">
        <f t="shared" si="149"/>
        <v>14.51083591111111</v>
      </c>
      <c r="I1060" s="1" t="str">
        <f t="shared" si="150"/>
        <v>No</v>
      </c>
      <c r="J1060" s="1" t="str">
        <f t="shared" si="151"/>
        <v>Si</v>
      </c>
      <c r="K1060" s="1" t="str">
        <f t="shared" si="152"/>
        <v/>
      </c>
    </row>
    <row r="1061" spans="1:11" x14ac:dyDescent="0.3">
      <c r="A1061" s="1">
        <v>20</v>
      </c>
      <c r="B1061" s="1">
        <v>23</v>
      </c>
      <c r="C1061" s="12">
        <f t="shared" si="144"/>
        <v>-0.375</v>
      </c>
      <c r="D1061" s="12">
        <f t="shared" si="145"/>
        <v>-0.14999999999999991</v>
      </c>
      <c r="E1061" s="12">
        <f t="shared" si="146"/>
        <v>11.074647295999998</v>
      </c>
      <c r="F1061" s="12">
        <f t="shared" si="147"/>
        <v>11.074647295999998</v>
      </c>
      <c r="G1061" s="12">
        <f t="shared" si="148"/>
        <v>14.507331555555554</v>
      </c>
      <c r="H1061" s="12">
        <f t="shared" si="149"/>
        <v>14.507331555555554</v>
      </c>
      <c r="I1061" s="1" t="str">
        <f t="shared" si="150"/>
        <v>No</v>
      </c>
      <c r="J1061" s="1" t="str">
        <f t="shared" si="151"/>
        <v>Si</v>
      </c>
      <c r="K1061" s="1" t="str">
        <f t="shared" si="152"/>
        <v/>
      </c>
    </row>
    <row r="1062" spans="1:11" x14ac:dyDescent="0.3">
      <c r="A1062" s="1">
        <v>20</v>
      </c>
      <c r="B1062" s="1">
        <v>24</v>
      </c>
      <c r="C1062" s="12">
        <f t="shared" si="144"/>
        <v>-0.375</v>
      </c>
      <c r="D1062" s="12">
        <f t="shared" si="145"/>
        <v>-7.4999999999999956E-2</v>
      </c>
      <c r="E1062" s="12">
        <f t="shared" si="146"/>
        <v>11.072159203555554</v>
      </c>
      <c r="F1062" s="12">
        <f t="shared" si="147"/>
        <v>11.072159203555554</v>
      </c>
      <c r="G1062" s="12">
        <f t="shared" si="148"/>
        <v>14.5038272</v>
      </c>
      <c r="H1062" s="12">
        <f t="shared" si="149"/>
        <v>14.5038272</v>
      </c>
      <c r="I1062" s="1" t="str">
        <f t="shared" si="150"/>
        <v>No</v>
      </c>
      <c r="J1062" s="1" t="str">
        <f t="shared" si="151"/>
        <v>Si</v>
      </c>
      <c r="K1062" s="1" t="str">
        <f t="shared" si="152"/>
        <v/>
      </c>
    </row>
    <row r="1063" spans="1:11" x14ac:dyDescent="0.3">
      <c r="A1063" s="1">
        <v>20</v>
      </c>
      <c r="B1063" s="1">
        <v>25</v>
      </c>
      <c r="C1063" s="12">
        <f t="shared" si="144"/>
        <v>-0.375</v>
      </c>
      <c r="D1063" s="12">
        <f t="shared" si="145"/>
        <v>0</v>
      </c>
      <c r="E1063" s="12">
        <f t="shared" si="146"/>
        <v>11.069671111111109</v>
      </c>
      <c r="F1063" s="12">
        <f t="shared" si="147"/>
        <v>11.069671111111109</v>
      </c>
      <c r="G1063" s="12">
        <f t="shared" si="148"/>
        <v>14.500322844444444</v>
      </c>
      <c r="H1063" s="12">
        <f t="shared" si="149"/>
        <v>14.500322844444444</v>
      </c>
      <c r="I1063" s="1" t="str">
        <f t="shared" si="150"/>
        <v>No</v>
      </c>
      <c r="J1063" s="1" t="str">
        <f t="shared" si="151"/>
        <v>Si</v>
      </c>
      <c r="K1063" s="1" t="str">
        <f t="shared" si="152"/>
        <v/>
      </c>
    </row>
    <row r="1064" spans="1:11" x14ac:dyDescent="0.3">
      <c r="A1064" s="1">
        <v>20</v>
      </c>
      <c r="B1064" s="1">
        <v>26</v>
      </c>
      <c r="C1064" s="12">
        <f t="shared" si="144"/>
        <v>-0.375</v>
      </c>
      <c r="D1064" s="12">
        <f t="shared" si="145"/>
        <v>7.4999999999999956E-2</v>
      </c>
      <c r="E1064" s="12">
        <f t="shared" si="146"/>
        <v>11.067183018666665</v>
      </c>
      <c r="F1064" s="12">
        <f t="shared" si="147"/>
        <v>11.067183018666665</v>
      </c>
      <c r="G1064" s="12">
        <f t="shared" si="148"/>
        <v>14.496818488888888</v>
      </c>
      <c r="H1064" s="12">
        <f t="shared" si="149"/>
        <v>14.496818488888888</v>
      </c>
      <c r="I1064" s="1" t="str">
        <f t="shared" si="150"/>
        <v>No</v>
      </c>
      <c r="J1064" s="1" t="str">
        <f t="shared" si="151"/>
        <v>Si</v>
      </c>
      <c r="K1064" s="1" t="str">
        <f t="shared" si="152"/>
        <v/>
      </c>
    </row>
    <row r="1065" spans="1:11" x14ac:dyDescent="0.3">
      <c r="A1065" s="1">
        <v>20</v>
      </c>
      <c r="B1065" s="1">
        <v>27</v>
      </c>
      <c r="C1065" s="12">
        <f t="shared" si="144"/>
        <v>-0.375</v>
      </c>
      <c r="D1065" s="12">
        <f t="shared" si="145"/>
        <v>0.14999999999999991</v>
      </c>
      <c r="E1065" s="12">
        <f t="shared" si="146"/>
        <v>11.06469492622222</v>
      </c>
      <c r="F1065" s="12">
        <f t="shared" si="147"/>
        <v>11.06469492622222</v>
      </c>
      <c r="G1065" s="12">
        <f t="shared" si="148"/>
        <v>14.493314133333334</v>
      </c>
      <c r="H1065" s="12">
        <f t="shared" si="149"/>
        <v>14.493314133333334</v>
      </c>
      <c r="I1065" s="1" t="str">
        <f t="shared" si="150"/>
        <v>No</v>
      </c>
      <c r="J1065" s="1" t="str">
        <f t="shared" si="151"/>
        <v>Si</v>
      </c>
      <c r="K1065" s="1" t="str">
        <f t="shared" si="152"/>
        <v/>
      </c>
    </row>
    <row r="1066" spans="1:11" x14ac:dyDescent="0.3">
      <c r="A1066" s="1">
        <v>20</v>
      </c>
      <c r="B1066" s="1">
        <v>28</v>
      </c>
      <c r="C1066" s="12">
        <f t="shared" si="144"/>
        <v>-0.375</v>
      </c>
      <c r="D1066" s="12">
        <f t="shared" si="145"/>
        <v>0.22500000000000009</v>
      </c>
      <c r="E1066" s="12">
        <f t="shared" si="146"/>
        <v>11.062206833777775</v>
      </c>
      <c r="F1066" s="12">
        <f t="shared" si="147"/>
        <v>11.062206833777775</v>
      </c>
      <c r="G1066" s="12">
        <f t="shared" si="148"/>
        <v>14.489809777777777</v>
      </c>
      <c r="H1066" s="12">
        <f t="shared" si="149"/>
        <v>14.489809777777777</v>
      </c>
      <c r="I1066" s="1" t="str">
        <f t="shared" si="150"/>
        <v>No</v>
      </c>
      <c r="J1066" s="1" t="str">
        <f t="shared" si="151"/>
        <v>Si</v>
      </c>
      <c r="K1066" s="1" t="str">
        <f t="shared" si="152"/>
        <v/>
      </c>
    </row>
    <row r="1067" spans="1:11" x14ac:dyDescent="0.3">
      <c r="A1067" s="1">
        <v>20</v>
      </c>
      <c r="B1067" s="1">
        <v>29</v>
      </c>
      <c r="C1067" s="12">
        <f t="shared" si="144"/>
        <v>-0.375</v>
      </c>
      <c r="D1067" s="12">
        <f t="shared" si="145"/>
        <v>0.29999999999999982</v>
      </c>
      <c r="E1067" s="12">
        <f t="shared" si="146"/>
        <v>11.059718741333331</v>
      </c>
      <c r="F1067" s="12">
        <f t="shared" si="147"/>
        <v>11.059718741333331</v>
      </c>
      <c r="G1067" s="12">
        <f t="shared" si="148"/>
        <v>14.486305422222221</v>
      </c>
      <c r="H1067" s="12">
        <f t="shared" si="149"/>
        <v>14.486305422222221</v>
      </c>
      <c r="I1067" s="1" t="str">
        <f t="shared" si="150"/>
        <v>No</v>
      </c>
      <c r="J1067" s="1" t="str">
        <f t="shared" si="151"/>
        <v>Si</v>
      </c>
      <c r="K1067" s="1" t="str">
        <f t="shared" si="152"/>
        <v/>
      </c>
    </row>
    <row r="1068" spans="1:11" x14ac:dyDescent="0.3">
      <c r="A1068" s="1">
        <v>20</v>
      </c>
      <c r="B1068" s="1">
        <v>30</v>
      </c>
      <c r="C1068" s="12">
        <f t="shared" si="144"/>
        <v>-0.375</v>
      </c>
      <c r="D1068" s="12">
        <f t="shared" si="145"/>
        <v>0.375</v>
      </c>
      <c r="E1068" s="12">
        <f t="shared" si="146"/>
        <v>11.057230648888886</v>
      </c>
      <c r="F1068" s="12">
        <f t="shared" si="147"/>
        <v>11.057230648888886</v>
      </c>
      <c r="G1068" s="12">
        <f t="shared" si="148"/>
        <v>14.482801066666665</v>
      </c>
      <c r="H1068" s="12">
        <f t="shared" si="149"/>
        <v>14.482801066666665</v>
      </c>
      <c r="I1068" s="1" t="str">
        <f t="shared" si="150"/>
        <v>No</v>
      </c>
      <c r="J1068" s="1" t="str">
        <f t="shared" si="151"/>
        <v>Si</v>
      </c>
      <c r="K1068" s="1" t="str">
        <f t="shared" si="152"/>
        <v/>
      </c>
    </row>
    <row r="1069" spans="1:11" x14ac:dyDescent="0.3">
      <c r="A1069" s="1">
        <v>20</v>
      </c>
      <c r="B1069" s="1">
        <v>31</v>
      </c>
      <c r="C1069" s="12">
        <f t="shared" si="144"/>
        <v>-0.375</v>
      </c>
      <c r="D1069" s="12">
        <f t="shared" si="145"/>
        <v>0.45000000000000018</v>
      </c>
      <c r="E1069" s="12">
        <f t="shared" si="146"/>
        <v>11.054742556444442</v>
      </c>
      <c r="F1069" s="12">
        <f t="shared" si="147"/>
        <v>11.054742556444442</v>
      </c>
      <c r="G1069" s="12">
        <f t="shared" si="148"/>
        <v>14.479296711111111</v>
      </c>
      <c r="H1069" s="12">
        <f t="shared" si="149"/>
        <v>14.479296711111111</v>
      </c>
      <c r="I1069" s="1" t="str">
        <f t="shared" si="150"/>
        <v>No</v>
      </c>
      <c r="J1069" s="1" t="str">
        <f t="shared" si="151"/>
        <v>Si</v>
      </c>
      <c r="K1069" s="1" t="str">
        <f t="shared" si="152"/>
        <v/>
      </c>
    </row>
    <row r="1070" spans="1:11" x14ac:dyDescent="0.3">
      <c r="A1070" s="1">
        <v>20</v>
      </c>
      <c r="B1070" s="1">
        <v>32</v>
      </c>
      <c r="C1070" s="12">
        <f t="shared" si="144"/>
        <v>-0.375</v>
      </c>
      <c r="D1070" s="12">
        <f t="shared" si="145"/>
        <v>0.52499999999999991</v>
      </c>
      <c r="E1070" s="12">
        <f t="shared" si="146"/>
        <v>11.052254463999999</v>
      </c>
      <c r="F1070" s="12">
        <f t="shared" si="147"/>
        <v>11.052254463999999</v>
      </c>
      <c r="G1070" s="12">
        <f t="shared" si="148"/>
        <v>14.475792355555555</v>
      </c>
      <c r="H1070" s="12">
        <f t="shared" si="149"/>
        <v>14.475792355555555</v>
      </c>
      <c r="I1070" s="1" t="str">
        <f t="shared" si="150"/>
        <v>No</v>
      </c>
      <c r="J1070" s="1" t="str">
        <f t="shared" si="151"/>
        <v>Si</v>
      </c>
      <c r="K1070" s="1" t="str">
        <f t="shared" si="152"/>
        <v/>
      </c>
    </row>
    <row r="1071" spans="1:11" x14ac:dyDescent="0.3">
      <c r="A1071" s="1">
        <v>20</v>
      </c>
      <c r="B1071" s="1">
        <v>33</v>
      </c>
      <c r="C1071" s="12">
        <f t="shared" si="144"/>
        <v>-0.375</v>
      </c>
      <c r="D1071" s="12">
        <f t="shared" si="145"/>
        <v>0.60000000000000009</v>
      </c>
      <c r="E1071" s="12">
        <f t="shared" si="146"/>
        <v>11.049766371555554</v>
      </c>
      <c r="F1071" s="12">
        <f t="shared" si="147"/>
        <v>11.049766371555554</v>
      </c>
      <c r="G1071" s="12">
        <f t="shared" si="148"/>
        <v>14.472287999999999</v>
      </c>
      <c r="H1071" s="12">
        <f t="shared" si="149"/>
        <v>14.472287999999999</v>
      </c>
      <c r="I1071" s="1" t="str">
        <f t="shared" si="150"/>
        <v>No</v>
      </c>
      <c r="J1071" s="1" t="str">
        <f t="shared" si="151"/>
        <v>Si</v>
      </c>
      <c r="K1071" s="1" t="str">
        <f t="shared" si="152"/>
        <v/>
      </c>
    </row>
    <row r="1072" spans="1:11" x14ac:dyDescent="0.3">
      <c r="A1072" s="1">
        <v>20</v>
      </c>
      <c r="B1072" s="1">
        <v>34</v>
      </c>
      <c r="C1072" s="12">
        <f t="shared" si="144"/>
        <v>-0.375</v>
      </c>
      <c r="D1072" s="12">
        <f t="shared" si="145"/>
        <v>0.67499999999999982</v>
      </c>
      <c r="E1072" s="12">
        <f t="shared" si="146"/>
        <v>11.04727827911111</v>
      </c>
      <c r="F1072" s="12">
        <f t="shared" si="147"/>
        <v>11.04727827911111</v>
      </c>
      <c r="G1072" s="12">
        <f t="shared" si="148"/>
        <v>14.468783644444445</v>
      </c>
      <c r="H1072" s="12">
        <f t="shared" si="149"/>
        <v>14.468783644444445</v>
      </c>
      <c r="I1072" s="1" t="str">
        <f t="shared" si="150"/>
        <v>No</v>
      </c>
      <c r="J1072" s="1" t="str">
        <f t="shared" si="151"/>
        <v>Si</v>
      </c>
      <c r="K1072" s="1" t="str">
        <f t="shared" si="152"/>
        <v/>
      </c>
    </row>
    <row r="1073" spans="1:11" x14ac:dyDescent="0.3">
      <c r="A1073" s="1">
        <v>20</v>
      </c>
      <c r="B1073" s="1">
        <v>35</v>
      </c>
      <c r="C1073" s="12">
        <f t="shared" si="144"/>
        <v>-0.375</v>
      </c>
      <c r="D1073" s="12">
        <f t="shared" si="145"/>
        <v>0.75</v>
      </c>
      <c r="E1073" s="12">
        <f t="shared" si="146"/>
        <v>11.044790186666665</v>
      </c>
      <c r="F1073" s="12">
        <f t="shared" si="147"/>
        <v>11.044790186666665</v>
      </c>
      <c r="G1073" s="12">
        <f t="shared" si="148"/>
        <v>14.465279288888889</v>
      </c>
      <c r="H1073" s="12">
        <f t="shared" si="149"/>
        <v>14.465279288888889</v>
      </c>
      <c r="I1073" s="1" t="str">
        <f t="shared" si="150"/>
        <v>No</v>
      </c>
      <c r="J1073" s="1" t="str">
        <f t="shared" si="151"/>
        <v>Si</v>
      </c>
      <c r="K1073" s="1" t="str">
        <f t="shared" si="152"/>
        <v/>
      </c>
    </row>
    <row r="1074" spans="1:11" x14ac:dyDescent="0.3">
      <c r="A1074" s="1">
        <v>20</v>
      </c>
      <c r="B1074" s="1">
        <v>36</v>
      </c>
      <c r="C1074" s="12">
        <f t="shared" si="144"/>
        <v>-0.375</v>
      </c>
      <c r="D1074" s="12">
        <f t="shared" si="145"/>
        <v>0.82500000000000018</v>
      </c>
      <c r="E1074" s="12">
        <f t="shared" si="146"/>
        <v>11.042302094222221</v>
      </c>
      <c r="F1074" s="12">
        <f t="shared" si="147"/>
        <v>11.042302094222221</v>
      </c>
      <c r="G1074" s="12">
        <f t="shared" si="148"/>
        <v>14.461774933333333</v>
      </c>
      <c r="H1074" s="12">
        <f t="shared" si="149"/>
        <v>14.461774933333333</v>
      </c>
      <c r="I1074" s="1" t="str">
        <f t="shared" si="150"/>
        <v>No</v>
      </c>
      <c r="J1074" s="1" t="str">
        <f t="shared" si="151"/>
        <v>Si</v>
      </c>
      <c r="K1074" s="1" t="str">
        <f t="shared" si="152"/>
        <v/>
      </c>
    </row>
    <row r="1075" spans="1:11" x14ac:dyDescent="0.3">
      <c r="A1075" s="1">
        <v>20</v>
      </c>
      <c r="B1075" s="1">
        <v>37</v>
      </c>
      <c r="C1075" s="12">
        <f t="shared" si="144"/>
        <v>-0.375</v>
      </c>
      <c r="D1075" s="12">
        <f t="shared" si="145"/>
        <v>0.89999999999999991</v>
      </c>
      <c r="E1075" s="12">
        <f t="shared" si="146"/>
        <v>11.039814001777776</v>
      </c>
      <c r="F1075" s="12">
        <f t="shared" si="147"/>
        <v>11.039814001777776</v>
      </c>
      <c r="G1075" s="12">
        <f t="shared" si="148"/>
        <v>14.458270577777776</v>
      </c>
      <c r="H1075" s="12">
        <f t="shared" si="149"/>
        <v>14.458270577777776</v>
      </c>
      <c r="I1075" s="1" t="str">
        <f t="shared" si="150"/>
        <v>No</v>
      </c>
      <c r="J1075" s="1" t="str">
        <f t="shared" si="151"/>
        <v>Si</v>
      </c>
      <c r="K1075" s="1" t="str">
        <f t="shared" si="152"/>
        <v/>
      </c>
    </row>
    <row r="1076" spans="1:11" x14ac:dyDescent="0.3">
      <c r="A1076" s="1">
        <v>20</v>
      </c>
      <c r="B1076" s="1">
        <v>38</v>
      </c>
      <c r="C1076" s="12">
        <f t="shared" si="144"/>
        <v>-0.375</v>
      </c>
      <c r="D1076" s="12">
        <f t="shared" si="145"/>
        <v>0.97500000000000009</v>
      </c>
      <c r="E1076" s="12">
        <f t="shared" si="146"/>
        <v>11.037325909333331</v>
      </c>
      <c r="F1076" s="12">
        <f t="shared" si="147"/>
        <v>11.037325909333331</v>
      </c>
      <c r="G1076" s="12">
        <f t="shared" si="148"/>
        <v>14.454766222222222</v>
      </c>
      <c r="H1076" s="12">
        <f t="shared" si="149"/>
        <v>14.454766222222222</v>
      </c>
      <c r="I1076" s="1" t="str">
        <f t="shared" si="150"/>
        <v>No</v>
      </c>
      <c r="J1076" s="1" t="str">
        <f t="shared" si="151"/>
        <v>Si</v>
      </c>
      <c r="K1076" s="1" t="str">
        <f t="shared" si="152"/>
        <v/>
      </c>
    </row>
    <row r="1077" spans="1:11" x14ac:dyDescent="0.3">
      <c r="A1077" s="1">
        <v>20</v>
      </c>
      <c r="B1077" s="1">
        <v>39</v>
      </c>
      <c r="C1077" s="12">
        <f t="shared" si="144"/>
        <v>-0.375</v>
      </c>
      <c r="D1077" s="12">
        <f t="shared" si="145"/>
        <v>1.0499999999999998</v>
      </c>
      <c r="E1077" s="12">
        <f t="shared" si="146"/>
        <v>11.034837816888887</v>
      </c>
      <c r="F1077" s="12">
        <f t="shared" si="147"/>
        <v>11.034837816888887</v>
      </c>
      <c r="G1077" s="12">
        <f t="shared" si="148"/>
        <v>14.451261866666666</v>
      </c>
      <c r="H1077" s="12">
        <f t="shared" si="149"/>
        <v>14.451261866666666</v>
      </c>
      <c r="I1077" s="1" t="str">
        <f t="shared" si="150"/>
        <v>No</v>
      </c>
      <c r="J1077" s="1" t="str">
        <f t="shared" si="151"/>
        <v>Si</v>
      </c>
      <c r="K1077" s="1" t="str">
        <f t="shared" si="152"/>
        <v/>
      </c>
    </row>
    <row r="1078" spans="1:11" x14ac:dyDescent="0.3">
      <c r="A1078" s="1">
        <v>20</v>
      </c>
      <c r="B1078" s="1">
        <v>40</v>
      </c>
      <c r="C1078" s="12">
        <f t="shared" si="144"/>
        <v>-0.375</v>
      </c>
      <c r="D1078" s="12">
        <f t="shared" si="145"/>
        <v>1.125</v>
      </c>
      <c r="E1078" s="12">
        <f t="shared" si="146"/>
        <v>11.032349724444442</v>
      </c>
      <c r="F1078" s="12">
        <f t="shared" si="147"/>
        <v>11.032349724444442</v>
      </c>
      <c r="G1078" s="12">
        <f t="shared" si="148"/>
        <v>14.44775751111111</v>
      </c>
      <c r="H1078" s="12">
        <f t="shared" si="149"/>
        <v>14.44775751111111</v>
      </c>
      <c r="I1078" s="1" t="str">
        <f t="shared" si="150"/>
        <v>No</v>
      </c>
      <c r="J1078" s="1" t="str">
        <f t="shared" si="151"/>
        <v>Si</v>
      </c>
      <c r="K1078" s="1" t="str">
        <f t="shared" si="152"/>
        <v/>
      </c>
    </row>
    <row r="1079" spans="1:11" x14ac:dyDescent="0.3">
      <c r="A1079" s="1">
        <v>20</v>
      </c>
      <c r="B1079" s="1">
        <v>41</v>
      </c>
      <c r="C1079" s="12">
        <f t="shared" si="144"/>
        <v>-0.375</v>
      </c>
      <c r="D1079" s="12">
        <f t="shared" si="145"/>
        <v>1.2000000000000002</v>
      </c>
      <c r="E1079" s="12">
        <f t="shared" si="146"/>
        <v>11.029861631999998</v>
      </c>
      <c r="F1079" s="12">
        <f t="shared" si="147"/>
        <v>11.029861631999998</v>
      </c>
      <c r="G1079" s="12">
        <f t="shared" si="148"/>
        <v>14.444253155555556</v>
      </c>
      <c r="H1079" s="12">
        <f t="shared" si="149"/>
        <v>14.444253155555556</v>
      </c>
      <c r="I1079" s="1" t="str">
        <f t="shared" si="150"/>
        <v>No</v>
      </c>
      <c r="J1079" s="1" t="str">
        <f t="shared" si="151"/>
        <v>Si</v>
      </c>
      <c r="K1079" s="1" t="str">
        <f t="shared" si="152"/>
        <v/>
      </c>
    </row>
    <row r="1080" spans="1:11" x14ac:dyDescent="0.3">
      <c r="A1080" s="1">
        <v>20</v>
      </c>
      <c r="B1080" s="1">
        <v>42</v>
      </c>
      <c r="C1080" s="12">
        <f t="shared" si="144"/>
        <v>-0.375</v>
      </c>
      <c r="D1080" s="12">
        <f t="shared" si="145"/>
        <v>1.2749999999999999</v>
      </c>
      <c r="E1080" s="12">
        <f t="shared" si="146"/>
        <v>11.027373539555553</v>
      </c>
      <c r="F1080" s="12">
        <f t="shared" si="147"/>
        <v>11.027373539555553</v>
      </c>
      <c r="G1080" s="12">
        <f t="shared" si="148"/>
        <v>14.4407488</v>
      </c>
      <c r="H1080" s="12">
        <f t="shared" si="149"/>
        <v>14.4407488</v>
      </c>
      <c r="I1080" s="1" t="str">
        <f t="shared" si="150"/>
        <v>No</v>
      </c>
      <c r="J1080" s="1" t="str">
        <f t="shared" si="151"/>
        <v>Si</v>
      </c>
      <c r="K1080" s="1" t="str">
        <f t="shared" si="152"/>
        <v/>
      </c>
    </row>
    <row r="1081" spans="1:11" x14ac:dyDescent="0.3">
      <c r="A1081" s="1">
        <v>20</v>
      </c>
      <c r="B1081" s="1">
        <v>43</v>
      </c>
      <c r="C1081" s="12">
        <f t="shared" si="144"/>
        <v>-0.375</v>
      </c>
      <c r="D1081" s="12">
        <f t="shared" si="145"/>
        <v>1.35</v>
      </c>
      <c r="E1081" s="12">
        <f t="shared" si="146"/>
        <v>11.024885447111108</v>
      </c>
      <c r="F1081" s="12">
        <f t="shared" si="147"/>
        <v>11.024885447111108</v>
      </c>
      <c r="G1081" s="12">
        <f t="shared" si="148"/>
        <v>14.437244444444444</v>
      </c>
      <c r="H1081" s="12">
        <f t="shared" si="149"/>
        <v>14.437244444444444</v>
      </c>
      <c r="I1081" s="1" t="str">
        <f t="shared" si="150"/>
        <v>No</v>
      </c>
      <c r="J1081" s="1" t="str">
        <f t="shared" si="151"/>
        <v>Si</v>
      </c>
      <c r="K1081" s="1" t="str">
        <f t="shared" si="152"/>
        <v/>
      </c>
    </row>
    <row r="1082" spans="1:11" x14ac:dyDescent="0.3">
      <c r="A1082" s="1">
        <v>20</v>
      </c>
      <c r="B1082" s="1">
        <v>44</v>
      </c>
      <c r="C1082" s="12">
        <f t="shared" si="144"/>
        <v>-0.375</v>
      </c>
      <c r="D1082" s="12">
        <f t="shared" si="145"/>
        <v>1.4249999999999998</v>
      </c>
      <c r="E1082" s="12">
        <f t="shared" si="146"/>
        <v>11.022397354666666</v>
      </c>
      <c r="F1082" s="12">
        <f t="shared" si="147"/>
        <v>11.022397354666666</v>
      </c>
      <c r="G1082" s="12">
        <f t="shared" si="148"/>
        <v>14.433740088888888</v>
      </c>
      <c r="H1082" s="12">
        <f t="shared" si="149"/>
        <v>14.433740088888888</v>
      </c>
      <c r="I1082" s="1" t="str">
        <f t="shared" si="150"/>
        <v>No</v>
      </c>
      <c r="J1082" s="1" t="str">
        <f t="shared" si="151"/>
        <v>Si</v>
      </c>
      <c r="K1082" s="1" t="str">
        <f t="shared" si="152"/>
        <v/>
      </c>
    </row>
    <row r="1083" spans="1:11" x14ac:dyDescent="0.3">
      <c r="A1083" s="1">
        <v>20</v>
      </c>
      <c r="B1083" s="1">
        <v>45</v>
      </c>
      <c r="C1083" s="12">
        <f t="shared" si="144"/>
        <v>-0.375</v>
      </c>
      <c r="D1083" s="12">
        <f t="shared" si="145"/>
        <v>1.5</v>
      </c>
      <c r="E1083" s="12">
        <f t="shared" si="146"/>
        <v>11.019909262222221</v>
      </c>
      <c r="F1083" s="12">
        <f t="shared" si="147"/>
        <v>11.019909262222221</v>
      </c>
      <c r="G1083" s="12">
        <f t="shared" si="148"/>
        <v>14.430235733333333</v>
      </c>
      <c r="H1083" s="12">
        <f t="shared" si="149"/>
        <v>14.430235733333333</v>
      </c>
      <c r="I1083" s="1" t="str">
        <f t="shared" si="150"/>
        <v>No</v>
      </c>
      <c r="J1083" s="1" t="str">
        <f t="shared" si="151"/>
        <v>Si</v>
      </c>
      <c r="K1083" s="1" t="str">
        <f t="shared" si="152"/>
        <v/>
      </c>
    </row>
    <row r="1084" spans="1:11" x14ac:dyDescent="0.3">
      <c r="A1084" s="1">
        <v>20</v>
      </c>
      <c r="B1084" s="1">
        <v>46</v>
      </c>
      <c r="C1084" s="12">
        <f t="shared" si="144"/>
        <v>-0.375</v>
      </c>
      <c r="D1084" s="12">
        <f t="shared" si="145"/>
        <v>1.5750000000000002</v>
      </c>
      <c r="E1084" s="12">
        <f t="shared" si="146"/>
        <v>11.017421169777776</v>
      </c>
      <c r="F1084" s="12">
        <f t="shared" si="147"/>
        <v>11.017421169777776</v>
      </c>
      <c r="G1084" s="12">
        <f t="shared" si="148"/>
        <v>14.426731377777777</v>
      </c>
      <c r="H1084" s="12">
        <f t="shared" si="149"/>
        <v>14.426731377777777</v>
      </c>
      <c r="I1084" s="1" t="str">
        <f t="shared" si="150"/>
        <v>No</v>
      </c>
      <c r="J1084" s="1" t="str">
        <f t="shared" si="151"/>
        <v>Si</v>
      </c>
      <c r="K1084" s="1" t="str">
        <f t="shared" si="152"/>
        <v/>
      </c>
    </row>
    <row r="1085" spans="1:11" x14ac:dyDescent="0.3">
      <c r="A1085" s="1">
        <v>20</v>
      </c>
      <c r="B1085" s="1">
        <v>47</v>
      </c>
      <c r="C1085" s="12">
        <f t="shared" si="144"/>
        <v>-0.375</v>
      </c>
      <c r="D1085" s="12">
        <f t="shared" si="145"/>
        <v>1.65</v>
      </c>
      <c r="E1085" s="12">
        <f t="shared" si="146"/>
        <v>11.014933077333332</v>
      </c>
      <c r="F1085" s="12">
        <f t="shared" si="147"/>
        <v>11.014933077333332</v>
      </c>
      <c r="G1085" s="12">
        <f t="shared" si="148"/>
        <v>14.423227022222221</v>
      </c>
      <c r="H1085" s="12">
        <f t="shared" si="149"/>
        <v>14.423227022222221</v>
      </c>
      <c r="I1085" s="1" t="str">
        <f t="shared" si="150"/>
        <v>No</v>
      </c>
      <c r="J1085" s="1" t="str">
        <f t="shared" si="151"/>
        <v>Si</v>
      </c>
      <c r="K1085" s="1" t="str">
        <f t="shared" si="152"/>
        <v/>
      </c>
    </row>
    <row r="1086" spans="1:11" x14ac:dyDescent="0.3">
      <c r="A1086" s="1">
        <v>20</v>
      </c>
      <c r="B1086" s="1">
        <v>48</v>
      </c>
      <c r="C1086" s="12">
        <f t="shared" si="144"/>
        <v>-0.375</v>
      </c>
      <c r="D1086" s="12">
        <f t="shared" si="145"/>
        <v>1.7250000000000001</v>
      </c>
      <c r="E1086" s="12">
        <f t="shared" si="146"/>
        <v>11.012444984888887</v>
      </c>
      <c r="F1086" s="12">
        <f t="shared" si="147"/>
        <v>11.012444984888887</v>
      </c>
      <c r="G1086" s="12">
        <f t="shared" si="148"/>
        <v>14.419722666666667</v>
      </c>
      <c r="H1086" s="12">
        <f t="shared" si="149"/>
        <v>14.419722666666667</v>
      </c>
      <c r="I1086" s="1" t="str">
        <f t="shared" si="150"/>
        <v>No</v>
      </c>
      <c r="J1086" s="1" t="str">
        <f t="shared" si="151"/>
        <v>Si</v>
      </c>
      <c r="K1086" s="1" t="str">
        <f t="shared" si="152"/>
        <v/>
      </c>
    </row>
    <row r="1087" spans="1:11" x14ac:dyDescent="0.3">
      <c r="A1087" s="1">
        <v>20</v>
      </c>
      <c r="B1087" s="1">
        <v>49</v>
      </c>
      <c r="C1087" s="12">
        <f t="shared" si="144"/>
        <v>-0.375</v>
      </c>
      <c r="D1087" s="12">
        <f t="shared" si="145"/>
        <v>1.7999999999999998</v>
      </c>
      <c r="E1087" s="12">
        <f t="shared" si="146"/>
        <v>11.009956892444443</v>
      </c>
      <c r="F1087" s="12">
        <f t="shared" si="147"/>
        <v>11.009956892444443</v>
      </c>
      <c r="G1087" s="12">
        <f t="shared" si="148"/>
        <v>14.416218311111111</v>
      </c>
      <c r="H1087" s="12">
        <f t="shared" si="149"/>
        <v>14.416218311111111</v>
      </c>
      <c r="I1087" s="1" t="str">
        <f t="shared" si="150"/>
        <v>No</v>
      </c>
      <c r="J1087" s="1" t="str">
        <f t="shared" si="151"/>
        <v>Si</v>
      </c>
      <c r="K1087" s="1" t="str">
        <f t="shared" si="152"/>
        <v/>
      </c>
    </row>
    <row r="1088" spans="1:11" x14ac:dyDescent="0.3">
      <c r="A1088" s="1">
        <v>20</v>
      </c>
      <c r="B1088" s="1">
        <v>50</v>
      </c>
      <c r="C1088" s="12">
        <f t="shared" si="144"/>
        <v>-0.375</v>
      </c>
      <c r="D1088" s="12">
        <f t="shared" si="145"/>
        <v>1.875</v>
      </c>
      <c r="E1088" s="12">
        <f t="shared" si="146"/>
        <v>11.007468799999998</v>
      </c>
      <c r="F1088" s="12">
        <f t="shared" si="147"/>
        <v>11.007468799999998</v>
      </c>
      <c r="G1088" s="12">
        <f t="shared" si="148"/>
        <v>14.412713955555555</v>
      </c>
      <c r="H1088" s="12">
        <f t="shared" si="149"/>
        <v>14.412713955555555</v>
      </c>
      <c r="I1088" s="1" t="str">
        <f t="shared" si="150"/>
        <v>No</v>
      </c>
      <c r="J1088" s="1" t="str">
        <f t="shared" si="151"/>
        <v>Si</v>
      </c>
      <c r="K1088" s="1" t="str">
        <f t="shared" si="152"/>
        <v/>
      </c>
    </row>
    <row r="1089" spans="1:11" x14ac:dyDescent="0.3">
      <c r="A1089" s="1">
        <v>21</v>
      </c>
      <c r="B1089" s="1">
        <v>0</v>
      </c>
      <c r="C1089" s="12">
        <f t="shared" si="144"/>
        <v>-0.30000000000000004</v>
      </c>
      <c r="D1089" s="12">
        <f t="shared" si="145"/>
        <v>-1.875</v>
      </c>
      <c r="E1089" s="12">
        <f t="shared" si="146"/>
        <v>11.132567466666666</v>
      </c>
      <c r="F1089" s="12">
        <f t="shared" si="147"/>
        <v>11.132567466666666</v>
      </c>
      <c r="G1089" s="12">
        <f t="shared" si="148"/>
        <v>14.588969386666665</v>
      </c>
      <c r="H1089" s="12">
        <f t="shared" si="149"/>
        <v>14.588969386666665</v>
      </c>
      <c r="I1089" s="1" t="str">
        <f t="shared" si="150"/>
        <v>No</v>
      </c>
      <c r="J1089" s="1" t="str">
        <f t="shared" si="151"/>
        <v>Si</v>
      </c>
      <c r="K1089" s="1" t="str">
        <f t="shared" si="152"/>
        <v/>
      </c>
    </row>
    <row r="1090" spans="1:11" x14ac:dyDescent="0.3">
      <c r="A1090" s="1">
        <v>21</v>
      </c>
      <c r="B1090" s="1">
        <v>1</v>
      </c>
      <c r="C1090" s="12">
        <f t="shared" si="144"/>
        <v>-0.30000000000000004</v>
      </c>
      <c r="D1090" s="12">
        <f t="shared" si="145"/>
        <v>-1.8</v>
      </c>
      <c r="E1090" s="12">
        <f t="shared" si="146"/>
        <v>11.130079374222221</v>
      </c>
      <c r="F1090" s="12">
        <f t="shared" si="147"/>
        <v>11.130079374222221</v>
      </c>
      <c r="G1090" s="12">
        <f t="shared" si="148"/>
        <v>14.585465031111109</v>
      </c>
      <c r="H1090" s="12">
        <f t="shared" si="149"/>
        <v>14.585465031111109</v>
      </c>
      <c r="I1090" s="1" t="str">
        <f t="shared" si="150"/>
        <v>No</v>
      </c>
      <c r="J1090" s="1" t="str">
        <f t="shared" si="151"/>
        <v>Si</v>
      </c>
      <c r="K1090" s="1" t="str">
        <f t="shared" si="152"/>
        <v/>
      </c>
    </row>
    <row r="1091" spans="1:11" x14ac:dyDescent="0.3">
      <c r="A1091" s="1">
        <v>21</v>
      </c>
      <c r="B1091" s="1">
        <v>2</v>
      </c>
      <c r="C1091" s="12">
        <f t="shared" si="144"/>
        <v>-0.30000000000000004</v>
      </c>
      <c r="D1091" s="12">
        <f t="shared" si="145"/>
        <v>-1.7250000000000001</v>
      </c>
      <c r="E1091" s="12">
        <f t="shared" si="146"/>
        <v>11.127591281777777</v>
      </c>
      <c r="F1091" s="12">
        <f t="shared" si="147"/>
        <v>11.127591281777777</v>
      </c>
      <c r="G1091" s="12">
        <f t="shared" si="148"/>
        <v>14.581960675555553</v>
      </c>
      <c r="H1091" s="12">
        <f t="shared" si="149"/>
        <v>14.581960675555553</v>
      </c>
      <c r="I1091" s="1" t="str">
        <f t="shared" si="150"/>
        <v>No</v>
      </c>
      <c r="J1091" s="1" t="str">
        <f t="shared" si="151"/>
        <v>Si</v>
      </c>
      <c r="K1091" s="1" t="str">
        <f t="shared" si="152"/>
        <v/>
      </c>
    </row>
    <row r="1092" spans="1:11" x14ac:dyDescent="0.3">
      <c r="A1092" s="1">
        <v>21</v>
      </c>
      <c r="B1092" s="1">
        <v>3</v>
      </c>
      <c r="C1092" s="12">
        <f t="shared" si="144"/>
        <v>-0.30000000000000004</v>
      </c>
      <c r="D1092" s="12">
        <f t="shared" si="145"/>
        <v>-1.65</v>
      </c>
      <c r="E1092" s="12">
        <f t="shared" si="146"/>
        <v>11.125103189333332</v>
      </c>
      <c r="F1092" s="12">
        <f t="shared" si="147"/>
        <v>11.125103189333332</v>
      </c>
      <c r="G1092" s="12">
        <f t="shared" si="148"/>
        <v>14.578456319999999</v>
      </c>
      <c r="H1092" s="12">
        <f t="shared" si="149"/>
        <v>14.578456319999999</v>
      </c>
      <c r="I1092" s="1" t="str">
        <f t="shared" si="150"/>
        <v>No</v>
      </c>
      <c r="J1092" s="1" t="str">
        <f t="shared" si="151"/>
        <v>Si</v>
      </c>
      <c r="K1092" s="1" t="str">
        <f t="shared" si="152"/>
        <v/>
      </c>
    </row>
    <row r="1093" spans="1:11" x14ac:dyDescent="0.3">
      <c r="A1093" s="1">
        <v>21</v>
      </c>
      <c r="B1093" s="1">
        <v>4</v>
      </c>
      <c r="C1093" s="12">
        <f t="shared" si="144"/>
        <v>-0.30000000000000004</v>
      </c>
      <c r="D1093" s="12">
        <f t="shared" si="145"/>
        <v>-1.575</v>
      </c>
      <c r="E1093" s="12">
        <f t="shared" si="146"/>
        <v>11.122615096888888</v>
      </c>
      <c r="F1093" s="12">
        <f t="shared" si="147"/>
        <v>11.122615096888888</v>
      </c>
      <c r="G1093" s="12">
        <f t="shared" si="148"/>
        <v>14.574951964444443</v>
      </c>
      <c r="H1093" s="12">
        <f t="shared" si="149"/>
        <v>14.574951964444443</v>
      </c>
      <c r="I1093" s="1" t="str">
        <f t="shared" si="150"/>
        <v>No</v>
      </c>
      <c r="J1093" s="1" t="str">
        <f t="shared" si="151"/>
        <v>Si</v>
      </c>
      <c r="K1093" s="1" t="str">
        <f t="shared" si="152"/>
        <v/>
      </c>
    </row>
    <row r="1094" spans="1:11" x14ac:dyDescent="0.3">
      <c r="A1094" s="1">
        <v>21</v>
      </c>
      <c r="B1094" s="1">
        <v>5</v>
      </c>
      <c r="C1094" s="12">
        <f t="shared" si="144"/>
        <v>-0.30000000000000004</v>
      </c>
      <c r="D1094" s="12">
        <f t="shared" si="145"/>
        <v>-1.5</v>
      </c>
      <c r="E1094" s="12">
        <f t="shared" si="146"/>
        <v>11.120127004444443</v>
      </c>
      <c r="F1094" s="12">
        <f t="shared" si="147"/>
        <v>11.120127004444443</v>
      </c>
      <c r="G1094" s="12">
        <f t="shared" si="148"/>
        <v>14.571447608888887</v>
      </c>
      <c r="H1094" s="12">
        <f t="shared" si="149"/>
        <v>14.571447608888887</v>
      </c>
      <c r="I1094" s="1" t="str">
        <f t="shared" si="150"/>
        <v>No</v>
      </c>
      <c r="J1094" s="1" t="str">
        <f t="shared" si="151"/>
        <v>Si</v>
      </c>
      <c r="K1094" s="1" t="str">
        <f t="shared" si="152"/>
        <v/>
      </c>
    </row>
    <row r="1095" spans="1:11" x14ac:dyDescent="0.3">
      <c r="A1095" s="1">
        <v>21</v>
      </c>
      <c r="B1095" s="1">
        <v>6</v>
      </c>
      <c r="C1095" s="12">
        <f t="shared" si="144"/>
        <v>-0.30000000000000004</v>
      </c>
      <c r="D1095" s="12">
        <f t="shared" si="145"/>
        <v>-1.425</v>
      </c>
      <c r="E1095" s="12">
        <f t="shared" si="146"/>
        <v>11.117638911999999</v>
      </c>
      <c r="F1095" s="12">
        <f t="shared" si="147"/>
        <v>11.117638911999999</v>
      </c>
      <c r="G1095" s="12">
        <f t="shared" si="148"/>
        <v>14.567943253333333</v>
      </c>
      <c r="H1095" s="12">
        <f t="shared" si="149"/>
        <v>14.567943253333333</v>
      </c>
      <c r="I1095" s="1" t="str">
        <f t="shared" si="150"/>
        <v>No</v>
      </c>
      <c r="J1095" s="1" t="str">
        <f t="shared" si="151"/>
        <v>Si</v>
      </c>
      <c r="K1095" s="1" t="str">
        <f t="shared" si="152"/>
        <v/>
      </c>
    </row>
    <row r="1096" spans="1:11" x14ac:dyDescent="0.3">
      <c r="A1096" s="1">
        <v>21</v>
      </c>
      <c r="B1096" s="1">
        <v>7</v>
      </c>
      <c r="C1096" s="12">
        <f t="shared" si="144"/>
        <v>-0.30000000000000004</v>
      </c>
      <c r="D1096" s="12">
        <f t="shared" si="145"/>
        <v>-1.35</v>
      </c>
      <c r="E1096" s="12">
        <f t="shared" si="146"/>
        <v>11.115150819555556</v>
      </c>
      <c r="F1096" s="12">
        <f t="shared" si="147"/>
        <v>11.115150819555556</v>
      </c>
      <c r="G1096" s="12">
        <f t="shared" si="148"/>
        <v>14.564438897777777</v>
      </c>
      <c r="H1096" s="12">
        <f t="shared" si="149"/>
        <v>14.564438897777777</v>
      </c>
      <c r="I1096" s="1" t="str">
        <f t="shared" si="150"/>
        <v>No</v>
      </c>
      <c r="J1096" s="1" t="str">
        <f t="shared" si="151"/>
        <v>Si</v>
      </c>
      <c r="K1096" s="1" t="str">
        <f t="shared" si="152"/>
        <v/>
      </c>
    </row>
    <row r="1097" spans="1:11" x14ac:dyDescent="0.3">
      <c r="A1097" s="1">
        <v>21</v>
      </c>
      <c r="B1097" s="1">
        <v>8</v>
      </c>
      <c r="C1097" s="12">
        <f t="shared" si="144"/>
        <v>-0.30000000000000004</v>
      </c>
      <c r="D1097" s="12">
        <f t="shared" si="145"/>
        <v>-1.2749999999999999</v>
      </c>
      <c r="E1097" s="12">
        <f t="shared" si="146"/>
        <v>11.112662727111111</v>
      </c>
      <c r="F1097" s="12">
        <f t="shared" si="147"/>
        <v>11.112662727111111</v>
      </c>
      <c r="G1097" s="12">
        <f t="shared" si="148"/>
        <v>14.560934542222221</v>
      </c>
      <c r="H1097" s="12">
        <f t="shared" si="149"/>
        <v>14.560934542222221</v>
      </c>
      <c r="I1097" s="1" t="str">
        <f t="shared" si="150"/>
        <v>No</v>
      </c>
      <c r="J1097" s="1" t="str">
        <f t="shared" si="151"/>
        <v>Si</v>
      </c>
      <c r="K1097" s="1" t="str">
        <f t="shared" si="152"/>
        <v/>
      </c>
    </row>
    <row r="1098" spans="1:11" x14ac:dyDescent="0.3">
      <c r="A1098" s="1">
        <v>21</v>
      </c>
      <c r="B1098" s="1">
        <v>9</v>
      </c>
      <c r="C1098" s="12">
        <f t="shared" si="144"/>
        <v>-0.30000000000000004</v>
      </c>
      <c r="D1098" s="12">
        <f t="shared" si="145"/>
        <v>-1.2</v>
      </c>
      <c r="E1098" s="12">
        <f t="shared" si="146"/>
        <v>11.110174634666667</v>
      </c>
      <c r="F1098" s="12">
        <f t="shared" si="147"/>
        <v>11.110174634666667</v>
      </c>
      <c r="G1098" s="12">
        <f t="shared" si="148"/>
        <v>14.557430186666664</v>
      </c>
      <c r="H1098" s="12">
        <f t="shared" si="149"/>
        <v>14.557430186666664</v>
      </c>
      <c r="I1098" s="1" t="str">
        <f t="shared" si="150"/>
        <v>No</v>
      </c>
      <c r="J1098" s="1" t="str">
        <f t="shared" si="151"/>
        <v>Si</v>
      </c>
      <c r="K1098" s="1" t="str">
        <f t="shared" si="152"/>
        <v/>
      </c>
    </row>
    <row r="1099" spans="1:11" x14ac:dyDescent="0.3">
      <c r="A1099" s="1">
        <v>21</v>
      </c>
      <c r="B1099" s="1">
        <v>10</v>
      </c>
      <c r="C1099" s="12">
        <f t="shared" si="144"/>
        <v>-0.30000000000000004</v>
      </c>
      <c r="D1099" s="12">
        <f t="shared" si="145"/>
        <v>-1.125</v>
      </c>
      <c r="E1099" s="12">
        <f t="shared" si="146"/>
        <v>11.107686542222222</v>
      </c>
      <c r="F1099" s="12">
        <f t="shared" si="147"/>
        <v>11.107686542222222</v>
      </c>
      <c r="G1099" s="12">
        <f t="shared" si="148"/>
        <v>14.55392583111111</v>
      </c>
      <c r="H1099" s="12">
        <f t="shared" si="149"/>
        <v>14.55392583111111</v>
      </c>
      <c r="I1099" s="1" t="str">
        <f t="shared" si="150"/>
        <v>No</v>
      </c>
      <c r="J1099" s="1" t="str">
        <f t="shared" si="151"/>
        <v>Si</v>
      </c>
      <c r="K1099" s="1" t="str">
        <f t="shared" si="152"/>
        <v/>
      </c>
    </row>
    <row r="1100" spans="1:11" x14ac:dyDescent="0.3">
      <c r="A1100" s="1">
        <v>21</v>
      </c>
      <c r="B1100" s="1">
        <v>11</v>
      </c>
      <c r="C1100" s="12">
        <f t="shared" si="144"/>
        <v>-0.30000000000000004</v>
      </c>
      <c r="D1100" s="12">
        <f t="shared" si="145"/>
        <v>-1.05</v>
      </c>
      <c r="E1100" s="12">
        <f t="shared" si="146"/>
        <v>11.105198449777777</v>
      </c>
      <c r="F1100" s="12">
        <f t="shared" si="147"/>
        <v>11.105198449777777</v>
      </c>
      <c r="G1100" s="12">
        <f t="shared" si="148"/>
        <v>14.550421475555554</v>
      </c>
      <c r="H1100" s="12">
        <f t="shared" si="149"/>
        <v>14.550421475555554</v>
      </c>
      <c r="I1100" s="1" t="str">
        <f t="shared" si="150"/>
        <v>No</v>
      </c>
      <c r="J1100" s="1" t="str">
        <f t="shared" si="151"/>
        <v>Si</v>
      </c>
      <c r="K1100" s="1" t="str">
        <f t="shared" si="152"/>
        <v/>
      </c>
    </row>
    <row r="1101" spans="1:11" x14ac:dyDescent="0.3">
      <c r="A1101" s="1">
        <v>21</v>
      </c>
      <c r="B1101" s="1">
        <v>12</v>
      </c>
      <c r="C1101" s="12">
        <f t="shared" si="144"/>
        <v>-0.30000000000000004</v>
      </c>
      <c r="D1101" s="12">
        <f t="shared" si="145"/>
        <v>-0.97499999999999998</v>
      </c>
      <c r="E1101" s="12">
        <f t="shared" si="146"/>
        <v>11.102710357333333</v>
      </c>
      <c r="F1101" s="12">
        <f t="shared" si="147"/>
        <v>11.102710357333333</v>
      </c>
      <c r="G1101" s="12">
        <f t="shared" si="148"/>
        <v>14.546917119999998</v>
      </c>
      <c r="H1101" s="12">
        <f t="shared" si="149"/>
        <v>14.546917119999998</v>
      </c>
      <c r="I1101" s="1" t="str">
        <f t="shared" si="150"/>
        <v>No</v>
      </c>
      <c r="J1101" s="1" t="str">
        <f t="shared" si="151"/>
        <v>Si</v>
      </c>
      <c r="K1101" s="1" t="str">
        <f t="shared" si="152"/>
        <v/>
      </c>
    </row>
    <row r="1102" spans="1:11" x14ac:dyDescent="0.3">
      <c r="A1102" s="1">
        <v>21</v>
      </c>
      <c r="B1102" s="1">
        <v>13</v>
      </c>
      <c r="C1102" s="12">
        <f t="shared" si="144"/>
        <v>-0.30000000000000004</v>
      </c>
      <c r="D1102" s="12">
        <f t="shared" si="145"/>
        <v>-0.9</v>
      </c>
      <c r="E1102" s="12">
        <f t="shared" si="146"/>
        <v>11.100222264888888</v>
      </c>
      <c r="F1102" s="12">
        <f t="shared" si="147"/>
        <v>11.100222264888888</v>
      </c>
      <c r="G1102" s="12">
        <f t="shared" si="148"/>
        <v>14.543412764444444</v>
      </c>
      <c r="H1102" s="12">
        <f t="shared" si="149"/>
        <v>14.543412764444444</v>
      </c>
      <c r="I1102" s="1" t="str">
        <f t="shared" si="150"/>
        <v>No</v>
      </c>
      <c r="J1102" s="1" t="str">
        <f t="shared" si="151"/>
        <v>Si</v>
      </c>
      <c r="K1102" s="1" t="str">
        <f t="shared" si="152"/>
        <v/>
      </c>
    </row>
    <row r="1103" spans="1:11" x14ac:dyDescent="0.3">
      <c r="A1103" s="1">
        <v>21</v>
      </c>
      <c r="B1103" s="1">
        <v>14</v>
      </c>
      <c r="C1103" s="12">
        <f t="shared" si="144"/>
        <v>-0.30000000000000004</v>
      </c>
      <c r="D1103" s="12">
        <f t="shared" si="145"/>
        <v>-0.82499999999999996</v>
      </c>
      <c r="E1103" s="12">
        <f t="shared" si="146"/>
        <v>11.097734172444444</v>
      </c>
      <c r="F1103" s="12">
        <f t="shared" si="147"/>
        <v>11.097734172444444</v>
      </c>
      <c r="G1103" s="12">
        <f t="shared" si="148"/>
        <v>14.539908408888888</v>
      </c>
      <c r="H1103" s="12">
        <f t="shared" si="149"/>
        <v>14.539908408888888</v>
      </c>
      <c r="I1103" s="1" t="str">
        <f t="shared" si="150"/>
        <v>No</v>
      </c>
      <c r="J1103" s="1" t="str">
        <f t="shared" si="151"/>
        <v>Si</v>
      </c>
      <c r="K1103" s="1" t="str">
        <f t="shared" si="152"/>
        <v/>
      </c>
    </row>
    <row r="1104" spans="1:11" x14ac:dyDescent="0.3">
      <c r="A1104" s="1">
        <v>21</v>
      </c>
      <c r="B1104" s="1">
        <v>15</v>
      </c>
      <c r="C1104" s="12">
        <f t="shared" si="144"/>
        <v>-0.30000000000000004</v>
      </c>
      <c r="D1104" s="12">
        <f t="shared" si="145"/>
        <v>-0.75</v>
      </c>
      <c r="E1104" s="12">
        <f t="shared" si="146"/>
        <v>11.095246079999999</v>
      </c>
      <c r="F1104" s="12">
        <f t="shared" si="147"/>
        <v>11.095246079999999</v>
      </c>
      <c r="G1104" s="12">
        <f t="shared" si="148"/>
        <v>14.536404053333332</v>
      </c>
      <c r="H1104" s="12">
        <f t="shared" si="149"/>
        <v>14.536404053333332</v>
      </c>
      <c r="I1104" s="1" t="str">
        <f t="shared" si="150"/>
        <v>No</v>
      </c>
      <c r="J1104" s="1" t="str">
        <f t="shared" si="151"/>
        <v>Si</v>
      </c>
      <c r="K1104" s="1" t="str">
        <f t="shared" si="152"/>
        <v/>
      </c>
    </row>
    <row r="1105" spans="1:11" x14ac:dyDescent="0.3">
      <c r="A1105" s="1">
        <v>21</v>
      </c>
      <c r="B1105" s="1">
        <v>16</v>
      </c>
      <c r="C1105" s="12">
        <f t="shared" si="144"/>
        <v>-0.30000000000000004</v>
      </c>
      <c r="D1105" s="12">
        <f t="shared" si="145"/>
        <v>-0.67500000000000004</v>
      </c>
      <c r="E1105" s="12">
        <f t="shared" si="146"/>
        <v>11.092757987555554</v>
      </c>
      <c r="F1105" s="12">
        <f t="shared" si="147"/>
        <v>11.092757987555554</v>
      </c>
      <c r="G1105" s="12">
        <f t="shared" si="148"/>
        <v>14.532899697777776</v>
      </c>
      <c r="H1105" s="12">
        <f t="shared" si="149"/>
        <v>14.532899697777776</v>
      </c>
      <c r="I1105" s="1" t="str">
        <f t="shared" si="150"/>
        <v>No</v>
      </c>
      <c r="J1105" s="1" t="str">
        <f t="shared" si="151"/>
        <v>Si</v>
      </c>
      <c r="K1105" s="1" t="str">
        <f t="shared" si="152"/>
        <v/>
      </c>
    </row>
    <row r="1106" spans="1:11" x14ac:dyDescent="0.3">
      <c r="A1106" s="1">
        <v>21</v>
      </c>
      <c r="B1106" s="1">
        <v>17</v>
      </c>
      <c r="C1106" s="12">
        <f t="shared" ref="C1106:C1169" si="153">IF(OR(A1106&gt;inp_n_div_x,B1106&gt;inp_n_div_y),"",-inp_bx/2+A1106*inp_bx/inp_n_div_x)</f>
        <v>-0.30000000000000004</v>
      </c>
      <c r="D1106" s="12">
        <f t="shared" ref="D1106:D1169" si="154">IF(C1106="","",-inp_by/2+B1106*inp_by/inp_n_div_y)</f>
        <v>-0.60000000000000009</v>
      </c>
      <c r="E1106" s="12">
        <f t="shared" ref="E1106:E1169" si="155">IF(C1106="","",res_srv_p_tot/geo_area+res_srv_mx_tot/geo_ix*D1106+res_srv_my_tot/geo_iy*C1106)</f>
        <v>11.09026989511111</v>
      </c>
      <c r="F1106" s="12">
        <f t="shared" ref="F1106:F1169" si="156">IF(E1106="","",MAX(0,E1106))</f>
        <v>11.09026989511111</v>
      </c>
      <c r="G1106" s="12">
        <f t="shared" ref="G1106:G1169" si="157">IF(C1106="","",res_u_p_tot/geo_area+res_u_mx_tot/geo_ix*D1106+res_u_my_tot/geo_iy*C1106)</f>
        <v>14.529395342222221</v>
      </c>
      <c r="H1106" s="12">
        <f t="shared" ref="H1106:H1169" si="158">IF(G1106="","",MAX(0,G1106))</f>
        <v>14.529395342222221</v>
      </c>
      <c r="I1106" s="1" t="str">
        <f t="shared" ref="I1106:I1169" si="159">IF(C1106="","",IF(AND(C1106&gt;=inp_xc-inp_cx/2,C1106&lt;=inp_xc+inp_cx/2,D1106&gt;=inp_yc-inp_cy/2,D1106&lt;=inp_yc+inp_cy/2),"Si","No"))</f>
        <v>No</v>
      </c>
      <c r="J1106" s="1" t="str">
        <f t="shared" ref="J1106:J1169" si="160">IF(C1106="","","Si")</f>
        <v>Si</v>
      </c>
      <c r="K1106" s="1" t="str">
        <f t="shared" ref="K1106:K1169" si="161">IF(OR(E1106&lt;0,G1106&lt;0),"Presion negativa","")</f>
        <v/>
      </c>
    </row>
    <row r="1107" spans="1:11" x14ac:dyDescent="0.3">
      <c r="A1107" s="1">
        <v>21</v>
      </c>
      <c r="B1107" s="1">
        <v>18</v>
      </c>
      <c r="C1107" s="12">
        <f t="shared" si="153"/>
        <v>-0.30000000000000004</v>
      </c>
      <c r="D1107" s="12">
        <f t="shared" si="154"/>
        <v>-0.52499999999999991</v>
      </c>
      <c r="E1107" s="12">
        <f t="shared" si="155"/>
        <v>11.087781802666665</v>
      </c>
      <c r="F1107" s="12">
        <f t="shared" si="156"/>
        <v>11.087781802666665</v>
      </c>
      <c r="G1107" s="12">
        <f t="shared" si="157"/>
        <v>14.525890986666665</v>
      </c>
      <c r="H1107" s="12">
        <f t="shared" si="158"/>
        <v>14.525890986666665</v>
      </c>
      <c r="I1107" s="1" t="str">
        <f t="shared" si="159"/>
        <v>No</v>
      </c>
      <c r="J1107" s="1" t="str">
        <f t="shared" si="160"/>
        <v>Si</v>
      </c>
      <c r="K1107" s="1" t="str">
        <f t="shared" si="161"/>
        <v/>
      </c>
    </row>
    <row r="1108" spans="1:11" x14ac:dyDescent="0.3">
      <c r="A1108" s="1">
        <v>21</v>
      </c>
      <c r="B1108" s="1">
        <v>19</v>
      </c>
      <c r="C1108" s="12">
        <f t="shared" si="153"/>
        <v>-0.30000000000000004</v>
      </c>
      <c r="D1108" s="12">
        <f t="shared" si="154"/>
        <v>-0.44999999999999996</v>
      </c>
      <c r="E1108" s="12">
        <f t="shared" si="155"/>
        <v>11.085293710222222</v>
      </c>
      <c r="F1108" s="12">
        <f t="shared" si="156"/>
        <v>11.085293710222222</v>
      </c>
      <c r="G1108" s="12">
        <f t="shared" si="157"/>
        <v>14.522386631111109</v>
      </c>
      <c r="H1108" s="12">
        <f t="shared" si="158"/>
        <v>14.522386631111109</v>
      </c>
      <c r="I1108" s="1" t="str">
        <f t="shared" si="159"/>
        <v>No</v>
      </c>
      <c r="J1108" s="1" t="str">
        <f t="shared" si="160"/>
        <v>Si</v>
      </c>
      <c r="K1108" s="1" t="str">
        <f t="shared" si="161"/>
        <v/>
      </c>
    </row>
    <row r="1109" spans="1:11" x14ac:dyDescent="0.3">
      <c r="A1109" s="1">
        <v>21</v>
      </c>
      <c r="B1109" s="1">
        <v>20</v>
      </c>
      <c r="C1109" s="12">
        <f t="shared" si="153"/>
        <v>-0.30000000000000004</v>
      </c>
      <c r="D1109" s="12">
        <f t="shared" si="154"/>
        <v>-0.375</v>
      </c>
      <c r="E1109" s="12">
        <f t="shared" si="155"/>
        <v>11.082805617777778</v>
      </c>
      <c r="F1109" s="12">
        <f t="shared" si="156"/>
        <v>11.082805617777778</v>
      </c>
      <c r="G1109" s="12">
        <f t="shared" si="157"/>
        <v>14.518882275555555</v>
      </c>
      <c r="H1109" s="12">
        <f t="shared" si="158"/>
        <v>14.518882275555555</v>
      </c>
      <c r="I1109" s="1" t="str">
        <f t="shared" si="159"/>
        <v>No</v>
      </c>
      <c r="J1109" s="1" t="str">
        <f t="shared" si="160"/>
        <v>Si</v>
      </c>
      <c r="K1109" s="1" t="str">
        <f t="shared" si="161"/>
        <v/>
      </c>
    </row>
    <row r="1110" spans="1:11" x14ac:dyDescent="0.3">
      <c r="A1110" s="1">
        <v>21</v>
      </c>
      <c r="B1110" s="1">
        <v>21</v>
      </c>
      <c r="C1110" s="12">
        <f t="shared" si="153"/>
        <v>-0.30000000000000004</v>
      </c>
      <c r="D1110" s="12">
        <f t="shared" si="154"/>
        <v>-0.30000000000000004</v>
      </c>
      <c r="E1110" s="12">
        <f t="shared" si="155"/>
        <v>11.080317525333333</v>
      </c>
      <c r="F1110" s="12">
        <f t="shared" si="156"/>
        <v>11.080317525333333</v>
      </c>
      <c r="G1110" s="12">
        <f t="shared" si="157"/>
        <v>14.515377919999999</v>
      </c>
      <c r="H1110" s="12">
        <f t="shared" si="158"/>
        <v>14.515377919999999</v>
      </c>
      <c r="I1110" s="1" t="str">
        <f t="shared" si="159"/>
        <v>No</v>
      </c>
      <c r="J1110" s="1" t="str">
        <f t="shared" si="160"/>
        <v>Si</v>
      </c>
      <c r="K1110" s="1" t="str">
        <f t="shared" si="161"/>
        <v/>
      </c>
    </row>
    <row r="1111" spans="1:11" x14ac:dyDescent="0.3">
      <c r="A1111" s="1">
        <v>21</v>
      </c>
      <c r="B1111" s="1">
        <v>22</v>
      </c>
      <c r="C1111" s="12">
        <f t="shared" si="153"/>
        <v>-0.30000000000000004</v>
      </c>
      <c r="D1111" s="12">
        <f t="shared" si="154"/>
        <v>-0.22500000000000009</v>
      </c>
      <c r="E1111" s="12">
        <f t="shared" si="155"/>
        <v>11.077829432888889</v>
      </c>
      <c r="F1111" s="12">
        <f t="shared" si="156"/>
        <v>11.077829432888889</v>
      </c>
      <c r="G1111" s="12">
        <f t="shared" si="157"/>
        <v>14.511873564444443</v>
      </c>
      <c r="H1111" s="12">
        <f t="shared" si="158"/>
        <v>14.511873564444443</v>
      </c>
      <c r="I1111" s="1" t="str">
        <f t="shared" si="159"/>
        <v>No</v>
      </c>
      <c r="J1111" s="1" t="str">
        <f t="shared" si="160"/>
        <v>Si</v>
      </c>
      <c r="K1111" s="1" t="str">
        <f t="shared" si="161"/>
        <v/>
      </c>
    </row>
    <row r="1112" spans="1:11" x14ac:dyDescent="0.3">
      <c r="A1112" s="1">
        <v>21</v>
      </c>
      <c r="B1112" s="1">
        <v>23</v>
      </c>
      <c r="C1112" s="12">
        <f t="shared" si="153"/>
        <v>-0.30000000000000004</v>
      </c>
      <c r="D1112" s="12">
        <f t="shared" si="154"/>
        <v>-0.14999999999999991</v>
      </c>
      <c r="E1112" s="12">
        <f t="shared" si="155"/>
        <v>11.075341340444444</v>
      </c>
      <c r="F1112" s="12">
        <f t="shared" si="156"/>
        <v>11.075341340444444</v>
      </c>
      <c r="G1112" s="12">
        <f t="shared" si="157"/>
        <v>14.508369208888887</v>
      </c>
      <c r="H1112" s="12">
        <f t="shared" si="158"/>
        <v>14.508369208888887</v>
      </c>
      <c r="I1112" s="1" t="str">
        <f t="shared" si="159"/>
        <v>No</v>
      </c>
      <c r="J1112" s="1" t="str">
        <f t="shared" si="160"/>
        <v>Si</v>
      </c>
      <c r="K1112" s="1" t="str">
        <f t="shared" si="161"/>
        <v/>
      </c>
    </row>
    <row r="1113" spans="1:11" x14ac:dyDescent="0.3">
      <c r="A1113" s="1">
        <v>21</v>
      </c>
      <c r="B1113" s="1">
        <v>24</v>
      </c>
      <c r="C1113" s="12">
        <f t="shared" si="153"/>
        <v>-0.30000000000000004</v>
      </c>
      <c r="D1113" s="12">
        <f t="shared" si="154"/>
        <v>-7.4999999999999956E-2</v>
      </c>
      <c r="E1113" s="12">
        <f t="shared" si="155"/>
        <v>11.072853247999999</v>
      </c>
      <c r="F1113" s="12">
        <f t="shared" si="156"/>
        <v>11.072853247999999</v>
      </c>
      <c r="G1113" s="12">
        <f t="shared" si="157"/>
        <v>14.504864853333332</v>
      </c>
      <c r="H1113" s="12">
        <f t="shared" si="158"/>
        <v>14.504864853333332</v>
      </c>
      <c r="I1113" s="1" t="str">
        <f t="shared" si="159"/>
        <v>No</v>
      </c>
      <c r="J1113" s="1" t="str">
        <f t="shared" si="160"/>
        <v>Si</v>
      </c>
      <c r="K1113" s="1" t="str">
        <f t="shared" si="161"/>
        <v/>
      </c>
    </row>
    <row r="1114" spans="1:11" x14ac:dyDescent="0.3">
      <c r="A1114" s="1">
        <v>21</v>
      </c>
      <c r="B1114" s="1">
        <v>25</v>
      </c>
      <c r="C1114" s="12">
        <f t="shared" si="153"/>
        <v>-0.30000000000000004</v>
      </c>
      <c r="D1114" s="12">
        <f t="shared" si="154"/>
        <v>0</v>
      </c>
      <c r="E1114" s="12">
        <f t="shared" si="155"/>
        <v>11.070365155555555</v>
      </c>
      <c r="F1114" s="12">
        <f t="shared" si="156"/>
        <v>11.070365155555555</v>
      </c>
      <c r="G1114" s="12">
        <f t="shared" si="157"/>
        <v>14.501360497777776</v>
      </c>
      <c r="H1114" s="12">
        <f t="shared" si="158"/>
        <v>14.501360497777776</v>
      </c>
      <c r="I1114" s="1" t="str">
        <f t="shared" si="159"/>
        <v>No</v>
      </c>
      <c r="J1114" s="1" t="str">
        <f t="shared" si="160"/>
        <v>Si</v>
      </c>
      <c r="K1114" s="1" t="str">
        <f t="shared" si="161"/>
        <v/>
      </c>
    </row>
    <row r="1115" spans="1:11" x14ac:dyDescent="0.3">
      <c r="A1115" s="1">
        <v>21</v>
      </c>
      <c r="B1115" s="1">
        <v>26</v>
      </c>
      <c r="C1115" s="12">
        <f t="shared" si="153"/>
        <v>-0.30000000000000004</v>
      </c>
      <c r="D1115" s="12">
        <f t="shared" si="154"/>
        <v>7.4999999999999956E-2</v>
      </c>
      <c r="E1115" s="12">
        <f t="shared" si="155"/>
        <v>11.06787706311111</v>
      </c>
      <c r="F1115" s="12">
        <f t="shared" si="156"/>
        <v>11.06787706311111</v>
      </c>
      <c r="G1115" s="12">
        <f t="shared" si="157"/>
        <v>14.49785614222222</v>
      </c>
      <c r="H1115" s="12">
        <f t="shared" si="158"/>
        <v>14.49785614222222</v>
      </c>
      <c r="I1115" s="1" t="str">
        <f t="shared" si="159"/>
        <v>No</v>
      </c>
      <c r="J1115" s="1" t="str">
        <f t="shared" si="160"/>
        <v>Si</v>
      </c>
      <c r="K1115" s="1" t="str">
        <f t="shared" si="161"/>
        <v/>
      </c>
    </row>
    <row r="1116" spans="1:11" x14ac:dyDescent="0.3">
      <c r="A1116" s="1">
        <v>21</v>
      </c>
      <c r="B1116" s="1">
        <v>27</v>
      </c>
      <c r="C1116" s="12">
        <f t="shared" si="153"/>
        <v>-0.30000000000000004</v>
      </c>
      <c r="D1116" s="12">
        <f t="shared" si="154"/>
        <v>0.14999999999999991</v>
      </c>
      <c r="E1116" s="12">
        <f t="shared" si="155"/>
        <v>11.065388970666666</v>
      </c>
      <c r="F1116" s="12">
        <f t="shared" si="156"/>
        <v>11.065388970666666</v>
      </c>
      <c r="G1116" s="12">
        <f t="shared" si="157"/>
        <v>14.494351786666666</v>
      </c>
      <c r="H1116" s="12">
        <f t="shared" si="158"/>
        <v>14.494351786666666</v>
      </c>
      <c r="I1116" s="1" t="str">
        <f t="shared" si="159"/>
        <v>No</v>
      </c>
      <c r="J1116" s="1" t="str">
        <f t="shared" si="160"/>
        <v>Si</v>
      </c>
      <c r="K1116" s="1" t="str">
        <f t="shared" si="161"/>
        <v/>
      </c>
    </row>
    <row r="1117" spans="1:11" x14ac:dyDescent="0.3">
      <c r="A1117" s="1">
        <v>21</v>
      </c>
      <c r="B1117" s="1">
        <v>28</v>
      </c>
      <c r="C1117" s="12">
        <f t="shared" si="153"/>
        <v>-0.30000000000000004</v>
      </c>
      <c r="D1117" s="12">
        <f t="shared" si="154"/>
        <v>0.22500000000000009</v>
      </c>
      <c r="E1117" s="12">
        <f t="shared" si="155"/>
        <v>11.062900878222221</v>
      </c>
      <c r="F1117" s="12">
        <f t="shared" si="156"/>
        <v>11.062900878222221</v>
      </c>
      <c r="G1117" s="12">
        <f t="shared" si="157"/>
        <v>14.49084743111111</v>
      </c>
      <c r="H1117" s="12">
        <f t="shared" si="158"/>
        <v>14.49084743111111</v>
      </c>
      <c r="I1117" s="1" t="str">
        <f t="shared" si="159"/>
        <v>No</v>
      </c>
      <c r="J1117" s="1" t="str">
        <f t="shared" si="160"/>
        <v>Si</v>
      </c>
      <c r="K1117" s="1" t="str">
        <f t="shared" si="161"/>
        <v/>
      </c>
    </row>
    <row r="1118" spans="1:11" x14ac:dyDescent="0.3">
      <c r="A1118" s="1">
        <v>21</v>
      </c>
      <c r="B1118" s="1">
        <v>29</v>
      </c>
      <c r="C1118" s="12">
        <f t="shared" si="153"/>
        <v>-0.30000000000000004</v>
      </c>
      <c r="D1118" s="12">
        <f t="shared" si="154"/>
        <v>0.29999999999999982</v>
      </c>
      <c r="E1118" s="12">
        <f t="shared" si="155"/>
        <v>11.060412785777777</v>
      </c>
      <c r="F1118" s="12">
        <f t="shared" si="156"/>
        <v>11.060412785777777</v>
      </c>
      <c r="G1118" s="12">
        <f t="shared" si="157"/>
        <v>14.487343075555554</v>
      </c>
      <c r="H1118" s="12">
        <f t="shared" si="158"/>
        <v>14.487343075555554</v>
      </c>
      <c r="I1118" s="1" t="str">
        <f t="shared" si="159"/>
        <v>No</v>
      </c>
      <c r="J1118" s="1" t="str">
        <f t="shared" si="160"/>
        <v>Si</v>
      </c>
      <c r="K1118" s="1" t="str">
        <f t="shared" si="161"/>
        <v/>
      </c>
    </row>
    <row r="1119" spans="1:11" x14ac:dyDescent="0.3">
      <c r="A1119" s="1">
        <v>21</v>
      </c>
      <c r="B1119" s="1">
        <v>30</v>
      </c>
      <c r="C1119" s="12">
        <f t="shared" si="153"/>
        <v>-0.30000000000000004</v>
      </c>
      <c r="D1119" s="12">
        <f t="shared" si="154"/>
        <v>0.375</v>
      </c>
      <c r="E1119" s="12">
        <f t="shared" si="155"/>
        <v>11.057924693333332</v>
      </c>
      <c r="F1119" s="12">
        <f t="shared" si="156"/>
        <v>11.057924693333332</v>
      </c>
      <c r="G1119" s="12">
        <f t="shared" si="157"/>
        <v>14.483838719999998</v>
      </c>
      <c r="H1119" s="12">
        <f t="shared" si="158"/>
        <v>14.483838719999998</v>
      </c>
      <c r="I1119" s="1" t="str">
        <f t="shared" si="159"/>
        <v>No</v>
      </c>
      <c r="J1119" s="1" t="str">
        <f t="shared" si="160"/>
        <v>Si</v>
      </c>
      <c r="K1119" s="1" t="str">
        <f t="shared" si="161"/>
        <v/>
      </c>
    </row>
    <row r="1120" spans="1:11" x14ac:dyDescent="0.3">
      <c r="A1120" s="1">
        <v>21</v>
      </c>
      <c r="B1120" s="1">
        <v>31</v>
      </c>
      <c r="C1120" s="12">
        <f t="shared" si="153"/>
        <v>-0.30000000000000004</v>
      </c>
      <c r="D1120" s="12">
        <f t="shared" si="154"/>
        <v>0.45000000000000018</v>
      </c>
      <c r="E1120" s="12">
        <f t="shared" si="155"/>
        <v>11.055436600888887</v>
      </c>
      <c r="F1120" s="12">
        <f t="shared" si="156"/>
        <v>11.055436600888887</v>
      </c>
      <c r="G1120" s="12">
        <f t="shared" si="157"/>
        <v>14.480334364444444</v>
      </c>
      <c r="H1120" s="12">
        <f t="shared" si="158"/>
        <v>14.480334364444444</v>
      </c>
      <c r="I1120" s="1" t="str">
        <f t="shared" si="159"/>
        <v>No</v>
      </c>
      <c r="J1120" s="1" t="str">
        <f t="shared" si="160"/>
        <v>Si</v>
      </c>
      <c r="K1120" s="1" t="str">
        <f t="shared" si="161"/>
        <v/>
      </c>
    </row>
    <row r="1121" spans="1:11" x14ac:dyDescent="0.3">
      <c r="A1121" s="1">
        <v>21</v>
      </c>
      <c r="B1121" s="1">
        <v>32</v>
      </c>
      <c r="C1121" s="12">
        <f t="shared" si="153"/>
        <v>-0.30000000000000004</v>
      </c>
      <c r="D1121" s="12">
        <f t="shared" si="154"/>
        <v>0.52499999999999991</v>
      </c>
      <c r="E1121" s="12">
        <f t="shared" si="155"/>
        <v>11.052948508444445</v>
      </c>
      <c r="F1121" s="12">
        <f t="shared" si="156"/>
        <v>11.052948508444445</v>
      </c>
      <c r="G1121" s="12">
        <f t="shared" si="157"/>
        <v>14.476830008888887</v>
      </c>
      <c r="H1121" s="12">
        <f t="shared" si="158"/>
        <v>14.476830008888887</v>
      </c>
      <c r="I1121" s="1" t="str">
        <f t="shared" si="159"/>
        <v>No</v>
      </c>
      <c r="J1121" s="1" t="str">
        <f t="shared" si="160"/>
        <v>Si</v>
      </c>
      <c r="K1121" s="1" t="str">
        <f t="shared" si="161"/>
        <v/>
      </c>
    </row>
    <row r="1122" spans="1:11" x14ac:dyDescent="0.3">
      <c r="A1122" s="1">
        <v>21</v>
      </c>
      <c r="B1122" s="1">
        <v>33</v>
      </c>
      <c r="C1122" s="12">
        <f t="shared" si="153"/>
        <v>-0.30000000000000004</v>
      </c>
      <c r="D1122" s="12">
        <f t="shared" si="154"/>
        <v>0.60000000000000009</v>
      </c>
      <c r="E1122" s="12">
        <f t="shared" si="155"/>
        <v>11.050460416</v>
      </c>
      <c r="F1122" s="12">
        <f t="shared" si="156"/>
        <v>11.050460416</v>
      </c>
      <c r="G1122" s="12">
        <f t="shared" si="157"/>
        <v>14.473325653333331</v>
      </c>
      <c r="H1122" s="12">
        <f t="shared" si="158"/>
        <v>14.473325653333331</v>
      </c>
      <c r="I1122" s="1" t="str">
        <f t="shared" si="159"/>
        <v>No</v>
      </c>
      <c r="J1122" s="1" t="str">
        <f t="shared" si="160"/>
        <v>Si</v>
      </c>
      <c r="K1122" s="1" t="str">
        <f t="shared" si="161"/>
        <v/>
      </c>
    </row>
    <row r="1123" spans="1:11" x14ac:dyDescent="0.3">
      <c r="A1123" s="1">
        <v>21</v>
      </c>
      <c r="B1123" s="1">
        <v>34</v>
      </c>
      <c r="C1123" s="12">
        <f t="shared" si="153"/>
        <v>-0.30000000000000004</v>
      </c>
      <c r="D1123" s="12">
        <f t="shared" si="154"/>
        <v>0.67499999999999982</v>
      </c>
      <c r="E1123" s="12">
        <f t="shared" si="155"/>
        <v>11.047972323555555</v>
      </c>
      <c r="F1123" s="12">
        <f t="shared" si="156"/>
        <v>11.047972323555555</v>
      </c>
      <c r="G1123" s="12">
        <f t="shared" si="157"/>
        <v>14.469821297777777</v>
      </c>
      <c r="H1123" s="12">
        <f t="shared" si="158"/>
        <v>14.469821297777777</v>
      </c>
      <c r="I1123" s="1" t="str">
        <f t="shared" si="159"/>
        <v>No</v>
      </c>
      <c r="J1123" s="1" t="str">
        <f t="shared" si="160"/>
        <v>Si</v>
      </c>
      <c r="K1123" s="1" t="str">
        <f t="shared" si="161"/>
        <v/>
      </c>
    </row>
    <row r="1124" spans="1:11" x14ac:dyDescent="0.3">
      <c r="A1124" s="1">
        <v>21</v>
      </c>
      <c r="B1124" s="1">
        <v>35</v>
      </c>
      <c r="C1124" s="12">
        <f t="shared" si="153"/>
        <v>-0.30000000000000004</v>
      </c>
      <c r="D1124" s="12">
        <f t="shared" si="154"/>
        <v>0.75</v>
      </c>
      <c r="E1124" s="12">
        <f t="shared" si="155"/>
        <v>11.045484231111111</v>
      </c>
      <c r="F1124" s="12">
        <f t="shared" si="156"/>
        <v>11.045484231111111</v>
      </c>
      <c r="G1124" s="12">
        <f t="shared" si="157"/>
        <v>14.466316942222221</v>
      </c>
      <c r="H1124" s="12">
        <f t="shared" si="158"/>
        <v>14.466316942222221</v>
      </c>
      <c r="I1124" s="1" t="str">
        <f t="shared" si="159"/>
        <v>No</v>
      </c>
      <c r="J1124" s="1" t="str">
        <f t="shared" si="160"/>
        <v>Si</v>
      </c>
      <c r="K1124" s="1" t="str">
        <f t="shared" si="161"/>
        <v/>
      </c>
    </row>
    <row r="1125" spans="1:11" x14ac:dyDescent="0.3">
      <c r="A1125" s="1">
        <v>21</v>
      </c>
      <c r="B1125" s="1">
        <v>36</v>
      </c>
      <c r="C1125" s="12">
        <f t="shared" si="153"/>
        <v>-0.30000000000000004</v>
      </c>
      <c r="D1125" s="12">
        <f t="shared" si="154"/>
        <v>0.82500000000000018</v>
      </c>
      <c r="E1125" s="12">
        <f t="shared" si="155"/>
        <v>11.042996138666666</v>
      </c>
      <c r="F1125" s="12">
        <f t="shared" si="156"/>
        <v>11.042996138666666</v>
      </c>
      <c r="G1125" s="12">
        <f t="shared" si="157"/>
        <v>14.462812586666665</v>
      </c>
      <c r="H1125" s="12">
        <f t="shared" si="158"/>
        <v>14.462812586666665</v>
      </c>
      <c r="I1125" s="1" t="str">
        <f t="shared" si="159"/>
        <v>No</v>
      </c>
      <c r="J1125" s="1" t="str">
        <f t="shared" si="160"/>
        <v>Si</v>
      </c>
      <c r="K1125" s="1" t="str">
        <f t="shared" si="161"/>
        <v/>
      </c>
    </row>
    <row r="1126" spans="1:11" x14ac:dyDescent="0.3">
      <c r="A1126" s="1">
        <v>21</v>
      </c>
      <c r="B1126" s="1">
        <v>37</v>
      </c>
      <c r="C1126" s="12">
        <f t="shared" si="153"/>
        <v>-0.30000000000000004</v>
      </c>
      <c r="D1126" s="12">
        <f t="shared" si="154"/>
        <v>0.89999999999999991</v>
      </c>
      <c r="E1126" s="12">
        <f t="shared" si="155"/>
        <v>11.040508046222222</v>
      </c>
      <c r="F1126" s="12">
        <f t="shared" si="156"/>
        <v>11.040508046222222</v>
      </c>
      <c r="G1126" s="12">
        <f t="shared" si="157"/>
        <v>14.459308231111109</v>
      </c>
      <c r="H1126" s="12">
        <f t="shared" si="158"/>
        <v>14.459308231111109</v>
      </c>
      <c r="I1126" s="1" t="str">
        <f t="shared" si="159"/>
        <v>No</v>
      </c>
      <c r="J1126" s="1" t="str">
        <f t="shared" si="160"/>
        <v>Si</v>
      </c>
      <c r="K1126" s="1" t="str">
        <f t="shared" si="161"/>
        <v/>
      </c>
    </row>
    <row r="1127" spans="1:11" x14ac:dyDescent="0.3">
      <c r="A1127" s="1">
        <v>21</v>
      </c>
      <c r="B1127" s="1">
        <v>38</v>
      </c>
      <c r="C1127" s="12">
        <f t="shared" si="153"/>
        <v>-0.30000000000000004</v>
      </c>
      <c r="D1127" s="12">
        <f t="shared" si="154"/>
        <v>0.97500000000000009</v>
      </c>
      <c r="E1127" s="12">
        <f t="shared" si="155"/>
        <v>11.038019953777777</v>
      </c>
      <c r="F1127" s="12">
        <f t="shared" si="156"/>
        <v>11.038019953777777</v>
      </c>
      <c r="G1127" s="12">
        <f t="shared" si="157"/>
        <v>14.455803875555555</v>
      </c>
      <c r="H1127" s="12">
        <f t="shared" si="158"/>
        <v>14.455803875555555</v>
      </c>
      <c r="I1127" s="1" t="str">
        <f t="shared" si="159"/>
        <v>No</v>
      </c>
      <c r="J1127" s="1" t="str">
        <f t="shared" si="160"/>
        <v>Si</v>
      </c>
      <c r="K1127" s="1" t="str">
        <f t="shared" si="161"/>
        <v/>
      </c>
    </row>
    <row r="1128" spans="1:11" x14ac:dyDescent="0.3">
      <c r="A1128" s="1">
        <v>21</v>
      </c>
      <c r="B1128" s="1">
        <v>39</v>
      </c>
      <c r="C1128" s="12">
        <f t="shared" si="153"/>
        <v>-0.30000000000000004</v>
      </c>
      <c r="D1128" s="12">
        <f t="shared" si="154"/>
        <v>1.0499999999999998</v>
      </c>
      <c r="E1128" s="12">
        <f t="shared" si="155"/>
        <v>11.035531861333332</v>
      </c>
      <c r="F1128" s="12">
        <f t="shared" si="156"/>
        <v>11.035531861333332</v>
      </c>
      <c r="G1128" s="12">
        <f t="shared" si="157"/>
        <v>14.452299519999999</v>
      </c>
      <c r="H1128" s="12">
        <f t="shared" si="158"/>
        <v>14.452299519999999</v>
      </c>
      <c r="I1128" s="1" t="str">
        <f t="shared" si="159"/>
        <v>No</v>
      </c>
      <c r="J1128" s="1" t="str">
        <f t="shared" si="160"/>
        <v>Si</v>
      </c>
      <c r="K1128" s="1" t="str">
        <f t="shared" si="161"/>
        <v/>
      </c>
    </row>
    <row r="1129" spans="1:11" x14ac:dyDescent="0.3">
      <c r="A1129" s="1">
        <v>21</v>
      </c>
      <c r="B1129" s="1">
        <v>40</v>
      </c>
      <c r="C1129" s="12">
        <f t="shared" si="153"/>
        <v>-0.30000000000000004</v>
      </c>
      <c r="D1129" s="12">
        <f t="shared" si="154"/>
        <v>1.125</v>
      </c>
      <c r="E1129" s="12">
        <f t="shared" si="155"/>
        <v>11.033043768888888</v>
      </c>
      <c r="F1129" s="12">
        <f t="shared" si="156"/>
        <v>11.033043768888888</v>
      </c>
      <c r="G1129" s="12">
        <f t="shared" si="157"/>
        <v>14.448795164444443</v>
      </c>
      <c r="H1129" s="12">
        <f t="shared" si="158"/>
        <v>14.448795164444443</v>
      </c>
      <c r="I1129" s="1" t="str">
        <f t="shared" si="159"/>
        <v>No</v>
      </c>
      <c r="J1129" s="1" t="str">
        <f t="shared" si="160"/>
        <v>Si</v>
      </c>
      <c r="K1129" s="1" t="str">
        <f t="shared" si="161"/>
        <v/>
      </c>
    </row>
    <row r="1130" spans="1:11" x14ac:dyDescent="0.3">
      <c r="A1130" s="1">
        <v>21</v>
      </c>
      <c r="B1130" s="1">
        <v>41</v>
      </c>
      <c r="C1130" s="12">
        <f t="shared" si="153"/>
        <v>-0.30000000000000004</v>
      </c>
      <c r="D1130" s="12">
        <f t="shared" si="154"/>
        <v>1.2000000000000002</v>
      </c>
      <c r="E1130" s="12">
        <f t="shared" si="155"/>
        <v>11.030555676444443</v>
      </c>
      <c r="F1130" s="12">
        <f t="shared" si="156"/>
        <v>11.030555676444443</v>
      </c>
      <c r="G1130" s="12">
        <f t="shared" si="157"/>
        <v>14.445290808888888</v>
      </c>
      <c r="H1130" s="12">
        <f t="shared" si="158"/>
        <v>14.445290808888888</v>
      </c>
      <c r="I1130" s="1" t="str">
        <f t="shared" si="159"/>
        <v>No</v>
      </c>
      <c r="J1130" s="1" t="str">
        <f t="shared" si="160"/>
        <v>Si</v>
      </c>
      <c r="K1130" s="1" t="str">
        <f t="shared" si="161"/>
        <v/>
      </c>
    </row>
    <row r="1131" spans="1:11" x14ac:dyDescent="0.3">
      <c r="A1131" s="1">
        <v>21</v>
      </c>
      <c r="B1131" s="1">
        <v>42</v>
      </c>
      <c r="C1131" s="12">
        <f t="shared" si="153"/>
        <v>-0.30000000000000004</v>
      </c>
      <c r="D1131" s="12">
        <f t="shared" si="154"/>
        <v>1.2749999999999999</v>
      </c>
      <c r="E1131" s="12">
        <f t="shared" si="155"/>
        <v>11.028067583999999</v>
      </c>
      <c r="F1131" s="12">
        <f t="shared" si="156"/>
        <v>11.028067583999999</v>
      </c>
      <c r="G1131" s="12">
        <f t="shared" si="157"/>
        <v>14.441786453333332</v>
      </c>
      <c r="H1131" s="12">
        <f t="shared" si="158"/>
        <v>14.441786453333332</v>
      </c>
      <c r="I1131" s="1" t="str">
        <f t="shared" si="159"/>
        <v>No</v>
      </c>
      <c r="J1131" s="1" t="str">
        <f t="shared" si="160"/>
        <v>Si</v>
      </c>
      <c r="K1131" s="1" t="str">
        <f t="shared" si="161"/>
        <v/>
      </c>
    </row>
    <row r="1132" spans="1:11" x14ac:dyDescent="0.3">
      <c r="A1132" s="1">
        <v>21</v>
      </c>
      <c r="B1132" s="1">
        <v>43</v>
      </c>
      <c r="C1132" s="12">
        <f t="shared" si="153"/>
        <v>-0.30000000000000004</v>
      </c>
      <c r="D1132" s="12">
        <f t="shared" si="154"/>
        <v>1.35</v>
      </c>
      <c r="E1132" s="12">
        <f t="shared" si="155"/>
        <v>11.025579491555554</v>
      </c>
      <c r="F1132" s="12">
        <f t="shared" si="156"/>
        <v>11.025579491555554</v>
      </c>
      <c r="G1132" s="12">
        <f t="shared" si="157"/>
        <v>14.438282097777776</v>
      </c>
      <c r="H1132" s="12">
        <f t="shared" si="158"/>
        <v>14.438282097777776</v>
      </c>
      <c r="I1132" s="1" t="str">
        <f t="shared" si="159"/>
        <v>No</v>
      </c>
      <c r="J1132" s="1" t="str">
        <f t="shared" si="160"/>
        <v>Si</v>
      </c>
      <c r="K1132" s="1" t="str">
        <f t="shared" si="161"/>
        <v/>
      </c>
    </row>
    <row r="1133" spans="1:11" x14ac:dyDescent="0.3">
      <c r="A1133" s="1">
        <v>21</v>
      </c>
      <c r="B1133" s="1">
        <v>44</v>
      </c>
      <c r="C1133" s="12">
        <f t="shared" si="153"/>
        <v>-0.30000000000000004</v>
      </c>
      <c r="D1133" s="12">
        <f t="shared" si="154"/>
        <v>1.4249999999999998</v>
      </c>
      <c r="E1133" s="12">
        <f t="shared" si="155"/>
        <v>11.023091399111111</v>
      </c>
      <c r="F1133" s="12">
        <f t="shared" si="156"/>
        <v>11.023091399111111</v>
      </c>
      <c r="G1133" s="12">
        <f t="shared" si="157"/>
        <v>14.43477774222222</v>
      </c>
      <c r="H1133" s="12">
        <f t="shared" si="158"/>
        <v>14.43477774222222</v>
      </c>
      <c r="I1133" s="1" t="str">
        <f t="shared" si="159"/>
        <v>No</v>
      </c>
      <c r="J1133" s="1" t="str">
        <f t="shared" si="160"/>
        <v>Si</v>
      </c>
      <c r="K1133" s="1" t="str">
        <f t="shared" si="161"/>
        <v/>
      </c>
    </row>
    <row r="1134" spans="1:11" x14ac:dyDescent="0.3">
      <c r="A1134" s="1">
        <v>21</v>
      </c>
      <c r="B1134" s="1">
        <v>45</v>
      </c>
      <c r="C1134" s="12">
        <f t="shared" si="153"/>
        <v>-0.30000000000000004</v>
      </c>
      <c r="D1134" s="12">
        <f t="shared" si="154"/>
        <v>1.5</v>
      </c>
      <c r="E1134" s="12">
        <f t="shared" si="155"/>
        <v>11.020603306666667</v>
      </c>
      <c r="F1134" s="12">
        <f t="shared" si="156"/>
        <v>11.020603306666667</v>
      </c>
      <c r="G1134" s="12">
        <f t="shared" si="157"/>
        <v>14.431273386666666</v>
      </c>
      <c r="H1134" s="12">
        <f t="shared" si="158"/>
        <v>14.431273386666666</v>
      </c>
      <c r="I1134" s="1" t="str">
        <f t="shared" si="159"/>
        <v>No</v>
      </c>
      <c r="J1134" s="1" t="str">
        <f t="shared" si="160"/>
        <v>Si</v>
      </c>
      <c r="K1134" s="1" t="str">
        <f t="shared" si="161"/>
        <v/>
      </c>
    </row>
    <row r="1135" spans="1:11" x14ac:dyDescent="0.3">
      <c r="A1135" s="1">
        <v>21</v>
      </c>
      <c r="B1135" s="1">
        <v>46</v>
      </c>
      <c r="C1135" s="12">
        <f t="shared" si="153"/>
        <v>-0.30000000000000004</v>
      </c>
      <c r="D1135" s="12">
        <f t="shared" si="154"/>
        <v>1.5750000000000002</v>
      </c>
      <c r="E1135" s="12">
        <f t="shared" si="155"/>
        <v>11.018115214222222</v>
      </c>
      <c r="F1135" s="12">
        <f t="shared" si="156"/>
        <v>11.018115214222222</v>
      </c>
      <c r="G1135" s="12">
        <f t="shared" si="157"/>
        <v>14.42776903111111</v>
      </c>
      <c r="H1135" s="12">
        <f t="shared" si="158"/>
        <v>14.42776903111111</v>
      </c>
      <c r="I1135" s="1" t="str">
        <f t="shared" si="159"/>
        <v>No</v>
      </c>
      <c r="J1135" s="1" t="str">
        <f t="shared" si="160"/>
        <v>Si</v>
      </c>
      <c r="K1135" s="1" t="str">
        <f t="shared" si="161"/>
        <v/>
      </c>
    </row>
    <row r="1136" spans="1:11" x14ac:dyDescent="0.3">
      <c r="A1136" s="1">
        <v>21</v>
      </c>
      <c r="B1136" s="1">
        <v>47</v>
      </c>
      <c r="C1136" s="12">
        <f t="shared" si="153"/>
        <v>-0.30000000000000004</v>
      </c>
      <c r="D1136" s="12">
        <f t="shared" si="154"/>
        <v>1.65</v>
      </c>
      <c r="E1136" s="12">
        <f t="shared" si="155"/>
        <v>11.015627121777777</v>
      </c>
      <c r="F1136" s="12">
        <f t="shared" si="156"/>
        <v>11.015627121777777</v>
      </c>
      <c r="G1136" s="12">
        <f t="shared" si="157"/>
        <v>14.424264675555554</v>
      </c>
      <c r="H1136" s="12">
        <f t="shared" si="158"/>
        <v>14.424264675555554</v>
      </c>
      <c r="I1136" s="1" t="str">
        <f t="shared" si="159"/>
        <v>No</v>
      </c>
      <c r="J1136" s="1" t="str">
        <f t="shared" si="160"/>
        <v>Si</v>
      </c>
      <c r="K1136" s="1" t="str">
        <f t="shared" si="161"/>
        <v/>
      </c>
    </row>
    <row r="1137" spans="1:11" x14ac:dyDescent="0.3">
      <c r="A1137" s="1">
        <v>21</v>
      </c>
      <c r="B1137" s="1">
        <v>48</v>
      </c>
      <c r="C1137" s="12">
        <f t="shared" si="153"/>
        <v>-0.30000000000000004</v>
      </c>
      <c r="D1137" s="12">
        <f t="shared" si="154"/>
        <v>1.7250000000000001</v>
      </c>
      <c r="E1137" s="12">
        <f t="shared" si="155"/>
        <v>11.013139029333333</v>
      </c>
      <c r="F1137" s="12">
        <f t="shared" si="156"/>
        <v>11.013139029333333</v>
      </c>
      <c r="G1137" s="12">
        <f t="shared" si="157"/>
        <v>14.420760319999999</v>
      </c>
      <c r="H1137" s="12">
        <f t="shared" si="158"/>
        <v>14.420760319999999</v>
      </c>
      <c r="I1137" s="1" t="str">
        <f t="shared" si="159"/>
        <v>No</v>
      </c>
      <c r="J1137" s="1" t="str">
        <f t="shared" si="160"/>
        <v>Si</v>
      </c>
      <c r="K1137" s="1" t="str">
        <f t="shared" si="161"/>
        <v/>
      </c>
    </row>
    <row r="1138" spans="1:11" x14ac:dyDescent="0.3">
      <c r="A1138" s="1">
        <v>21</v>
      </c>
      <c r="B1138" s="1">
        <v>49</v>
      </c>
      <c r="C1138" s="12">
        <f t="shared" si="153"/>
        <v>-0.30000000000000004</v>
      </c>
      <c r="D1138" s="12">
        <f t="shared" si="154"/>
        <v>1.7999999999999998</v>
      </c>
      <c r="E1138" s="12">
        <f t="shared" si="155"/>
        <v>11.010650936888888</v>
      </c>
      <c r="F1138" s="12">
        <f t="shared" si="156"/>
        <v>11.010650936888888</v>
      </c>
      <c r="G1138" s="12">
        <f t="shared" si="157"/>
        <v>14.417255964444443</v>
      </c>
      <c r="H1138" s="12">
        <f t="shared" si="158"/>
        <v>14.417255964444443</v>
      </c>
      <c r="I1138" s="1" t="str">
        <f t="shared" si="159"/>
        <v>No</v>
      </c>
      <c r="J1138" s="1" t="str">
        <f t="shared" si="160"/>
        <v>Si</v>
      </c>
      <c r="K1138" s="1" t="str">
        <f t="shared" si="161"/>
        <v/>
      </c>
    </row>
    <row r="1139" spans="1:11" x14ac:dyDescent="0.3">
      <c r="A1139" s="1">
        <v>21</v>
      </c>
      <c r="B1139" s="1">
        <v>50</v>
      </c>
      <c r="C1139" s="12">
        <f t="shared" si="153"/>
        <v>-0.30000000000000004</v>
      </c>
      <c r="D1139" s="12">
        <f t="shared" si="154"/>
        <v>1.875</v>
      </c>
      <c r="E1139" s="12">
        <f t="shared" si="155"/>
        <v>11.008162844444444</v>
      </c>
      <c r="F1139" s="12">
        <f t="shared" si="156"/>
        <v>11.008162844444444</v>
      </c>
      <c r="G1139" s="12">
        <f t="shared" si="157"/>
        <v>14.413751608888887</v>
      </c>
      <c r="H1139" s="12">
        <f t="shared" si="158"/>
        <v>14.413751608888887</v>
      </c>
      <c r="I1139" s="1" t="str">
        <f t="shared" si="159"/>
        <v>No</v>
      </c>
      <c r="J1139" s="1" t="str">
        <f t="shared" si="160"/>
        <v>Si</v>
      </c>
      <c r="K1139" s="1" t="str">
        <f t="shared" si="161"/>
        <v/>
      </c>
    </row>
    <row r="1140" spans="1:11" x14ac:dyDescent="0.3">
      <c r="A1140" s="1">
        <v>22</v>
      </c>
      <c r="B1140" s="1">
        <v>0</v>
      </c>
      <c r="C1140" s="12">
        <f t="shared" si="153"/>
        <v>-0.22500000000000009</v>
      </c>
      <c r="D1140" s="12">
        <f t="shared" si="154"/>
        <v>-1.875</v>
      </c>
      <c r="E1140" s="12">
        <f t="shared" si="155"/>
        <v>11.13326151111111</v>
      </c>
      <c r="F1140" s="12">
        <f t="shared" si="156"/>
        <v>11.13326151111111</v>
      </c>
      <c r="G1140" s="12">
        <f t="shared" si="157"/>
        <v>14.59000704</v>
      </c>
      <c r="H1140" s="12">
        <f t="shared" si="158"/>
        <v>14.59000704</v>
      </c>
      <c r="I1140" s="1" t="str">
        <f t="shared" si="159"/>
        <v>No</v>
      </c>
      <c r="J1140" s="1" t="str">
        <f t="shared" si="160"/>
        <v>Si</v>
      </c>
      <c r="K1140" s="1" t="str">
        <f t="shared" si="161"/>
        <v/>
      </c>
    </row>
    <row r="1141" spans="1:11" x14ac:dyDescent="0.3">
      <c r="A1141" s="1">
        <v>22</v>
      </c>
      <c r="B1141" s="1">
        <v>1</v>
      </c>
      <c r="C1141" s="12">
        <f t="shared" si="153"/>
        <v>-0.22500000000000009</v>
      </c>
      <c r="D1141" s="12">
        <f t="shared" si="154"/>
        <v>-1.8</v>
      </c>
      <c r="E1141" s="12">
        <f t="shared" si="155"/>
        <v>11.130773418666665</v>
      </c>
      <c r="F1141" s="12">
        <f t="shared" si="156"/>
        <v>11.130773418666665</v>
      </c>
      <c r="G1141" s="12">
        <f t="shared" si="157"/>
        <v>14.586502684444444</v>
      </c>
      <c r="H1141" s="12">
        <f t="shared" si="158"/>
        <v>14.586502684444444</v>
      </c>
      <c r="I1141" s="1" t="str">
        <f t="shared" si="159"/>
        <v>No</v>
      </c>
      <c r="J1141" s="1" t="str">
        <f t="shared" si="160"/>
        <v>Si</v>
      </c>
      <c r="K1141" s="1" t="str">
        <f t="shared" si="161"/>
        <v/>
      </c>
    </row>
    <row r="1142" spans="1:11" x14ac:dyDescent="0.3">
      <c r="A1142" s="1">
        <v>22</v>
      </c>
      <c r="B1142" s="1">
        <v>2</v>
      </c>
      <c r="C1142" s="12">
        <f t="shared" si="153"/>
        <v>-0.22500000000000009</v>
      </c>
      <c r="D1142" s="12">
        <f t="shared" si="154"/>
        <v>-1.7250000000000001</v>
      </c>
      <c r="E1142" s="12">
        <f t="shared" si="155"/>
        <v>11.128285326222221</v>
      </c>
      <c r="F1142" s="12">
        <f t="shared" si="156"/>
        <v>11.128285326222221</v>
      </c>
      <c r="G1142" s="12">
        <f t="shared" si="157"/>
        <v>14.582998328888888</v>
      </c>
      <c r="H1142" s="12">
        <f t="shared" si="158"/>
        <v>14.582998328888888</v>
      </c>
      <c r="I1142" s="1" t="str">
        <f t="shared" si="159"/>
        <v>No</v>
      </c>
      <c r="J1142" s="1" t="str">
        <f t="shared" si="160"/>
        <v>Si</v>
      </c>
      <c r="K1142" s="1" t="str">
        <f t="shared" si="161"/>
        <v/>
      </c>
    </row>
    <row r="1143" spans="1:11" x14ac:dyDescent="0.3">
      <c r="A1143" s="1">
        <v>22</v>
      </c>
      <c r="B1143" s="1">
        <v>3</v>
      </c>
      <c r="C1143" s="12">
        <f t="shared" si="153"/>
        <v>-0.22500000000000009</v>
      </c>
      <c r="D1143" s="12">
        <f t="shared" si="154"/>
        <v>-1.65</v>
      </c>
      <c r="E1143" s="12">
        <f t="shared" si="155"/>
        <v>11.125797233777776</v>
      </c>
      <c r="F1143" s="12">
        <f t="shared" si="156"/>
        <v>11.125797233777776</v>
      </c>
      <c r="G1143" s="12">
        <f t="shared" si="157"/>
        <v>14.579493973333333</v>
      </c>
      <c r="H1143" s="12">
        <f t="shared" si="158"/>
        <v>14.579493973333333</v>
      </c>
      <c r="I1143" s="1" t="str">
        <f t="shared" si="159"/>
        <v>No</v>
      </c>
      <c r="J1143" s="1" t="str">
        <f t="shared" si="160"/>
        <v>Si</v>
      </c>
      <c r="K1143" s="1" t="str">
        <f t="shared" si="161"/>
        <v/>
      </c>
    </row>
    <row r="1144" spans="1:11" x14ac:dyDescent="0.3">
      <c r="A1144" s="1">
        <v>22</v>
      </c>
      <c r="B1144" s="1">
        <v>4</v>
      </c>
      <c r="C1144" s="12">
        <f t="shared" si="153"/>
        <v>-0.22500000000000009</v>
      </c>
      <c r="D1144" s="12">
        <f t="shared" si="154"/>
        <v>-1.575</v>
      </c>
      <c r="E1144" s="12">
        <f t="shared" si="155"/>
        <v>11.123309141333332</v>
      </c>
      <c r="F1144" s="12">
        <f t="shared" si="156"/>
        <v>11.123309141333332</v>
      </c>
      <c r="G1144" s="12">
        <f t="shared" si="157"/>
        <v>14.575989617777777</v>
      </c>
      <c r="H1144" s="12">
        <f t="shared" si="158"/>
        <v>14.575989617777777</v>
      </c>
      <c r="I1144" s="1" t="str">
        <f t="shared" si="159"/>
        <v>No</v>
      </c>
      <c r="J1144" s="1" t="str">
        <f t="shared" si="160"/>
        <v>Si</v>
      </c>
      <c r="K1144" s="1" t="str">
        <f t="shared" si="161"/>
        <v/>
      </c>
    </row>
    <row r="1145" spans="1:11" x14ac:dyDescent="0.3">
      <c r="A1145" s="1">
        <v>22</v>
      </c>
      <c r="B1145" s="1">
        <v>5</v>
      </c>
      <c r="C1145" s="12">
        <f t="shared" si="153"/>
        <v>-0.22500000000000009</v>
      </c>
      <c r="D1145" s="12">
        <f t="shared" si="154"/>
        <v>-1.5</v>
      </c>
      <c r="E1145" s="12">
        <f t="shared" si="155"/>
        <v>11.120821048888887</v>
      </c>
      <c r="F1145" s="12">
        <f t="shared" si="156"/>
        <v>11.120821048888887</v>
      </c>
      <c r="G1145" s="12">
        <f t="shared" si="157"/>
        <v>14.572485262222221</v>
      </c>
      <c r="H1145" s="12">
        <f t="shared" si="158"/>
        <v>14.572485262222221</v>
      </c>
      <c r="I1145" s="1" t="str">
        <f t="shared" si="159"/>
        <v>No</v>
      </c>
      <c r="J1145" s="1" t="str">
        <f t="shared" si="160"/>
        <v>Si</v>
      </c>
      <c r="K1145" s="1" t="str">
        <f t="shared" si="161"/>
        <v/>
      </c>
    </row>
    <row r="1146" spans="1:11" x14ac:dyDescent="0.3">
      <c r="A1146" s="1">
        <v>22</v>
      </c>
      <c r="B1146" s="1">
        <v>6</v>
      </c>
      <c r="C1146" s="12">
        <f t="shared" si="153"/>
        <v>-0.22500000000000009</v>
      </c>
      <c r="D1146" s="12">
        <f t="shared" si="154"/>
        <v>-1.425</v>
      </c>
      <c r="E1146" s="12">
        <f t="shared" si="155"/>
        <v>11.118332956444442</v>
      </c>
      <c r="F1146" s="12">
        <f t="shared" si="156"/>
        <v>11.118332956444442</v>
      </c>
      <c r="G1146" s="12">
        <f t="shared" si="157"/>
        <v>14.568980906666667</v>
      </c>
      <c r="H1146" s="12">
        <f t="shared" si="158"/>
        <v>14.568980906666667</v>
      </c>
      <c r="I1146" s="1" t="str">
        <f t="shared" si="159"/>
        <v>No</v>
      </c>
      <c r="J1146" s="1" t="str">
        <f t="shared" si="160"/>
        <v>Si</v>
      </c>
      <c r="K1146" s="1" t="str">
        <f t="shared" si="161"/>
        <v/>
      </c>
    </row>
    <row r="1147" spans="1:11" x14ac:dyDescent="0.3">
      <c r="A1147" s="1">
        <v>22</v>
      </c>
      <c r="B1147" s="1">
        <v>7</v>
      </c>
      <c r="C1147" s="12">
        <f t="shared" si="153"/>
        <v>-0.22500000000000009</v>
      </c>
      <c r="D1147" s="12">
        <f t="shared" si="154"/>
        <v>-1.35</v>
      </c>
      <c r="E1147" s="12">
        <f t="shared" si="155"/>
        <v>11.115844864</v>
      </c>
      <c r="F1147" s="12">
        <f t="shared" si="156"/>
        <v>11.115844864</v>
      </c>
      <c r="G1147" s="12">
        <f t="shared" si="157"/>
        <v>14.565476551111111</v>
      </c>
      <c r="H1147" s="12">
        <f t="shared" si="158"/>
        <v>14.565476551111111</v>
      </c>
      <c r="I1147" s="1" t="str">
        <f t="shared" si="159"/>
        <v>No</v>
      </c>
      <c r="J1147" s="1" t="str">
        <f t="shared" si="160"/>
        <v>Si</v>
      </c>
      <c r="K1147" s="1" t="str">
        <f t="shared" si="161"/>
        <v/>
      </c>
    </row>
    <row r="1148" spans="1:11" x14ac:dyDescent="0.3">
      <c r="A1148" s="1">
        <v>22</v>
      </c>
      <c r="B1148" s="1">
        <v>8</v>
      </c>
      <c r="C1148" s="12">
        <f t="shared" si="153"/>
        <v>-0.22500000000000009</v>
      </c>
      <c r="D1148" s="12">
        <f t="shared" si="154"/>
        <v>-1.2749999999999999</v>
      </c>
      <c r="E1148" s="12">
        <f t="shared" si="155"/>
        <v>11.113356771555555</v>
      </c>
      <c r="F1148" s="12">
        <f t="shared" si="156"/>
        <v>11.113356771555555</v>
      </c>
      <c r="G1148" s="12">
        <f t="shared" si="157"/>
        <v>14.561972195555555</v>
      </c>
      <c r="H1148" s="12">
        <f t="shared" si="158"/>
        <v>14.561972195555555</v>
      </c>
      <c r="I1148" s="1" t="str">
        <f t="shared" si="159"/>
        <v>No</v>
      </c>
      <c r="J1148" s="1" t="str">
        <f t="shared" si="160"/>
        <v>Si</v>
      </c>
      <c r="K1148" s="1" t="str">
        <f t="shared" si="161"/>
        <v/>
      </c>
    </row>
    <row r="1149" spans="1:11" x14ac:dyDescent="0.3">
      <c r="A1149" s="1">
        <v>22</v>
      </c>
      <c r="B1149" s="1">
        <v>9</v>
      </c>
      <c r="C1149" s="12">
        <f t="shared" si="153"/>
        <v>-0.22500000000000009</v>
      </c>
      <c r="D1149" s="12">
        <f t="shared" si="154"/>
        <v>-1.2</v>
      </c>
      <c r="E1149" s="12">
        <f t="shared" si="155"/>
        <v>11.11086867911111</v>
      </c>
      <c r="F1149" s="12">
        <f t="shared" si="156"/>
        <v>11.11086867911111</v>
      </c>
      <c r="G1149" s="12">
        <f t="shared" si="157"/>
        <v>14.558467839999999</v>
      </c>
      <c r="H1149" s="12">
        <f t="shared" si="158"/>
        <v>14.558467839999999</v>
      </c>
      <c r="I1149" s="1" t="str">
        <f t="shared" si="159"/>
        <v>No</v>
      </c>
      <c r="J1149" s="1" t="str">
        <f t="shared" si="160"/>
        <v>Si</v>
      </c>
      <c r="K1149" s="1" t="str">
        <f t="shared" si="161"/>
        <v/>
      </c>
    </row>
    <row r="1150" spans="1:11" x14ac:dyDescent="0.3">
      <c r="A1150" s="1">
        <v>22</v>
      </c>
      <c r="B1150" s="1">
        <v>10</v>
      </c>
      <c r="C1150" s="12">
        <f t="shared" si="153"/>
        <v>-0.22500000000000009</v>
      </c>
      <c r="D1150" s="12">
        <f t="shared" si="154"/>
        <v>-1.125</v>
      </c>
      <c r="E1150" s="12">
        <f t="shared" si="155"/>
        <v>11.108380586666666</v>
      </c>
      <c r="F1150" s="12">
        <f t="shared" si="156"/>
        <v>11.108380586666666</v>
      </c>
      <c r="G1150" s="12">
        <f t="shared" si="157"/>
        <v>14.554963484444444</v>
      </c>
      <c r="H1150" s="12">
        <f t="shared" si="158"/>
        <v>14.554963484444444</v>
      </c>
      <c r="I1150" s="1" t="str">
        <f t="shared" si="159"/>
        <v>No</v>
      </c>
      <c r="J1150" s="1" t="str">
        <f t="shared" si="160"/>
        <v>Si</v>
      </c>
      <c r="K1150" s="1" t="str">
        <f t="shared" si="161"/>
        <v/>
      </c>
    </row>
    <row r="1151" spans="1:11" x14ac:dyDescent="0.3">
      <c r="A1151" s="1">
        <v>22</v>
      </c>
      <c r="B1151" s="1">
        <v>11</v>
      </c>
      <c r="C1151" s="12">
        <f t="shared" si="153"/>
        <v>-0.22500000000000009</v>
      </c>
      <c r="D1151" s="12">
        <f t="shared" si="154"/>
        <v>-1.05</v>
      </c>
      <c r="E1151" s="12">
        <f t="shared" si="155"/>
        <v>11.105892494222221</v>
      </c>
      <c r="F1151" s="12">
        <f t="shared" si="156"/>
        <v>11.105892494222221</v>
      </c>
      <c r="G1151" s="12">
        <f t="shared" si="157"/>
        <v>14.551459128888888</v>
      </c>
      <c r="H1151" s="12">
        <f t="shared" si="158"/>
        <v>14.551459128888888</v>
      </c>
      <c r="I1151" s="1" t="str">
        <f t="shared" si="159"/>
        <v>No</v>
      </c>
      <c r="J1151" s="1" t="str">
        <f t="shared" si="160"/>
        <v>Si</v>
      </c>
      <c r="K1151" s="1" t="str">
        <f t="shared" si="161"/>
        <v/>
      </c>
    </row>
    <row r="1152" spans="1:11" x14ac:dyDescent="0.3">
      <c r="A1152" s="1">
        <v>22</v>
      </c>
      <c r="B1152" s="1">
        <v>12</v>
      </c>
      <c r="C1152" s="12">
        <f t="shared" si="153"/>
        <v>-0.22500000000000009</v>
      </c>
      <c r="D1152" s="12">
        <f t="shared" si="154"/>
        <v>-0.97499999999999998</v>
      </c>
      <c r="E1152" s="12">
        <f t="shared" si="155"/>
        <v>11.103404401777777</v>
      </c>
      <c r="F1152" s="12">
        <f t="shared" si="156"/>
        <v>11.103404401777777</v>
      </c>
      <c r="G1152" s="12">
        <f t="shared" si="157"/>
        <v>14.547954773333332</v>
      </c>
      <c r="H1152" s="12">
        <f t="shared" si="158"/>
        <v>14.547954773333332</v>
      </c>
      <c r="I1152" s="1" t="str">
        <f t="shared" si="159"/>
        <v>No</v>
      </c>
      <c r="J1152" s="1" t="str">
        <f t="shared" si="160"/>
        <v>Si</v>
      </c>
      <c r="K1152" s="1" t="str">
        <f t="shared" si="161"/>
        <v/>
      </c>
    </row>
    <row r="1153" spans="1:11" x14ac:dyDescent="0.3">
      <c r="A1153" s="1">
        <v>22</v>
      </c>
      <c r="B1153" s="1">
        <v>13</v>
      </c>
      <c r="C1153" s="12">
        <f t="shared" si="153"/>
        <v>-0.22500000000000009</v>
      </c>
      <c r="D1153" s="12">
        <f t="shared" si="154"/>
        <v>-0.9</v>
      </c>
      <c r="E1153" s="12">
        <f t="shared" si="155"/>
        <v>11.100916309333332</v>
      </c>
      <c r="F1153" s="12">
        <f t="shared" si="156"/>
        <v>11.100916309333332</v>
      </c>
      <c r="G1153" s="12">
        <f t="shared" si="157"/>
        <v>14.544450417777778</v>
      </c>
      <c r="H1153" s="12">
        <f t="shared" si="158"/>
        <v>14.544450417777778</v>
      </c>
      <c r="I1153" s="1" t="str">
        <f t="shared" si="159"/>
        <v>No</v>
      </c>
      <c r="J1153" s="1" t="str">
        <f t="shared" si="160"/>
        <v>Si</v>
      </c>
      <c r="K1153" s="1" t="str">
        <f t="shared" si="161"/>
        <v/>
      </c>
    </row>
    <row r="1154" spans="1:11" x14ac:dyDescent="0.3">
      <c r="A1154" s="1">
        <v>22</v>
      </c>
      <c r="B1154" s="1">
        <v>14</v>
      </c>
      <c r="C1154" s="12">
        <f t="shared" si="153"/>
        <v>-0.22500000000000009</v>
      </c>
      <c r="D1154" s="12">
        <f t="shared" si="154"/>
        <v>-0.82499999999999996</v>
      </c>
      <c r="E1154" s="12">
        <f t="shared" si="155"/>
        <v>11.098428216888887</v>
      </c>
      <c r="F1154" s="12">
        <f t="shared" si="156"/>
        <v>11.098428216888887</v>
      </c>
      <c r="G1154" s="12">
        <f t="shared" si="157"/>
        <v>14.540946062222222</v>
      </c>
      <c r="H1154" s="12">
        <f t="shared" si="158"/>
        <v>14.540946062222222</v>
      </c>
      <c r="I1154" s="1" t="str">
        <f t="shared" si="159"/>
        <v>No</v>
      </c>
      <c r="J1154" s="1" t="str">
        <f t="shared" si="160"/>
        <v>Si</v>
      </c>
      <c r="K1154" s="1" t="str">
        <f t="shared" si="161"/>
        <v/>
      </c>
    </row>
    <row r="1155" spans="1:11" x14ac:dyDescent="0.3">
      <c r="A1155" s="1">
        <v>22</v>
      </c>
      <c r="B1155" s="1">
        <v>15</v>
      </c>
      <c r="C1155" s="12">
        <f t="shared" si="153"/>
        <v>-0.22500000000000009</v>
      </c>
      <c r="D1155" s="12">
        <f t="shared" si="154"/>
        <v>-0.75</v>
      </c>
      <c r="E1155" s="12">
        <f t="shared" si="155"/>
        <v>11.095940124444443</v>
      </c>
      <c r="F1155" s="12">
        <f t="shared" si="156"/>
        <v>11.095940124444443</v>
      </c>
      <c r="G1155" s="12">
        <f t="shared" si="157"/>
        <v>14.537441706666666</v>
      </c>
      <c r="H1155" s="12">
        <f t="shared" si="158"/>
        <v>14.537441706666666</v>
      </c>
      <c r="I1155" s="1" t="str">
        <f t="shared" si="159"/>
        <v>No</v>
      </c>
      <c r="J1155" s="1" t="str">
        <f t="shared" si="160"/>
        <v>Si</v>
      </c>
      <c r="K1155" s="1" t="str">
        <f t="shared" si="161"/>
        <v/>
      </c>
    </row>
    <row r="1156" spans="1:11" x14ac:dyDescent="0.3">
      <c r="A1156" s="1">
        <v>22</v>
      </c>
      <c r="B1156" s="1">
        <v>16</v>
      </c>
      <c r="C1156" s="12">
        <f t="shared" si="153"/>
        <v>-0.22500000000000009</v>
      </c>
      <c r="D1156" s="12">
        <f t="shared" si="154"/>
        <v>-0.67500000000000004</v>
      </c>
      <c r="E1156" s="12">
        <f t="shared" si="155"/>
        <v>11.093452031999998</v>
      </c>
      <c r="F1156" s="12">
        <f t="shared" si="156"/>
        <v>11.093452031999998</v>
      </c>
      <c r="G1156" s="12">
        <f t="shared" si="157"/>
        <v>14.53393735111111</v>
      </c>
      <c r="H1156" s="12">
        <f t="shared" si="158"/>
        <v>14.53393735111111</v>
      </c>
      <c r="I1156" s="1" t="str">
        <f t="shared" si="159"/>
        <v>No</v>
      </c>
      <c r="J1156" s="1" t="str">
        <f t="shared" si="160"/>
        <v>Si</v>
      </c>
      <c r="K1156" s="1" t="str">
        <f t="shared" si="161"/>
        <v/>
      </c>
    </row>
    <row r="1157" spans="1:11" x14ac:dyDescent="0.3">
      <c r="A1157" s="1">
        <v>22</v>
      </c>
      <c r="B1157" s="1">
        <v>17</v>
      </c>
      <c r="C1157" s="12">
        <f t="shared" si="153"/>
        <v>-0.22500000000000009</v>
      </c>
      <c r="D1157" s="12">
        <f t="shared" si="154"/>
        <v>-0.60000000000000009</v>
      </c>
      <c r="E1157" s="12">
        <f t="shared" si="155"/>
        <v>11.090963939555554</v>
      </c>
      <c r="F1157" s="12">
        <f t="shared" si="156"/>
        <v>11.090963939555554</v>
      </c>
      <c r="G1157" s="12">
        <f t="shared" si="157"/>
        <v>14.530432995555556</v>
      </c>
      <c r="H1157" s="12">
        <f t="shared" si="158"/>
        <v>14.530432995555556</v>
      </c>
      <c r="I1157" s="1" t="str">
        <f t="shared" si="159"/>
        <v>No</v>
      </c>
      <c r="J1157" s="1" t="str">
        <f t="shared" si="160"/>
        <v>Si</v>
      </c>
      <c r="K1157" s="1" t="str">
        <f t="shared" si="161"/>
        <v/>
      </c>
    </row>
    <row r="1158" spans="1:11" x14ac:dyDescent="0.3">
      <c r="A1158" s="1">
        <v>22</v>
      </c>
      <c r="B1158" s="1">
        <v>18</v>
      </c>
      <c r="C1158" s="12">
        <f t="shared" si="153"/>
        <v>-0.22500000000000009</v>
      </c>
      <c r="D1158" s="12">
        <f t="shared" si="154"/>
        <v>-0.52499999999999991</v>
      </c>
      <c r="E1158" s="12">
        <f t="shared" si="155"/>
        <v>11.088475847111109</v>
      </c>
      <c r="F1158" s="12">
        <f t="shared" si="156"/>
        <v>11.088475847111109</v>
      </c>
      <c r="G1158" s="12">
        <f t="shared" si="157"/>
        <v>14.52692864</v>
      </c>
      <c r="H1158" s="12">
        <f t="shared" si="158"/>
        <v>14.52692864</v>
      </c>
      <c r="I1158" s="1" t="str">
        <f t="shared" si="159"/>
        <v>No</v>
      </c>
      <c r="J1158" s="1" t="str">
        <f t="shared" si="160"/>
        <v>Si</v>
      </c>
      <c r="K1158" s="1" t="str">
        <f t="shared" si="161"/>
        <v/>
      </c>
    </row>
    <row r="1159" spans="1:11" x14ac:dyDescent="0.3">
      <c r="A1159" s="1">
        <v>22</v>
      </c>
      <c r="B1159" s="1">
        <v>19</v>
      </c>
      <c r="C1159" s="12">
        <f t="shared" si="153"/>
        <v>-0.22500000000000009</v>
      </c>
      <c r="D1159" s="12">
        <f t="shared" si="154"/>
        <v>-0.44999999999999996</v>
      </c>
      <c r="E1159" s="12">
        <f t="shared" si="155"/>
        <v>11.085987754666666</v>
      </c>
      <c r="F1159" s="12">
        <f t="shared" si="156"/>
        <v>11.085987754666666</v>
      </c>
      <c r="G1159" s="12">
        <f t="shared" si="157"/>
        <v>14.523424284444443</v>
      </c>
      <c r="H1159" s="12">
        <f t="shared" si="158"/>
        <v>14.523424284444443</v>
      </c>
      <c r="I1159" s="1" t="str">
        <f t="shared" si="159"/>
        <v>No</v>
      </c>
      <c r="J1159" s="1" t="str">
        <f t="shared" si="160"/>
        <v>Si</v>
      </c>
      <c r="K1159" s="1" t="str">
        <f t="shared" si="161"/>
        <v/>
      </c>
    </row>
    <row r="1160" spans="1:11" x14ac:dyDescent="0.3">
      <c r="A1160" s="1">
        <v>22</v>
      </c>
      <c r="B1160" s="1">
        <v>20</v>
      </c>
      <c r="C1160" s="12">
        <f t="shared" si="153"/>
        <v>-0.22500000000000009</v>
      </c>
      <c r="D1160" s="12">
        <f t="shared" si="154"/>
        <v>-0.375</v>
      </c>
      <c r="E1160" s="12">
        <f t="shared" si="155"/>
        <v>11.083499662222222</v>
      </c>
      <c r="F1160" s="12">
        <f t="shared" si="156"/>
        <v>11.083499662222222</v>
      </c>
      <c r="G1160" s="12">
        <f t="shared" si="157"/>
        <v>14.519919928888889</v>
      </c>
      <c r="H1160" s="12">
        <f t="shared" si="158"/>
        <v>14.519919928888889</v>
      </c>
      <c r="I1160" s="1" t="str">
        <f t="shared" si="159"/>
        <v>No</v>
      </c>
      <c r="J1160" s="1" t="str">
        <f t="shared" si="160"/>
        <v>Si</v>
      </c>
      <c r="K1160" s="1" t="str">
        <f t="shared" si="161"/>
        <v/>
      </c>
    </row>
    <row r="1161" spans="1:11" x14ac:dyDescent="0.3">
      <c r="A1161" s="1">
        <v>22</v>
      </c>
      <c r="B1161" s="1">
        <v>21</v>
      </c>
      <c r="C1161" s="12">
        <f t="shared" si="153"/>
        <v>-0.22500000000000009</v>
      </c>
      <c r="D1161" s="12">
        <f t="shared" si="154"/>
        <v>-0.30000000000000004</v>
      </c>
      <c r="E1161" s="12">
        <f t="shared" si="155"/>
        <v>11.081011569777777</v>
      </c>
      <c r="F1161" s="12">
        <f t="shared" si="156"/>
        <v>11.081011569777777</v>
      </c>
      <c r="G1161" s="12">
        <f t="shared" si="157"/>
        <v>14.516415573333333</v>
      </c>
      <c r="H1161" s="12">
        <f t="shared" si="158"/>
        <v>14.516415573333333</v>
      </c>
      <c r="I1161" s="1" t="str">
        <f t="shared" si="159"/>
        <v>No</v>
      </c>
      <c r="J1161" s="1" t="str">
        <f t="shared" si="160"/>
        <v>Si</v>
      </c>
      <c r="K1161" s="1" t="str">
        <f t="shared" si="161"/>
        <v/>
      </c>
    </row>
    <row r="1162" spans="1:11" x14ac:dyDescent="0.3">
      <c r="A1162" s="1">
        <v>22</v>
      </c>
      <c r="B1162" s="1">
        <v>22</v>
      </c>
      <c r="C1162" s="12">
        <f t="shared" si="153"/>
        <v>-0.22500000000000009</v>
      </c>
      <c r="D1162" s="12">
        <f t="shared" si="154"/>
        <v>-0.22500000000000009</v>
      </c>
      <c r="E1162" s="12">
        <f t="shared" si="155"/>
        <v>11.078523477333333</v>
      </c>
      <c r="F1162" s="12">
        <f t="shared" si="156"/>
        <v>11.078523477333333</v>
      </c>
      <c r="G1162" s="12">
        <f t="shared" si="157"/>
        <v>14.512911217777777</v>
      </c>
      <c r="H1162" s="12">
        <f t="shared" si="158"/>
        <v>14.512911217777777</v>
      </c>
      <c r="I1162" s="1" t="str">
        <f t="shared" si="159"/>
        <v>No</v>
      </c>
      <c r="J1162" s="1" t="str">
        <f t="shared" si="160"/>
        <v>Si</v>
      </c>
      <c r="K1162" s="1" t="str">
        <f t="shared" si="161"/>
        <v/>
      </c>
    </row>
    <row r="1163" spans="1:11" x14ac:dyDescent="0.3">
      <c r="A1163" s="1">
        <v>22</v>
      </c>
      <c r="B1163" s="1">
        <v>23</v>
      </c>
      <c r="C1163" s="12">
        <f t="shared" si="153"/>
        <v>-0.22500000000000009</v>
      </c>
      <c r="D1163" s="12">
        <f t="shared" si="154"/>
        <v>-0.14999999999999991</v>
      </c>
      <c r="E1163" s="12">
        <f t="shared" si="155"/>
        <v>11.076035384888888</v>
      </c>
      <c r="F1163" s="12">
        <f t="shared" si="156"/>
        <v>11.076035384888888</v>
      </c>
      <c r="G1163" s="12">
        <f t="shared" si="157"/>
        <v>14.509406862222221</v>
      </c>
      <c r="H1163" s="12">
        <f t="shared" si="158"/>
        <v>14.509406862222221</v>
      </c>
      <c r="I1163" s="1" t="str">
        <f t="shared" si="159"/>
        <v>No</v>
      </c>
      <c r="J1163" s="1" t="str">
        <f t="shared" si="160"/>
        <v>Si</v>
      </c>
      <c r="K1163" s="1" t="str">
        <f t="shared" si="161"/>
        <v/>
      </c>
    </row>
    <row r="1164" spans="1:11" x14ac:dyDescent="0.3">
      <c r="A1164" s="1">
        <v>22</v>
      </c>
      <c r="B1164" s="1">
        <v>24</v>
      </c>
      <c r="C1164" s="12">
        <f t="shared" si="153"/>
        <v>-0.22500000000000009</v>
      </c>
      <c r="D1164" s="12">
        <f t="shared" si="154"/>
        <v>-7.4999999999999956E-2</v>
      </c>
      <c r="E1164" s="12">
        <f t="shared" si="155"/>
        <v>11.073547292444443</v>
      </c>
      <c r="F1164" s="12">
        <f t="shared" si="156"/>
        <v>11.073547292444443</v>
      </c>
      <c r="G1164" s="12">
        <f t="shared" si="157"/>
        <v>14.505902506666667</v>
      </c>
      <c r="H1164" s="12">
        <f t="shared" si="158"/>
        <v>14.505902506666667</v>
      </c>
      <c r="I1164" s="1" t="str">
        <f t="shared" si="159"/>
        <v>No</v>
      </c>
      <c r="J1164" s="1" t="str">
        <f t="shared" si="160"/>
        <v>Si</v>
      </c>
      <c r="K1164" s="1" t="str">
        <f t="shared" si="161"/>
        <v/>
      </c>
    </row>
    <row r="1165" spans="1:11" x14ac:dyDescent="0.3">
      <c r="A1165" s="1">
        <v>22</v>
      </c>
      <c r="B1165" s="1">
        <v>25</v>
      </c>
      <c r="C1165" s="12">
        <f t="shared" si="153"/>
        <v>-0.22500000000000009</v>
      </c>
      <c r="D1165" s="12">
        <f t="shared" si="154"/>
        <v>0</v>
      </c>
      <c r="E1165" s="12">
        <f t="shared" si="155"/>
        <v>11.071059199999999</v>
      </c>
      <c r="F1165" s="12">
        <f t="shared" si="156"/>
        <v>11.071059199999999</v>
      </c>
      <c r="G1165" s="12">
        <f t="shared" si="157"/>
        <v>14.502398151111111</v>
      </c>
      <c r="H1165" s="12">
        <f t="shared" si="158"/>
        <v>14.502398151111111</v>
      </c>
      <c r="I1165" s="1" t="str">
        <f t="shared" si="159"/>
        <v>No</v>
      </c>
      <c r="J1165" s="1" t="str">
        <f t="shared" si="160"/>
        <v>Si</v>
      </c>
      <c r="K1165" s="1" t="str">
        <f t="shared" si="161"/>
        <v/>
      </c>
    </row>
    <row r="1166" spans="1:11" x14ac:dyDescent="0.3">
      <c r="A1166" s="1">
        <v>22</v>
      </c>
      <c r="B1166" s="1">
        <v>26</v>
      </c>
      <c r="C1166" s="12">
        <f t="shared" si="153"/>
        <v>-0.22500000000000009</v>
      </c>
      <c r="D1166" s="12">
        <f t="shared" si="154"/>
        <v>7.4999999999999956E-2</v>
      </c>
      <c r="E1166" s="12">
        <f t="shared" si="155"/>
        <v>11.068571107555554</v>
      </c>
      <c r="F1166" s="12">
        <f t="shared" si="156"/>
        <v>11.068571107555554</v>
      </c>
      <c r="G1166" s="12">
        <f t="shared" si="157"/>
        <v>14.498893795555555</v>
      </c>
      <c r="H1166" s="12">
        <f t="shared" si="158"/>
        <v>14.498893795555555</v>
      </c>
      <c r="I1166" s="1" t="str">
        <f t="shared" si="159"/>
        <v>No</v>
      </c>
      <c r="J1166" s="1" t="str">
        <f t="shared" si="160"/>
        <v>Si</v>
      </c>
      <c r="K1166" s="1" t="str">
        <f t="shared" si="161"/>
        <v/>
      </c>
    </row>
    <row r="1167" spans="1:11" x14ac:dyDescent="0.3">
      <c r="A1167" s="1">
        <v>22</v>
      </c>
      <c r="B1167" s="1">
        <v>27</v>
      </c>
      <c r="C1167" s="12">
        <f t="shared" si="153"/>
        <v>-0.22500000000000009</v>
      </c>
      <c r="D1167" s="12">
        <f t="shared" si="154"/>
        <v>0.14999999999999991</v>
      </c>
      <c r="E1167" s="12">
        <f t="shared" si="155"/>
        <v>11.06608301511111</v>
      </c>
      <c r="F1167" s="12">
        <f t="shared" si="156"/>
        <v>11.06608301511111</v>
      </c>
      <c r="G1167" s="12">
        <f t="shared" si="157"/>
        <v>14.49538944</v>
      </c>
      <c r="H1167" s="12">
        <f t="shared" si="158"/>
        <v>14.49538944</v>
      </c>
      <c r="I1167" s="1" t="str">
        <f t="shared" si="159"/>
        <v>No</v>
      </c>
      <c r="J1167" s="1" t="str">
        <f t="shared" si="160"/>
        <v>Si</v>
      </c>
      <c r="K1167" s="1" t="str">
        <f t="shared" si="161"/>
        <v/>
      </c>
    </row>
    <row r="1168" spans="1:11" x14ac:dyDescent="0.3">
      <c r="A1168" s="1">
        <v>22</v>
      </c>
      <c r="B1168" s="1">
        <v>28</v>
      </c>
      <c r="C1168" s="12">
        <f t="shared" si="153"/>
        <v>-0.22500000000000009</v>
      </c>
      <c r="D1168" s="12">
        <f t="shared" si="154"/>
        <v>0.22500000000000009</v>
      </c>
      <c r="E1168" s="12">
        <f t="shared" si="155"/>
        <v>11.063594922666665</v>
      </c>
      <c r="F1168" s="12">
        <f t="shared" si="156"/>
        <v>11.063594922666665</v>
      </c>
      <c r="G1168" s="12">
        <f t="shared" si="157"/>
        <v>14.491885084444444</v>
      </c>
      <c r="H1168" s="12">
        <f t="shared" si="158"/>
        <v>14.491885084444444</v>
      </c>
      <c r="I1168" s="1" t="str">
        <f t="shared" si="159"/>
        <v>No</v>
      </c>
      <c r="J1168" s="1" t="str">
        <f t="shared" si="160"/>
        <v>Si</v>
      </c>
      <c r="K1168" s="1" t="str">
        <f t="shared" si="161"/>
        <v/>
      </c>
    </row>
    <row r="1169" spans="1:11" x14ac:dyDescent="0.3">
      <c r="A1169" s="1">
        <v>22</v>
      </c>
      <c r="B1169" s="1">
        <v>29</v>
      </c>
      <c r="C1169" s="12">
        <f t="shared" si="153"/>
        <v>-0.22500000000000009</v>
      </c>
      <c r="D1169" s="12">
        <f t="shared" si="154"/>
        <v>0.29999999999999982</v>
      </c>
      <c r="E1169" s="12">
        <f t="shared" si="155"/>
        <v>11.06110683022222</v>
      </c>
      <c r="F1169" s="12">
        <f t="shared" si="156"/>
        <v>11.06110683022222</v>
      </c>
      <c r="G1169" s="12">
        <f t="shared" si="157"/>
        <v>14.488380728888888</v>
      </c>
      <c r="H1169" s="12">
        <f t="shared" si="158"/>
        <v>14.488380728888888</v>
      </c>
      <c r="I1169" s="1" t="str">
        <f t="shared" si="159"/>
        <v>No</v>
      </c>
      <c r="J1169" s="1" t="str">
        <f t="shared" si="160"/>
        <v>Si</v>
      </c>
      <c r="K1169" s="1" t="str">
        <f t="shared" si="161"/>
        <v/>
      </c>
    </row>
    <row r="1170" spans="1:11" x14ac:dyDescent="0.3">
      <c r="A1170" s="1">
        <v>22</v>
      </c>
      <c r="B1170" s="1">
        <v>30</v>
      </c>
      <c r="C1170" s="12">
        <f t="shared" ref="C1170:C1233" si="162">IF(OR(A1170&gt;inp_n_div_x,B1170&gt;inp_n_div_y),"",-inp_bx/2+A1170*inp_bx/inp_n_div_x)</f>
        <v>-0.22500000000000009</v>
      </c>
      <c r="D1170" s="12">
        <f t="shared" ref="D1170:D1233" si="163">IF(C1170="","",-inp_by/2+B1170*inp_by/inp_n_div_y)</f>
        <v>0.375</v>
      </c>
      <c r="E1170" s="12">
        <f t="shared" ref="E1170:E1233" si="164">IF(C1170="","",res_srv_p_tot/geo_area+res_srv_mx_tot/geo_ix*D1170+res_srv_my_tot/geo_iy*C1170)</f>
        <v>11.058618737777776</v>
      </c>
      <c r="F1170" s="12">
        <f t="shared" ref="F1170:F1233" si="165">IF(E1170="","",MAX(0,E1170))</f>
        <v>11.058618737777776</v>
      </c>
      <c r="G1170" s="12">
        <f t="shared" ref="G1170:G1233" si="166">IF(C1170="","",res_u_p_tot/geo_area+res_u_mx_tot/geo_ix*D1170+res_u_my_tot/geo_iy*C1170)</f>
        <v>14.484876373333332</v>
      </c>
      <c r="H1170" s="12">
        <f t="shared" ref="H1170:H1233" si="167">IF(G1170="","",MAX(0,G1170))</f>
        <v>14.484876373333332</v>
      </c>
      <c r="I1170" s="1" t="str">
        <f t="shared" ref="I1170:I1233" si="168">IF(C1170="","",IF(AND(C1170&gt;=inp_xc-inp_cx/2,C1170&lt;=inp_xc+inp_cx/2,D1170&gt;=inp_yc-inp_cy/2,D1170&lt;=inp_yc+inp_cy/2),"Si","No"))</f>
        <v>No</v>
      </c>
      <c r="J1170" s="1" t="str">
        <f t="shared" ref="J1170:J1233" si="169">IF(C1170="","","Si")</f>
        <v>Si</v>
      </c>
      <c r="K1170" s="1" t="str">
        <f t="shared" ref="K1170:K1233" si="170">IF(OR(E1170&lt;0,G1170&lt;0),"Presion negativa","")</f>
        <v/>
      </c>
    </row>
    <row r="1171" spans="1:11" x14ac:dyDescent="0.3">
      <c r="A1171" s="1">
        <v>22</v>
      </c>
      <c r="B1171" s="1">
        <v>31</v>
      </c>
      <c r="C1171" s="12">
        <f t="shared" si="162"/>
        <v>-0.22500000000000009</v>
      </c>
      <c r="D1171" s="12">
        <f t="shared" si="163"/>
        <v>0.45000000000000018</v>
      </c>
      <c r="E1171" s="12">
        <f t="shared" si="164"/>
        <v>11.056130645333331</v>
      </c>
      <c r="F1171" s="12">
        <f t="shared" si="165"/>
        <v>11.056130645333331</v>
      </c>
      <c r="G1171" s="12">
        <f t="shared" si="166"/>
        <v>14.481372017777778</v>
      </c>
      <c r="H1171" s="12">
        <f t="shared" si="167"/>
        <v>14.481372017777778</v>
      </c>
      <c r="I1171" s="1" t="str">
        <f t="shared" si="168"/>
        <v>No</v>
      </c>
      <c r="J1171" s="1" t="str">
        <f t="shared" si="169"/>
        <v>Si</v>
      </c>
      <c r="K1171" s="1" t="str">
        <f t="shared" si="170"/>
        <v/>
      </c>
    </row>
    <row r="1172" spans="1:11" x14ac:dyDescent="0.3">
      <c r="A1172" s="1">
        <v>22</v>
      </c>
      <c r="B1172" s="1">
        <v>32</v>
      </c>
      <c r="C1172" s="12">
        <f t="shared" si="162"/>
        <v>-0.22500000000000009</v>
      </c>
      <c r="D1172" s="12">
        <f t="shared" si="163"/>
        <v>0.52499999999999991</v>
      </c>
      <c r="E1172" s="12">
        <f t="shared" si="164"/>
        <v>11.053642552888888</v>
      </c>
      <c r="F1172" s="12">
        <f t="shared" si="165"/>
        <v>11.053642552888888</v>
      </c>
      <c r="G1172" s="12">
        <f t="shared" si="166"/>
        <v>14.477867662222222</v>
      </c>
      <c r="H1172" s="12">
        <f t="shared" si="167"/>
        <v>14.477867662222222</v>
      </c>
      <c r="I1172" s="1" t="str">
        <f t="shared" si="168"/>
        <v>No</v>
      </c>
      <c r="J1172" s="1" t="str">
        <f t="shared" si="169"/>
        <v>Si</v>
      </c>
      <c r="K1172" s="1" t="str">
        <f t="shared" si="170"/>
        <v/>
      </c>
    </row>
    <row r="1173" spans="1:11" x14ac:dyDescent="0.3">
      <c r="A1173" s="1">
        <v>22</v>
      </c>
      <c r="B1173" s="1">
        <v>33</v>
      </c>
      <c r="C1173" s="12">
        <f t="shared" si="162"/>
        <v>-0.22500000000000009</v>
      </c>
      <c r="D1173" s="12">
        <f t="shared" si="163"/>
        <v>0.60000000000000009</v>
      </c>
      <c r="E1173" s="12">
        <f t="shared" si="164"/>
        <v>11.051154460444444</v>
      </c>
      <c r="F1173" s="12">
        <f t="shared" si="165"/>
        <v>11.051154460444444</v>
      </c>
      <c r="G1173" s="12">
        <f t="shared" si="166"/>
        <v>14.474363306666666</v>
      </c>
      <c r="H1173" s="12">
        <f t="shared" si="167"/>
        <v>14.474363306666666</v>
      </c>
      <c r="I1173" s="1" t="str">
        <f t="shared" si="168"/>
        <v>No</v>
      </c>
      <c r="J1173" s="1" t="str">
        <f t="shared" si="169"/>
        <v>Si</v>
      </c>
      <c r="K1173" s="1" t="str">
        <f t="shared" si="170"/>
        <v/>
      </c>
    </row>
    <row r="1174" spans="1:11" x14ac:dyDescent="0.3">
      <c r="A1174" s="1">
        <v>22</v>
      </c>
      <c r="B1174" s="1">
        <v>34</v>
      </c>
      <c r="C1174" s="12">
        <f t="shared" si="162"/>
        <v>-0.22500000000000009</v>
      </c>
      <c r="D1174" s="12">
        <f t="shared" si="163"/>
        <v>0.67499999999999982</v>
      </c>
      <c r="E1174" s="12">
        <f t="shared" si="164"/>
        <v>11.048666367999999</v>
      </c>
      <c r="F1174" s="12">
        <f t="shared" si="165"/>
        <v>11.048666367999999</v>
      </c>
      <c r="G1174" s="12">
        <f t="shared" si="166"/>
        <v>14.470858951111111</v>
      </c>
      <c r="H1174" s="12">
        <f t="shared" si="167"/>
        <v>14.470858951111111</v>
      </c>
      <c r="I1174" s="1" t="str">
        <f t="shared" si="168"/>
        <v>No</v>
      </c>
      <c r="J1174" s="1" t="str">
        <f t="shared" si="169"/>
        <v>Si</v>
      </c>
      <c r="K1174" s="1" t="str">
        <f t="shared" si="170"/>
        <v/>
      </c>
    </row>
    <row r="1175" spans="1:11" x14ac:dyDescent="0.3">
      <c r="A1175" s="1">
        <v>22</v>
      </c>
      <c r="B1175" s="1">
        <v>35</v>
      </c>
      <c r="C1175" s="12">
        <f t="shared" si="162"/>
        <v>-0.22500000000000009</v>
      </c>
      <c r="D1175" s="12">
        <f t="shared" si="163"/>
        <v>0.75</v>
      </c>
      <c r="E1175" s="12">
        <f t="shared" si="164"/>
        <v>11.046178275555555</v>
      </c>
      <c r="F1175" s="12">
        <f t="shared" si="165"/>
        <v>11.046178275555555</v>
      </c>
      <c r="G1175" s="12">
        <f t="shared" si="166"/>
        <v>14.467354595555555</v>
      </c>
      <c r="H1175" s="12">
        <f t="shared" si="167"/>
        <v>14.467354595555555</v>
      </c>
      <c r="I1175" s="1" t="str">
        <f t="shared" si="168"/>
        <v>No</v>
      </c>
      <c r="J1175" s="1" t="str">
        <f t="shared" si="169"/>
        <v>Si</v>
      </c>
      <c r="K1175" s="1" t="str">
        <f t="shared" si="170"/>
        <v/>
      </c>
    </row>
    <row r="1176" spans="1:11" x14ac:dyDescent="0.3">
      <c r="A1176" s="1">
        <v>22</v>
      </c>
      <c r="B1176" s="1">
        <v>36</v>
      </c>
      <c r="C1176" s="12">
        <f t="shared" si="162"/>
        <v>-0.22500000000000009</v>
      </c>
      <c r="D1176" s="12">
        <f t="shared" si="163"/>
        <v>0.82500000000000018</v>
      </c>
      <c r="E1176" s="12">
        <f t="shared" si="164"/>
        <v>11.04369018311111</v>
      </c>
      <c r="F1176" s="12">
        <f t="shared" si="165"/>
        <v>11.04369018311111</v>
      </c>
      <c r="G1176" s="12">
        <f t="shared" si="166"/>
        <v>14.463850239999999</v>
      </c>
      <c r="H1176" s="12">
        <f t="shared" si="167"/>
        <v>14.463850239999999</v>
      </c>
      <c r="I1176" s="1" t="str">
        <f t="shared" si="168"/>
        <v>No</v>
      </c>
      <c r="J1176" s="1" t="str">
        <f t="shared" si="169"/>
        <v>Si</v>
      </c>
      <c r="K1176" s="1" t="str">
        <f t="shared" si="170"/>
        <v/>
      </c>
    </row>
    <row r="1177" spans="1:11" x14ac:dyDescent="0.3">
      <c r="A1177" s="1">
        <v>22</v>
      </c>
      <c r="B1177" s="1">
        <v>37</v>
      </c>
      <c r="C1177" s="12">
        <f t="shared" si="162"/>
        <v>-0.22500000000000009</v>
      </c>
      <c r="D1177" s="12">
        <f t="shared" si="163"/>
        <v>0.89999999999999991</v>
      </c>
      <c r="E1177" s="12">
        <f t="shared" si="164"/>
        <v>11.041202090666665</v>
      </c>
      <c r="F1177" s="12">
        <f t="shared" si="165"/>
        <v>11.041202090666665</v>
      </c>
      <c r="G1177" s="12">
        <f t="shared" si="166"/>
        <v>14.460345884444443</v>
      </c>
      <c r="H1177" s="12">
        <f t="shared" si="167"/>
        <v>14.460345884444443</v>
      </c>
      <c r="I1177" s="1" t="str">
        <f t="shared" si="168"/>
        <v>No</v>
      </c>
      <c r="J1177" s="1" t="str">
        <f t="shared" si="169"/>
        <v>Si</v>
      </c>
      <c r="K1177" s="1" t="str">
        <f t="shared" si="170"/>
        <v/>
      </c>
    </row>
    <row r="1178" spans="1:11" x14ac:dyDescent="0.3">
      <c r="A1178" s="1">
        <v>22</v>
      </c>
      <c r="B1178" s="1">
        <v>38</v>
      </c>
      <c r="C1178" s="12">
        <f t="shared" si="162"/>
        <v>-0.22500000000000009</v>
      </c>
      <c r="D1178" s="12">
        <f t="shared" si="163"/>
        <v>0.97500000000000009</v>
      </c>
      <c r="E1178" s="12">
        <f t="shared" si="164"/>
        <v>11.038713998222221</v>
      </c>
      <c r="F1178" s="12">
        <f t="shared" si="165"/>
        <v>11.038713998222221</v>
      </c>
      <c r="G1178" s="12">
        <f t="shared" si="166"/>
        <v>14.456841528888889</v>
      </c>
      <c r="H1178" s="12">
        <f t="shared" si="167"/>
        <v>14.456841528888889</v>
      </c>
      <c r="I1178" s="1" t="str">
        <f t="shared" si="168"/>
        <v>No</v>
      </c>
      <c r="J1178" s="1" t="str">
        <f t="shared" si="169"/>
        <v>Si</v>
      </c>
      <c r="K1178" s="1" t="str">
        <f t="shared" si="170"/>
        <v/>
      </c>
    </row>
    <row r="1179" spans="1:11" x14ac:dyDescent="0.3">
      <c r="A1179" s="1">
        <v>22</v>
      </c>
      <c r="B1179" s="1">
        <v>39</v>
      </c>
      <c r="C1179" s="12">
        <f t="shared" si="162"/>
        <v>-0.22500000000000009</v>
      </c>
      <c r="D1179" s="12">
        <f t="shared" si="163"/>
        <v>1.0499999999999998</v>
      </c>
      <c r="E1179" s="12">
        <f t="shared" si="164"/>
        <v>11.036225905777776</v>
      </c>
      <c r="F1179" s="12">
        <f t="shared" si="165"/>
        <v>11.036225905777776</v>
      </c>
      <c r="G1179" s="12">
        <f t="shared" si="166"/>
        <v>14.453337173333333</v>
      </c>
      <c r="H1179" s="12">
        <f t="shared" si="167"/>
        <v>14.453337173333333</v>
      </c>
      <c r="I1179" s="1" t="str">
        <f t="shared" si="168"/>
        <v>No</v>
      </c>
      <c r="J1179" s="1" t="str">
        <f t="shared" si="169"/>
        <v>Si</v>
      </c>
      <c r="K1179" s="1" t="str">
        <f t="shared" si="170"/>
        <v/>
      </c>
    </row>
    <row r="1180" spans="1:11" x14ac:dyDescent="0.3">
      <c r="A1180" s="1">
        <v>22</v>
      </c>
      <c r="B1180" s="1">
        <v>40</v>
      </c>
      <c r="C1180" s="12">
        <f t="shared" si="162"/>
        <v>-0.22500000000000009</v>
      </c>
      <c r="D1180" s="12">
        <f t="shared" si="163"/>
        <v>1.125</v>
      </c>
      <c r="E1180" s="12">
        <f t="shared" si="164"/>
        <v>11.033737813333332</v>
      </c>
      <c r="F1180" s="12">
        <f t="shared" si="165"/>
        <v>11.033737813333332</v>
      </c>
      <c r="G1180" s="12">
        <f t="shared" si="166"/>
        <v>14.449832817777777</v>
      </c>
      <c r="H1180" s="12">
        <f t="shared" si="167"/>
        <v>14.449832817777777</v>
      </c>
      <c r="I1180" s="1" t="str">
        <f t="shared" si="168"/>
        <v>No</v>
      </c>
      <c r="J1180" s="1" t="str">
        <f t="shared" si="169"/>
        <v>Si</v>
      </c>
      <c r="K1180" s="1" t="str">
        <f t="shared" si="170"/>
        <v/>
      </c>
    </row>
    <row r="1181" spans="1:11" x14ac:dyDescent="0.3">
      <c r="A1181" s="1">
        <v>22</v>
      </c>
      <c r="B1181" s="1">
        <v>41</v>
      </c>
      <c r="C1181" s="12">
        <f t="shared" si="162"/>
        <v>-0.22500000000000009</v>
      </c>
      <c r="D1181" s="12">
        <f t="shared" si="163"/>
        <v>1.2000000000000002</v>
      </c>
      <c r="E1181" s="12">
        <f t="shared" si="164"/>
        <v>11.031249720888887</v>
      </c>
      <c r="F1181" s="12">
        <f t="shared" si="165"/>
        <v>11.031249720888887</v>
      </c>
      <c r="G1181" s="12">
        <f t="shared" si="166"/>
        <v>14.446328462222223</v>
      </c>
      <c r="H1181" s="12">
        <f t="shared" si="167"/>
        <v>14.446328462222223</v>
      </c>
      <c r="I1181" s="1" t="str">
        <f t="shared" si="168"/>
        <v>No</v>
      </c>
      <c r="J1181" s="1" t="str">
        <f t="shared" si="169"/>
        <v>Si</v>
      </c>
      <c r="K1181" s="1" t="str">
        <f t="shared" si="170"/>
        <v/>
      </c>
    </row>
    <row r="1182" spans="1:11" x14ac:dyDescent="0.3">
      <c r="A1182" s="1">
        <v>22</v>
      </c>
      <c r="B1182" s="1">
        <v>42</v>
      </c>
      <c r="C1182" s="12">
        <f t="shared" si="162"/>
        <v>-0.22500000000000009</v>
      </c>
      <c r="D1182" s="12">
        <f t="shared" si="163"/>
        <v>1.2749999999999999</v>
      </c>
      <c r="E1182" s="12">
        <f t="shared" si="164"/>
        <v>11.028761628444443</v>
      </c>
      <c r="F1182" s="12">
        <f t="shared" si="165"/>
        <v>11.028761628444443</v>
      </c>
      <c r="G1182" s="12">
        <f t="shared" si="166"/>
        <v>14.442824106666666</v>
      </c>
      <c r="H1182" s="12">
        <f t="shared" si="167"/>
        <v>14.442824106666666</v>
      </c>
      <c r="I1182" s="1" t="str">
        <f t="shared" si="168"/>
        <v>No</v>
      </c>
      <c r="J1182" s="1" t="str">
        <f t="shared" si="169"/>
        <v>Si</v>
      </c>
      <c r="K1182" s="1" t="str">
        <f t="shared" si="170"/>
        <v/>
      </c>
    </row>
    <row r="1183" spans="1:11" x14ac:dyDescent="0.3">
      <c r="A1183" s="1">
        <v>22</v>
      </c>
      <c r="B1183" s="1">
        <v>43</v>
      </c>
      <c r="C1183" s="12">
        <f t="shared" si="162"/>
        <v>-0.22500000000000009</v>
      </c>
      <c r="D1183" s="12">
        <f t="shared" si="163"/>
        <v>1.35</v>
      </c>
      <c r="E1183" s="12">
        <f t="shared" si="164"/>
        <v>11.026273535999998</v>
      </c>
      <c r="F1183" s="12">
        <f t="shared" si="165"/>
        <v>11.026273535999998</v>
      </c>
      <c r="G1183" s="12">
        <f t="shared" si="166"/>
        <v>14.43931975111111</v>
      </c>
      <c r="H1183" s="12">
        <f t="shared" si="167"/>
        <v>14.43931975111111</v>
      </c>
      <c r="I1183" s="1" t="str">
        <f t="shared" si="168"/>
        <v>No</v>
      </c>
      <c r="J1183" s="1" t="str">
        <f t="shared" si="169"/>
        <v>Si</v>
      </c>
      <c r="K1183" s="1" t="str">
        <f t="shared" si="170"/>
        <v/>
      </c>
    </row>
    <row r="1184" spans="1:11" x14ac:dyDescent="0.3">
      <c r="A1184" s="1">
        <v>22</v>
      </c>
      <c r="B1184" s="1">
        <v>44</v>
      </c>
      <c r="C1184" s="12">
        <f t="shared" si="162"/>
        <v>-0.22500000000000009</v>
      </c>
      <c r="D1184" s="12">
        <f t="shared" si="163"/>
        <v>1.4249999999999998</v>
      </c>
      <c r="E1184" s="12">
        <f t="shared" si="164"/>
        <v>11.023785443555555</v>
      </c>
      <c r="F1184" s="12">
        <f t="shared" si="165"/>
        <v>11.023785443555555</v>
      </c>
      <c r="G1184" s="12">
        <f t="shared" si="166"/>
        <v>14.435815395555554</v>
      </c>
      <c r="H1184" s="12">
        <f t="shared" si="167"/>
        <v>14.435815395555554</v>
      </c>
      <c r="I1184" s="1" t="str">
        <f t="shared" si="168"/>
        <v>No</v>
      </c>
      <c r="J1184" s="1" t="str">
        <f t="shared" si="169"/>
        <v>Si</v>
      </c>
      <c r="K1184" s="1" t="str">
        <f t="shared" si="170"/>
        <v/>
      </c>
    </row>
    <row r="1185" spans="1:11" x14ac:dyDescent="0.3">
      <c r="A1185" s="1">
        <v>22</v>
      </c>
      <c r="B1185" s="1">
        <v>45</v>
      </c>
      <c r="C1185" s="12">
        <f t="shared" si="162"/>
        <v>-0.22500000000000009</v>
      </c>
      <c r="D1185" s="12">
        <f t="shared" si="163"/>
        <v>1.5</v>
      </c>
      <c r="E1185" s="12">
        <f t="shared" si="164"/>
        <v>11.021297351111111</v>
      </c>
      <c r="F1185" s="12">
        <f t="shared" si="165"/>
        <v>11.021297351111111</v>
      </c>
      <c r="G1185" s="12">
        <f t="shared" si="166"/>
        <v>14.43231104</v>
      </c>
      <c r="H1185" s="12">
        <f t="shared" si="167"/>
        <v>14.43231104</v>
      </c>
      <c r="I1185" s="1" t="str">
        <f t="shared" si="168"/>
        <v>No</v>
      </c>
      <c r="J1185" s="1" t="str">
        <f t="shared" si="169"/>
        <v>Si</v>
      </c>
      <c r="K1185" s="1" t="str">
        <f t="shared" si="170"/>
        <v/>
      </c>
    </row>
    <row r="1186" spans="1:11" x14ac:dyDescent="0.3">
      <c r="A1186" s="1">
        <v>22</v>
      </c>
      <c r="B1186" s="1">
        <v>46</v>
      </c>
      <c r="C1186" s="12">
        <f t="shared" si="162"/>
        <v>-0.22500000000000009</v>
      </c>
      <c r="D1186" s="12">
        <f t="shared" si="163"/>
        <v>1.5750000000000002</v>
      </c>
      <c r="E1186" s="12">
        <f t="shared" si="164"/>
        <v>11.018809258666666</v>
      </c>
      <c r="F1186" s="12">
        <f t="shared" si="165"/>
        <v>11.018809258666666</v>
      </c>
      <c r="G1186" s="12">
        <f t="shared" si="166"/>
        <v>14.428806684444444</v>
      </c>
      <c r="H1186" s="12">
        <f t="shared" si="167"/>
        <v>14.428806684444444</v>
      </c>
      <c r="I1186" s="1" t="str">
        <f t="shared" si="168"/>
        <v>No</v>
      </c>
      <c r="J1186" s="1" t="str">
        <f t="shared" si="169"/>
        <v>Si</v>
      </c>
      <c r="K1186" s="1" t="str">
        <f t="shared" si="170"/>
        <v/>
      </c>
    </row>
    <row r="1187" spans="1:11" x14ac:dyDescent="0.3">
      <c r="A1187" s="1">
        <v>22</v>
      </c>
      <c r="B1187" s="1">
        <v>47</v>
      </c>
      <c r="C1187" s="12">
        <f t="shared" si="162"/>
        <v>-0.22500000000000009</v>
      </c>
      <c r="D1187" s="12">
        <f t="shared" si="163"/>
        <v>1.65</v>
      </c>
      <c r="E1187" s="12">
        <f t="shared" si="164"/>
        <v>11.016321166222221</v>
      </c>
      <c r="F1187" s="12">
        <f t="shared" si="165"/>
        <v>11.016321166222221</v>
      </c>
      <c r="G1187" s="12">
        <f t="shared" si="166"/>
        <v>14.425302328888888</v>
      </c>
      <c r="H1187" s="12">
        <f t="shared" si="167"/>
        <v>14.425302328888888</v>
      </c>
      <c r="I1187" s="1" t="str">
        <f t="shared" si="168"/>
        <v>No</v>
      </c>
      <c r="J1187" s="1" t="str">
        <f t="shared" si="169"/>
        <v>Si</v>
      </c>
      <c r="K1187" s="1" t="str">
        <f t="shared" si="170"/>
        <v/>
      </c>
    </row>
    <row r="1188" spans="1:11" x14ac:dyDescent="0.3">
      <c r="A1188" s="1">
        <v>22</v>
      </c>
      <c r="B1188" s="1">
        <v>48</v>
      </c>
      <c r="C1188" s="12">
        <f t="shared" si="162"/>
        <v>-0.22500000000000009</v>
      </c>
      <c r="D1188" s="12">
        <f t="shared" si="163"/>
        <v>1.7250000000000001</v>
      </c>
      <c r="E1188" s="12">
        <f t="shared" si="164"/>
        <v>11.013833073777777</v>
      </c>
      <c r="F1188" s="12">
        <f t="shared" si="165"/>
        <v>11.013833073777777</v>
      </c>
      <c r="G1188" s="12">
        <f t="shared" si="166"/>
        <v>14.421797973333334</v>
      </c>
      <c r="H1188" s="12">
        <f t="shared" si="167"/>
        <v>14.421797973333334</v>
      </c>
      <c r="I1188" s="1" t="str">
        <f t="shared" si="168"/>
        <v>No</v>
      </c>
      <c r="J1188" s="1" t="str">
        <f t="shared" si="169"/>
        <v>Si</v>
      </c>
      <c r="K1188" s="1" t="str">
        <f t="shared" si="170"/>
        <v/>
      </c>
    </row>
    <row r="1189" spans="1:11" x14ac:dyDescent="0.3">
      <c r="A1189" s="1">
        <v>22</v>
      </c>
      <c r="B1189" s="1">
        <v>49</v>
      </c>
      <c r="C1189" s="12">
        <f t="shared" si="162"/>
        <v>-0.22500000000000009</v>
      </c>
      <c r="D1189" s="12">
        <f t="shared" si="163"/>
        <v>1.7999999999999998</v>
      </c>
      <c r="E1189" s="12">
        <f t="shared" si="164"/>
        <v>11.011344981333332</v>
      </c>
      <c r="F1189" s="12">
        <f t="shared" si="165"/>
        <v>11.011344981333332</v>
      </c>
      <c r="G1189" s="12">
        <f t="shared" si="166"/>
        <v>14.418293617777778</v>
      </c>
      <c r="H1189" s="12">
        <f t="shared" si="167"/>
        <v>14.418293617777778</v>
      </c>
      <c r="I1189" s="1" t="str">
        <f t="shared" si="168"/>
        <v>No</v>
      </c>
      <c r="J1189" s="1" t="str">
        <f t="shared" si="169"/>
        <v>Si</v>
      </c>
      <c r="K1189" s="1" t="str">
        <f t="shared" si="170"/>
        <v/>
      </c>
    </row>
    <row r="1190" spans="1:11" x14ac:dyDescent="0.3">
      <c r="A1190" s="1">
        <v>22</v>
      </c>
      <c r="B1190" s="1">
        <v>50</v>
      </c>
      <c r="C1190" s="12">
        <f t="shared" si="162"/>
        <v>-0.22500000000000009</v>
      </c>
      <c r="D1190" s="12">
        <f t="shared" si="163"/>
        <v>1.875</v>
      </c>
      <c r="E1190" s="12">
        <f t="shared" si="164"/>
        <v>11.008856888888888</v>
      </c>
      <c r="F1190" s="12">
        <f t="shared" si="165"/>
        <v>11.008856888888888</v>
      </c>
      <c r="G1190" s="12">
        <f t="shared" si="166"/>
        <v>14.414789262222222</v>
      </c>
      <c r="H1190" s="12">
        <f t="shared" si="167"/>
        <v>14.414789262222222</v>
      </c>
      <c r="I1190" s="1" t="str">
        <f t="shared" si="168"/>
        <v>No</v>
      </c>
      <c r="J1190" s="1" t="str">
        <f t="shared" si="169"/>
        <v>Si</v>
      </c>
      <c r="K1190" s="1" t="str">
        <f t="shared" si="170"/>
        <v/>
      </c>
    </row>
    <row r="1191" spans="1:11" x14ac:dyDescent="0.3">
      <c r="A1191" s="1">
        <v>23</v>
      </c>
      <c r="B1191" s="1">
        <v>0</v>
      </c>
      <c r="C1191" s="12">
        <f t="shared" si="162"/>
        <v>-0.14999999999999991</v>
      </c>
      <c r="D1191" s="12">
        <f t="shared" si="163"/>
        <v>-1.875</v>
      </c>
      <c r="E1191" s="12">
        <f t="shared" si="164"/>
        <v>11.133955555555554</v>
      </c>
      <c r="F1191" s="12">
        <f t="shared" si="165"/>
        <v>11.133955555555554</v>
      </c>
      <c r="G1191" s="12">
        <f t="shared" si="166"/>
        <v>14.591044693333332</v>
      </c>
      <c r="H1191" s="12">
        <f t="shared" si="167"/>
        <v>14.591044693333332</v>
      </c>
      <c r="I1191" s="1" t="str">
        <f t="shared" si="168"/>
        <v>No</v>
      </c>
      <c r="J1191" s="1" t="str">
        <f t="shared" si="169"/>
        <v>Si</v>
      </c>
      <c r="K1191" s="1" t="str">
        <f t="shared" si="170"/>
        <v/>
      </c>
    </row>
    <row r="1192" spans="1:11" x14ac:dyDescent="0.3">
      <c r="A1192" s="1">
        <v>23</v>
      </c>
      <c r="B1192" s="1">
        <v>1</v>
      </c>
      <c r="C1192" s="12">
        <f t="shared" si="162"/>
        <v>-0.14999999999999991</v>
      </c>
      <c r="D1192" s="12">
        <f t="shared" si="163"/>
        <v>-1.8</v>
      </c>
      <c r="E1192" s="12">
        <f t="shared" si="164"/>
        <v>11.131467463111109</v>
      </c>
      <c r="F1192" s="12">
        <f t="shared" si="165"/>
        <v>11.131467463111109</v>
      </c>
      <c r="G1192" s="12">
        <f t="shared" si="166"/>
        <v>14.587540337777776</v>
      </c>
      <c r="H1192" s="12">
        <f t="shared" si="167"/>
        <v>14.587540337777776</v>
      </c>
      <c r="I1192" s="1" t="str">
        <f t="shared" si="168"/>
        <v>No</v>
      </c>
      <c r="J1192" s="1" t="str">
        <f t="shared" si="169"/>
        <v>Si</v>
      </c>
      <c r="K1192" s="1" t="str">
        <f t="shared" si="170"/>
        <v/>
      </c>
    </row>
    <row r="1193" spans="1:11" x14ac:dyDescent="0.3">
      <c r="A1193" s="1">
        <v>23</v>
      </c>
      <c r="B1193" s="1">
        <v>2</v>
      </c>
      <c r="C1193" s="12">
        <f t="shared" si="162"/>
        <v>-0.14999999999999991</v>
      </c>
      <c r="D1193" s="12">
        <f t="shared" si="163"/>
        <v>-1.7250000000000001</v>
      </c>
      <c r="E1193" s="12">
        <f t="shared" si="164"/>
        <v>11.128979370666665</v>
      </c>
      <c r="F1193" s="12">
        <f t="shared" si="165"/>
        <v>11.128979370666665</v>
      </c>
      <c r="G1193" s="12">
        <f t="shared" si="166"/>
        <v>14.58403598222222</v>
      </c>
      <c r="H1193" s="12">
        <f t="shared" si="167"/>
        <v>14.58403598222222</v>
      </c>
      <c r="I1193" s="1" t="str">
        <f t="shared" si="168"/>
        <v>No</v>
      </c>
      <c r="J1193" s="1" t="str">
        <f t="shared" si="169"/>
        <v>Si</v>
      </c>
      <c r="K1193" s="1" t="str">
        <f t="shared" si="170"/>
        <v/>
      </c>
    </row>
    <row r="1194" spans="1:11" x14ac:dyDescent="0.3">
      <c r="A1194" s="1">
        <v>23</v>
      </c>
      <c r="B1194" s="1">
        <v>3</v>
      </c>
      <c r="C1194" s="12">
        <f t="shared" si="162"/>
        <v>-0.14999999999999991</v>
      </c>
      <c r="D1194" s="12">
        <f t="shared" si="163"/>
        <v>-1.65</v>
      </c>
      <c r="E1194" s="12">
        <f t="shared" si="164"/>
        <v>11.12649127822222</v>
      </c>
      <c r="F1194" s="12">
        <f t="shared" si="165"/>
        <v>11.12649127822222</v>
      </c>
      <c r="G1194" s="12">
        <f t="shared" si="166"/>
        <v>14.580531626666666</v>
      </c>
      <c r="H1194" s="12">
        <f t="shared" si="167"/>
        <v>14.580531626666666</v>
      </c>
      <c r="I1194" s="1" t="str">
        <f t="shared" si="168"/>
        <v>No</v>
      </c>
      <c r="J1194" s="1" t="str">
        <f t="shared" si="169"/>
        <v>Si</v>
      </c>
      <c r="K1194" s="1" t="str">
        <f t="shared" si="170"/>
        <v/>
      </c>
    </row>
    <row r="1195" spans="1:11" x14ac:dyDescent="0.3">
      <c r="A1195" s="1">
        <v>23</v>
      </c>
      <c r="B1195" s="1">
        <v>4</v>
      </c>
      <c r="C1195" s="12">
        <f t="shared" si="162"/>
        <v>-0.14999999999999991</v>
      </c>
      <c r="D1195" s="12">
        <f t="shared" si="163"/>
        <v>-1.575</v>
      </c>
      <c r="E1195" s="12">
        <f t="shared" si="164"/>
        <v>11.124003185777775</v>
      </c>
      <c r="F1195" s="12">
        <f t="shared" si="165"/>
        <v>11.124003185777775</v>
      </c>
      <c r="G1195" s="12">
        <f t="shared" si="166"/>
        <v>14.57702727111111</v>
      </c>
      <c r="H1195" s="12">
        <f t="shared" si="167"/>
        <v>14.57702727111111</v>
      </c>
      <c r="I1195" s="1" t="str">
        <f t="shared" si="168"/>
        <v>No</v>
      </c>
      <c r="J1195" s="1" t="str">
        <f t="shared" si="169"/>
        <v>Si</v>
      </c>
      <c r="K1195" s="1" t="str">
        <f t="shared" si="170"/>
        <v/>
      </c>
    </row>
    <row r="1196" spans="1:11" x14ac:dyDescent="0.3">
      <c r="A1196" s="1">
        <v>23</v>
      </c>
      <c r="B1196" s="1">
        <v>5</v>
      </c>
      <c r="C1196" s="12">
        <f t="shared" si="162"/>
        <v>-0.14999999999999991</v>
      </c>
      <c r="D1196" s="12">
        <f t="shared" si="163"/>
        <v>-1.5</v>
      </c>
      <c r="E1196" s="12">
        <f t="shared" si="164"/>
        <v>11.121515093333331</v>
      </c>
      <c r="F1196" s="12">
        <f t="shared" si="165"/>
        <v>11.121515093333331</v>
      </c>
      <c r="G1196" s="12">
        <f t="shared" si="166"/>
        <v>14.573522915555554</v>
      </c>
      <c r="H1196" s="12">
        <f t="shared" si="167"/>
        <v>14.573522915555554</v>
      </c>
      <c r="I1196" s="1" t="str">
        <f t="shared" si="168"/>
        <v>No</v>
      </c>
      <c r="J1196" s="1" t="str">
        <f t="shared" si="169"/>
        <v>Si</v>
      </c>
      <c r="K1196" s="1" t="str">
        <f t="shared" si="170"/>
        <v/>
      </c>
    </row>
    <row r="1197" spans="1:11" x14ac:dyDescent="0.3">
      <c r="A1197" s="1">
        <v>23</v>
      </c>
      <c r="B1197" s="1">
        <v>6</v>
      </c>
      <c r="C1197" s="12">
        <f t="shared" si="162"/>
        <v>-0.14999999999999991</v>
      </c>
      <c r="D1197" s="12">
        <f t="shared" si="163"/>
        <v>-1.425</v>
      </c>
      <c r="E1197" s="12">
        <f t="shared" si="164"/>
        <v>11.119027000888886</v>
      </c>
      <c r="F1197" s="12">
        <f t="shared" si="165"/>
        <v>11.119027000888886</v>
      </c>
      <c r="G1197" s="12">
        <f t="shared" si="166"/>
        <v>14.570018559999999</v>
      </c>
      <c r="H1197" s="12">
        <f t="shared" si="167"/>
        <v>14.570018559999999</v>
      </c>
      <c r="I1197" s="1" t="str">
        <f t="shared" si="168"/>
        <v>No</v>
      </c>
      <c r="J1197" s="1" t="str">
        <f t="shared" si="169"/>
        <v>Si</v>
      </c>
      <c r="K1197" s="1" t="str">
        <f t="shared" si="170"/>
        <v/>
      </c>
    </row>
    <row r="1198" spans="1:11" x14ac:dyDescent="0.3">
      <c r="A1198" s="1">
        <v>23</v>
      </c>
      <c r="B1198" s="1">
        <v>7</v>
      </c>
      <c r="C1198" s="12">
        <f t="shared" si="162"/>
        <v>-0.14999999999999991</v>
      </c>
      <c r="D1198" s="12">
        <f t="shared" si="163"/>
        <v>-1.35</v>
      </c>
      <c r="E1198" s="12">
        <f t="shared" si="164"/>
        <v>11.116538908444443</v>
      </c>
      <c r="F1198" s="12">
        <f t="shared" si="165"/>
        <v>11.116538908444443</v>
      </c>
      <c r="G1198" s="12">
        <f t="shared" si="166"/>
        <v>14.566514204444443</v>
      </c>
      <c r="H1198" s="12">
        <f t="shared" si="167"/>
        <v>14.566514204444443</v>
      </c>
      <c r="I1198" s="1" t="str">
        <f t="shared" si="168"/>
        <v>No</v>
      </c>
      <c r="J1198" s="1" t="str">
        <f t="shared" si="169"/>
        <v>Si</v>
      </c>
      <c r="K1198" s="1" t="str">
        <f t="shared" si="170"/>
        <v/>
      </c>
    </row>
    <row r="1199" spans="1:11" x14ac:dyDescent="0.3">
      <c r="A1199" s="1">
        <v>23</v>
      </c>
      <c r="B1199" s="1">
        <v>8</v>
      </c>
      <c r="C1199" s="12">
        <f t="shared" si="162"/>
        <v>-0.14999999999999991</v>
      </c>
      <c r="D1199" s="12">
        <f t="shared" si="163"/>
        <v>-1.2749999999999999</v>
      </c>
      <c r="E1199" s="12">
        <f t="shared" si="164"/>
        <v>11.114050815999999</v>
      </c>
      <c r="F1199" s="12">
        <f t="shared" si="165"/>
        <v>11.114050815999999</v>
      </c>
      <c r="G1199" s="12">
        <f t="shared" si="166"/>
        <v>14.563009848888887</v>
      </c>
      <c r="H1199" s="12">
        <f t="shared" si="167"/>
        <v>14.563009848888887</v>
      </c>
      <c r="I1199" s="1" t="str">
        <f t="shared" si="168"/>
        <v>No</v>
      </c>
      <c r="J1199" s="1" t="str">
        <f t="shared" si="169"/>
        <v>Si</v>
      </c>
      <c r="K1199" s="1" t="str">
        <f t="shared" si="170"/>
        <v/>
      </c>
    </row>
    <row r="1200" spans="1:11" x14ac:dyDescent="0.3">
      <c r="A1200" s="1">
        <v>23</v>
      </c>
      <c r="B1200" s="1">
        <v>9</v>
      </c>
      <c r="C1200" s="12">
        <f t="shared" si="162"/>
        <v>-0.14999999999999991</v>
      </c>
      <c r="D1200" s="12">
        <f t="shared" si="163"/>
        <v>-1.2</v>
      </c>
      <c r="E1200" s="12">
        <f t="shared" si="164"/>
        <v>11.111562723555554</v>
      </c>
      <c r="F1200" s="12">
        <f t="shared" si="165"/>
        <v>11.111562723555554</v>
      </c>
      <c r="G1200" s="12">
        <f t="shared" si="166"/>
        <v>14.559505493333331</v>
      </c>
      <c r="H1200" s="12">
        <f t="shared" si="167"/>
        <v>14.559505493333331</v>
      </c>
      <c r="I1200" s="1" t="str">
        <f t="shared" si="168"/>
        <v>No</v>
      </c>
      <c r="J1200" s="1" t="str">
        <f t="shared" si="169"/>
        <v>Si</v>
      </c>
      <c r="K1200" s="1" t="str">
        <f t="shared" si="170"/>
        <v/>
      </c>
    </row>
    <row r="1201" spans="1:11" x14ac:dyDescent="0.3">
      <c r="A1201" s="1">
        <v>23</v>
      </c>
      <c r="B1201" s="1">
        <v>10</v>
      </c>
      <c r="C1201" s="12">
        <f t="shared" si="162"/>
        <v>-0.14999999999999991</v>
      </c>
      <c r="D1201" s="12">
        <f t="shared" si="163"/>
        <v>-1.125</v>
      </c>
      <c r="E1201" s="12">
        <f t="shared" si="164"/>
        <v>11.10907463111111</v>
      </c>
      <c r="F1201" s="12">
        <f t="shared" si="165"/>
        <v>11.10907463111111</v>
      </c>
      <c r="G1201" s="12">
        <f t="shared" si="166"/>
        <v>14.556001137777777</v>
      </c>
      <c r="H1201" s="12">
        <f t="shared" si="167"/>
        <v>14.556001137777777</v>
      </c>
      <c r="I1201" s="1" t="str">
        <f t="shared" si="168"/>
        <v>No</v>
      </c>
      <c r="J1201" s="1" t="str">
        <f t="shared" si="169"/>
        <v>Si</v>
      </c>
      <c r="K1201" s="1" t="str">
        <f t="shared" si="170"/>
        <v/>
      </c>
    </row>
    <row r="1202" spans="1:11" x14ac:dyDescent="0.3">
      <c r="A1202" s="1">
        <v>23</v>
      </c>
      <c r="B1202" s="1">
        <v>11</v>
      </c>
      <c r="C1202" s="12">
        <f t="shared" si="162"/>
        <v>-0.14999999999999991</v>
      </c>
      <c r="D1202" s="12">
        <f t="shared" si="163"/>
        <v>-1.05</v>
      </c>
      <c r="E1202" s="12">
        <f t="shared" si="164"/>
        <v>11.106586538666665</v>
      </c>
      <c r="F1202" s="12">
        <f t="shared" si="165"/>
        <v>11.106586538666665</v>
      </c>
      <c r="G1202" s="12">
        <f t="shared" si="166"/>
        <v>14.552496782222221</v>
      </c>
      <c r="H1202" s="12">
        <f t="shared" si="167"/>
        <v>14.552496782222221</v>
      </c>
      <c r="I1202" s="1" t="str">
        <f t="shared" si="168"/>
        <v>No</v>
      </c>
      <c r="J1202" s="1" t="str">
        <f t="shared" si="169"/>
        <v>Si</v>
      </c>
      <c r="K1202" s="1" t="str">
        <f t="shared" si="170"/>
        <v/>
      </c>
    </row>
    <row r="1203" spans="1:11" x14ac:dyDescent="0.3">
      <c r="A1203" s="1">
        <v>23</v>
      </c>
      <c r="B1203" s="1">
        <v>12</v>
      </c>
      <c r="C1203" s="12">
        <f t="shared" si="162"/>
        <v>-0.14999999999999991</v>
      </c>
      <c r="D1203" s="12">
        <f t="shared" si="163"/>
        <v>-0.97499999999999998</v>
      </c>
      <c r="E1203" s="12">
        <f t="shared" si="164"/>
        <v>11.104098446222221</v>
      </c>
      <c r="F1203" s="12">
        <f t="shared" si="165"/>
        <v>11.104098446222221</v>
      </c>
      <c r="G1203" s="12">
        <f t="shared" si="166"/>
        <v>14.548992426666665</v>
      </c>
      <c r="H1203" s="12">
        <f t="shared" si="167"/>
        <v>14.548992426666665</v>
      </c>
      <c r="I1203" s="1" t="str">
        <f t="shared" si="168"/>
        <v>No</v>
      </c>
      <c r="J1203" s="1" t="str">
        <f t="shared" si="169"/>
        <v>Si</v>
      </c>
      <c r="K1203" s="1" t="str">
        <f t="shared" si="170"/>
        <v/>
      </c>
    </row>
    <row r="1204" spans="1:11" x14ac:dyDescent="0.3">
      <c r="A1204" s="1">
        <v>23</v>
      </c>
      <c r="B1204" s="1">
        <v>13</v>
      </c>
      <c r="C1204" s="12">
        <f t="shared" si="162"/>
        <v>-0.14999999999999991</v>
      </c>
      <c r="D1204" s="12">
        <f t="shared" si="163"/>
        <v>-0.9</v>
      </c>
      <c r="E1204" s="12">
        <f t="shared" si="164"/>
        <v>11.101610353777776</v>
      </c>
      <c r="F1204" s="12">
        <f t="shared" si="165"/>
        <v>11.101610353777776</v>
      </c>
      <c r="G1204" s="12">
        <f t="shared" si="166"/>
        <v>14.545488071111111</v>
      </c>
      <c r="H1204" s="12">
        <f t="shared" si="167"/>
        <v>14.545488071111111</v>
      </c>
      <c r="I1204" s="1" t="str">
        <f t="shared" si="168"/>
        <v>No</v>
      </c>
      <c r="J1204" s="1" t="str">
        <f t="shared" si="169"/>
        <v>Si</v>
      </c>
      <c r="K1204" s="1" t="str">
        <f t="shared" si="170"/>
        <v/>
      </c>
    </row>
    <row r="1205" spans="1:11" x14ac:dyDescent="0.3">
      <c r="A1205" s="1">
        <v>23</v>
      </c>
      <c r="B1205" s="1">
        <v>14</v>
      </c>
      <c r="C1205" s="12">
        <f t="shared" si="162"/>
        <v>-0.14999999999999991</v>
      </c>
      <c r="D1205" s="12">
        <f t="shared" si="163"/>
        <v>-0.82499999999999996</v>
      </c>
      <c r="E1205" s="12">
        <f t="shared" si="164"/>
        <v>11.099122261333331</v>
      </c>
      <c r="F1205" s="12">
        <f t="shared" si="165"/>
        <v>11.099122261333331</v>
      </c>
      <c r="G1205" s="12">
        <f t="shared" si="166"/>
        <v>14.541983715555554</v>
      </c>
      <c r="H1205" s="12">
        <f t="shared" si="167"/>
        <v>14.541983715555554</v>
      </c>
      <c r="I1205" s="1" t="str">
        <f t="shared" si="168"/>
        <v>No</v>
      </c>
      <c r="J1205" s="1" t="str">
        <f t="shared" si="169"/>
        <v>Si</v>
      </c>
      <c r="K1205" s="1" t="str">
        <f t="shared" si="170"/>
        <v/>
      </c>
    </row>
    <row r="1206" spans="1:11" x14ac:dyDescent="0.3">
      <c r="A1206" s="1">
        <v>23</v>
      </c>
      <c r="B1206" s="1">
        <v>15</v>
      </c>
      <c r="C1206" s="12">
        <f t="shared" si="162"/>
        <v>-0.14999999999999991</v>
      </c>
      <c r="D1206" s="12">
        <f t="shared" si="163"/>
        <v>-0.75</v>
      </c>
      <c r="E1206" s="12">
        <f t="shared" si="164"/>
        <v>11.096634168888887</v>
      </c>
      <c r="F1206" s="12">
        <f t="shared" si="165"/>
        <v>11.096634168888887</v>
      </c>
      <c r="G1206" s="12">
        <f t="shared" si="166"/>
        <v>14.538479359999998</v>
      </c>
      <c r="H1206" s="12">
        <f t="shared" si="167"/>
        <v>14.538479359999998</v>
      </c>
      <c r="I1206" s="1" t="str">
        <f t="shared" si="168"/>
        <v>No</v>
      </c>
      <c r="J1206" s="1" t="str">
        <f t="shared" si="169"/>
        <v>Si</v>
      </c>
      <c r="K1206" s="1" t="str">
        <f t="shared" si="170"/>
        <v/>
      </c>
    </row>
    <row r="1207" spans="1:11" x14ac:dyDescent="0.3">
      <c r="A1207" s="1">
        <v>23</v>
      </c>
      <c r="B1207" s="1">
        <v>16</v>
      </c>
      <c r="C1207" s="12">
        <f t="shared" si="162"/>
        <v>-0.14999999999999991</v>
      </c>
      <c r="D1207" s="12">
        <f t="shared" si="163"/>
        <v>-0.67500000000000004</v>
      </c>
      <c r="E1207" s="12">
        <f t="shared" si="164"/>
        <v>11.094146076444442</v>
      </c>
      <c r="F1207" s="12">
        <f t="shared" si="165"/>
        <v>11.094146076444442</v>
      </c>
      <c r="G1207" s="12">
        <f t="shared" si="166"/>
        <v>14.534975004444442</v>
      </c>
      <c r="H1207" s="12">
        <f t="shared" si="167"/>
        <v>14.534975004444442</v>
      </c>
      <c r="I1207" s="1" t="str">
        <f t="shared" si="168"/>
        <v>No</v>
      </c>
      <c r="J1207" s="1" t="str">
        <f t="shared" si="169"/>
        <v>Si</v>
      </c>
      <c r="K1207" s="1" t="str">
        <f t="shared" si="170"/>
        <v/>
      </c>
    </row>
    <row r="1208" spans="1:11" x14ac:dyDescent="0.3">
      <c r="A1208" s="1">
        <v>23</v>
      </c>
      <c r="B1208" s="1">
        <v>17</v>
      </c>
      <c r="C1208" s="12">
        <f t="shared" si="162"/>
        <v>-0.14999999999999991</v>
      </c>
      <c r="D1208" s="12">
        <f t="shared" si="163"/>
        <v>-0.60000000000000009</v>
      </c>
      <c r="E1208" s="12">
        <f t="shared" si="164"/>
        <v>11.091657983999998</v>
      </c>
      <c r="F1208" s="12">
        <f t="shared" si="165"/>
        <v>11.091657983999998</v>
      </c>
      <c r="G1208" s="12">
        <f t="shared" si="166"/>
        <v>14.531470648888888</v>
      </c>
      <c r="H1208" s="12">
        <f t="shared" si="167"/>
        <v>14.531470648888888</v>
      </c>
      <c r="I1208" s="1" t="str">
        <f t="shared" si="168"/>
        <v>No</v>
      </c>
      <c r="J1208" s="1" t="str">
        <f t="shared" si="169"/>
        <v>Si</v>
      </c>
      <c r="K1208" s="1" t="str">
        <f t="shared" si="170"/>
        <v/>
      </c>
    </row>
    <row r="1209" spans="1:11" x14ac:dyDescent="0.3">
      <c r="A1209" s="1">
        <v>23</v>
      </c>
      <c r="B1209" s="1">
        <v>18</v>
      </c>
      <c r="C1209" s="12">
        <f t="shared" si="162"/>
        <v>-0.14999999999999991</v>
      </c>
      <c r="D1209" s="12">
        <f t="shared" si="163"/>
        <v>-0.52499999999999991</v>
      </c>
      <c r="E1209" s="12">
        <f t="shared" si="164"/>
        <v>11.089169891555553</v>
      </c>
      <c r="F1209" s="12">
        <f t="shared" si="165"/>
        <v>11.089169891555553</v>
      </c>
      <c r="G1209" s="12">
        <f t="shared" si="166"/>
        <v>14.527966293333332</v>
      </c>
      <c r="H1209" s="12">
        <f t="shared" si="167"/>
        <v>14.527966293333332</v>
      </c>
      <c r="I1209" s="1" t="str">
        <f t="shared" si="168"/>
        <v>No</v>
      </c>
      <c r="J1209" s="1" t="str">
        <f t="shared" si="169"/>
        <v>Si</v>
      </c>
      <c r="K1209" s="1" t="str">
        <f t="shared" si="170"/>
        <v/>
      </c>
    </row>
    <row r="1210" spans="1:11" x14ac:dyDescent="0.3">
      <c r="A1210" s="1">
        <v>23</v>
      </c>
      <c r="B1210" s="1">
        <v>19</v>
      </c>
      <c r="C1210" s="12">
        <f t="shared" si="162"/>
        <v>-0.14999999999999991</v>
      </c>
      <c r="D1210" s="12">
        <f t="shared" si="163"/>
        <v>-0.44999999999999996</v>
      </c>
      <c r="E1210" s="12">
        <f t="shared" si="164"/>
        <v>11.08668179911111</v>
      </c>
      <c r="F1210" s="12">
        <f t="shared" si="165"/>
        <v>11.08668179911111</v>
      </c>
      <c r="G1210" s="12">
        <f t="shared" si="166"/>
        <v>14.524461937777776</v>
      </c>
      <c r="H1210" s="12">
        <f t="shared" si="167"/>
        <v>14.524461937777776</v>
      </c>
      <c r="I1210" s="1" t="str">
        <f t="shared" si="168"/>
        <v>No</v>
      </c>
      <c r="J1210" s="1" t="str">
        <f t="shared" si="169"/>
        <v>Si</v>
      </c>
      <c r="K1210" s="1" t="str">
        <f t="shared" si="170"/>
        <v/>
      </c>
    </row>
    <row r="1211" spans="1:11" x14ac:dyDescent="0.3">
      <c r="A1211" s="1">
        <v>23</v>
      </c>
      <c r="B1211" s="1">
        <v>20</v>
      </c>
      <c r="C1211" s="12">
        <f t="shared" si="162"/>
        <v>-0.14999999999999991</v>
      </c>
      <c r="D1211" s="12">
        <f t="shared" si="163"/>
        <v>-0.375</v>
      </c>
      <c r="E1211" s="12">
        <f t="shared" si="164"/>
        <v>11.084193706666666</v>
      </c>
      <c r="F1211" s="12">
        <f t="shared" si="165"/>
        <v>11.084193706666666</v>
      </c>
      <c r="G1211" s="12">
        <f t="shared" si="166"/>
        <v>14.520957582222222</v>
      </c>
      <c r="H1211" s="12">
        <f t="shared" si="167"/>
        <v>14.520957582222222</v>
      </c>
      <c r="I1211" s="1" t="str">
        <f t="shared" si="168"/>
        <v>No</v>
      </c>
      <c r="J1211" s="1" t="str">
        <f t="shared" si="169"/>
        <v>Si</v>
      </c>
      <c r="K1211" s="1" t="str">
        <f t="shared" si="170"/>
        <v/>
      </c>
    </row>
    <row r="1212" spans="1:11" x14ac:dyDescent="0.3">
      <c r="A1212" s="1">
        <v>23</v>
      </c>
      <c r="B1212" s="1">
        <v>21</v>
      </c>
      <c r="C1212" s="12">
        <f t="shared" si="162"/>
        <v>-0.14999999999999991</v>
      </c>
      <c r="D1212" s="12">
        <f t="shared" si="163"/>
        <v>-0.30000000000000004</v>
      </c>
      <c r="E1212" s="12">
        <f t="shared" si="164"/>
        <v>11.081705614222221</v>
      </c>
      <c r="F1212" s="12">
        <f t="shared" si="165"/>
        <v>11.081705614222221</v>
      </c>
      <c r="G1212" s="12">
        <f t="shared" si="166"/>
        <v>14.517453226666666</v>
      </c>
      <c r="H1212" s="12">
        <f t="shared" si="167"/>
        <v>14.517453226666666</v>
      </c>
      <c r="I1212" s="1" t="str">
        <f t="shared" si="168"/>
        <v>No</v>
      </c>
      <c r="J1212" s="1" t="str">
        <f t="shared" si="169"/>
        <v>Si</v>
      </c>
      <c r="K1212" s="1" t="str">
        <f t="shared" si="170"/>
        <v/>
      </c>
    </row>
    <row r="1213" spans="1:11" x14ac:dyDescent="0.3">
      <c r="A1213" s="1">
        <v>23</v>
      </c>
      <c r="B1213" s="1">
        <v>22</v>
      </c>
      <c r="C1213" s="12">
        <f t="shared" si="162"/>
        <v>-0.14999999999999991</v>
      </c>
      <c r="D1213" s="12">
        <f t="shared" si="163"/>
        <v>-0.22500000000000009</v>
      </c>
      <c r="E1213" s="12">
        <f t="shared" si="164"/>
        <v>11.079217521777776</v>
      </c>
      <c r="F1213" s="12">
        <f t="shared" si="165"/>
        <v>11.079217521777776</v>
      </c>
      <c r="G1213" s="12">
        <f t="shared" si="166"/>
        <v>14.51394887111111</v>
      </c>
      <c r="H1213" s="12">
        <f t="shared" si="167"/>
        <v>14.51394887111111</v>
      </c>
      <c r="I1213" s="1" t="str">
        <f t="shared" si="168"/>
        <v>No</v>
      </c>
      <c r="J1213" s="1" t="str">
        <f t="shared" si="169"/>
        <v>Si</v>
      </c>
      <c r="K1213" s="1" t="str">
        <f t="shared" si="170"/>
        <v/>
      </c>
    </row>
    <row r="1214" spans="1:11" x14ac:dyDescent="0.3">
      <c r="A1214" s="1">
        <v>23</v>
      </c>
      <c r="B1214" s="1">
        <v>23</v>
      </c>
      <c r="C1214" s="12">
        <f t="shared" si="162"/>
        <v>-0.14999999999999991</v>
      </c>
      <c r="D1214" s="12">
        <f t="shared" si="163"/>
        <v>-0.14999999999999991</v>
      </c>
      <c r="E1214" s="12">
        <f t="shared" si="164"/>
        <v>11.076729429333332</v>
      </c>
      <c r="F1214" s="12">
        <f t="shared" si="165"/>
        <v>11.076729429333332</v>
      </c>
      <c r="G1214" s="12">
        <f t="shared" si="166"/>
        <v>14.510444515555553</v>
      </c>
      <c r="H1214" s="12">
        <f t="shared" si="167"/>
        <v>14.510444515555553</v>
      </c>
      <c r="I1214" s="1" t="str">
        <f t="shared" si="168"/>
        <v>Si</v>
      </c>
      <c r="J1214" s="1" t="str">
        <f t="shared" si="169"/>
        <v>Si</v>
      </c>
      <c r="K1214" s="1" t="str">
        <f t="shared" si="170"/>
        <v/>
      </c>
    </row>
    <row r="1215" spans="1:11" x14ac:dyDescent="0.3">
      <c r="A1215" s="1">
        <v>23</v>
      </c>
      <c r="B1215" s="1">
        <v>24</v>
      </c>
      <c r="C1215" s="12">
        <f t="shared" si="162"/>
        <v>-0.14999999999999991</v>
      </c>
      <c r="D1215" s="12">
        <f t="shared" si="163"/>
        <v>-7.4999999999999956E-2</v>
      </c>
      <c r="E1215" s="12">
        <f t="shared" si="164"/>
        <v>11.074241336888887</v>
      </c>
      <c r="F1215" s="12">
        <f t="shared" si="165"/>
        <v>11.074241336888887</v>
      </c>
      <c r="G1215" s="12">
        <f t="shared" si="166"/>
        <v>14.506940159999999</v>
      </c>
      <c r="H1215" s="12">
        <f t="shared" si="167"/>
        <v>14.506940159999999</v>
      </c>
      <c r="I1215" s="1" t="str">
        <f t="shared" si="168"/>
        <v>Si</v>
      </c>
      <c r="J1215" s="1" t="str">
        <f t="shared" si="169"/>
        <v>Si</v>
      </c>
      <c r="K1215" s="1" t="str">
        <f t="shared" si="170"/>
        <v/>
      </c>
    </row>
    <row r="1216" spans="1:11" x14ac:dyDescent="0.3">
      <c r="A1216" s="1">
        <v>23</v>
      </c>
      <c r="B1216" s="1">
        <v>25</v>
      </c>
      <c r="C1216" s="12">
        <f t="shared" si="162"/>
        <v>-0.14999999999999991</v>
      </c>
      <c r="D1216" s="12">
        <f t="shared" si="163"/>
        <v>0</v>
      </c>
      <c r="E1216" s="12">
        <f t="shared" si="164"/>
        <v>11.071753244444443</v>
      </c>
      <c r="F1216" s="12">
        <f t="shared" si="165"/>
        <v>11.071753244444443</v>
      </c>
      <c r="G1216" s="12">
        <f t="shared" si="166"/>
        <v>14.503435804444443</v>
      </c>
      <c r="H1216" s="12">
        <f t="shared" si="167"/>
        <v>14.503435804444443</v>
      </c>
      <c r="I1216" s="1" t="str">
        <f t="shared" si="168"/>
        <v>Si</v>
      </c>
      <c r="J1216" s="1" t="str">
        <f t="shared" si="169"/>
        <v>Si</v>
      </c>
      <c r="K1216" s="1" t="str">
        <f t="shared" si="170"/>
        <v/>
      </c>
    </row>
    <row r="1217" spans="1:11" x14ac:dyDescent="0.3">
      <c r="A1217" s="1">
        <v>23</v>
      </c>
      <c r="B1217" s="1">
        <v>26</v>
      </c>
      <c r="C1217" s="12">
        <f t="shared" si="162"/>
        <v>-0.14999999999999991</v>
      </c>
      <c r="D1217" s="12">
        <f t="shared" si="163"/>
        <v>7.4999999999999956E-2</v>
      </c>
      <c r="E1217" s="12">
        <f t="shared" si="164"/>
        <v>11.069265151999998</v>
      </c>
      <c r="F1217" s="12">
        <f t="shared" si="165"/>
        <v>11.069265151999998</v>
      </c>
      <c r="G1217" s="12">
        <f t="shared" si="166"/>
        <v>14.499931448888887</v>
      </c>
      <c r="H1217" s="12">
        <f t="shared" si="167"/>
        <v>14.499931448888887</v>
      </c>
      <c r="I1217" s="1" t="str">
        <f t="shared" si="168"/>
        <v>Si</v>
      </c>
      <c r="J1217" s="1" t="str">
        <f t="shared" si="169"/>
        <v>Si</v>
      </c>
      <c r="K1217" s="1" t="str">
        <f t="shared" si="170"/>
        <v/>
      </c>
    </row>
    <row r="1218" spans="1:11" x14ac:dyDescent="0.3">
      <c r="A1218" s="1">
        <v>23</v>
      </c>
      <c r="B1218" s="1">
        <v>27</v>
      </c>
      <c r="C1218" s="12">
        <f t="shared" si="162"/>
        <v>-0.14999999999999991</v>
      </c>
      <c r="D1218" s="12">
        <f t="shared" si="163"/>
        <v>0.14999999999999991</v>
      </c>
      <c r="E1218" s="12">
        <f t="shared" si="164"/>
        <v>11.066777059555553</v>
      </c>
      <c r="F1218" s="12">
        <f t="shared" si="165"/>
        <v>11.066777059555553</v>
      </c>
      <c r="G1218" s="12">
        <f t="shared" si="166"/>
        <v>14.496427093333333</v>
      </c>
      <c r="H1218" s="12">
        <f t="shared" si="167"/>
        <v>14.496427093333333</v>
      </c>
      <c r="I1218" s="1" t="str">
        <f t="shared" si="168"/>
        <v>Si</v>
      </c>
      <c r="J1218" s="1" t="str">
        <f t="shared" si="169"/>
        <v>Si</v>
      </c>
      <c r="K1218" s="1" t="str">
        <f t="shared" si="170"/>
        <v/>
      </c>
    </row>
    <row r="1219" spans="1:11" x14ac:dyDescent="0.3">
      <c r="A1219" s="1">
        <v>23</v>
      </c>
      <c r="B1219" s="1">
        <v>28</v>
      </c>
      <c r="C1219" s="12">
        <f t="shared" si="162"/>
        <v>-0.14999999999999991</v>
      </c>
      <c r="D1219" s="12">
        <f t="shared" si="163"/>
        <v>0.22500000000000009</v>
      </c>
      <c r="E1219" s="12">
        <f t="shared" si="164"/>
        <v>11.064288967111109</v>
      </c>
      <c r="F1219" s="12">
        <f t="shared" si="165"/>
        <v>11.064288967111109</v>
      </c>
      <c r="G1219" s="12">
        <f t="shared" si="166"/>
        <v>14.492922737777777</v>
      </c>
      <c r="H1219" s="12">
        <f t="shared" si="167"/>
        <v>14.492922737777777</v>
      </c>
      <c r="I1219" s="1" t="str">
        <f t="shared" si="168"/>
        <v>No</v>
      </c>
      <c r="J1219" s="1" t="str">
        <f t="shared" si="169"/>
        <v>Si</v>
      </c>
      <c r="K1219" s="1" t="str">
        <f t="shared" si="170"/>
        <v/>
      </c>
    </row>
    <row r="1220" spans="1:11" x14ac:dyDescent="0.3">
      <c r="A1220" s="1">
        <v>23</v>
      </c>
      <c r="B1220" s="1">
        <v>29</v>
      </c>
      <c r="C1220" s="12">
        <f t="shared" si="162"/>
        <v>-0.14999999999999991</v>
      </c>
      <c r="D1220" s="12">
        <f t="shared" si="163"/>
        <v>0.29999999999999982</v>
      </c>
      <c r="E1220" s="12">
        <f t="shared" si="164"/>
        <v>11.061800874666664</v>
      </c>
      <c r="F1220" s="12">
        <f t="shared" si="165"/>
        <v>11.061800874666664</v>
      </c>
      <c r="G1220" s="12">
        <f t="shared" si="166"/>
        <v>14.489418382222221</v>
      </c>
      <c r="H1220" s="12">
        <f t="shared" si="167"/>
        <v>14.489418382222221</v>
      </c>
      <c r="I1220" s="1" t="str">
        <f t="shared" si="168"/>
        <v>No</v>
      </c>
      <c r="J1220" s="1" t="str">
        <f t="shared" si="169"/>
        <v>Si</v>
      </c>
      <c r="K1220" s="1" t="str">
        <f t="shared" si="170"/>
        <v/>
      </c>
    </row>
    <row r="1221" spans="1:11" x14ac:dyDescent="0.3">
      <c r="A1221" s="1">
        <v>23</v>
      </c>
      <c r="B1221" s="1">
        <v>30</v>
      </c>
      <c r="C1221" s="12">
        <f t="shared" si="162"/>
        <v>-0.14999999999999991</v>
      </c>
      <c r="D1221" s="12">
        <f t="shared" si="163"/>
        <v>0.375</v>
      </c>
      <c r="E1221" s="12">
        <f t="shared" si="164"/>
        <v>11.05931278222222</v>
      </c>
      <c r="F1221" s="12">
        <f t="shared" si="165"/>
        <v>11.05931278222222</v>
      </c>
      <c r="G1221" s="12">
        <f t="shared" si="166"/>
        <v>14.485914026666665</v>
      </c>
      <c r="H1221" s="12">
        <f t="shared" si="167"/>
        <v>14.485914026666665</v>
      </c>
      <c r="I1221" s="1" t="str">
        <f t="shared" si="168"/>
        <v>No</v>
      </c>
      <c r="J1221" s="1" t="str">
        <f t="shared" si="169"/>
        <v>Si</v>
      </c>
      <c r="K1221" s="1" t="str">
        <f t="shared" si="170"/>
        <v/>
      </c>
    </row>
    <row r="1222" spans="1:11" x14ac:dyDescent="0.3">
      <c r="A1222" s="1">
        <v>23</v>
      </c>
      <c r="B1222" s="1">
        <v>31</v>
      </c>
      <c r="C1222" s="12">
        <f t="shared" si="162"/>
        <v>-0.14999999999999991</v>
      </c>
      <c r="D1222" s="12">
        <f t="shared" si="163"/>
        <v>0.45000000000000018</v>
      </c>
      <c r="E1222" s="12">
        <f t="shared" si="164"/>
        <v>11.056824689777775</v>
      </c>
      <c r="F1222" s="12">
        <f t="shared" si="165"/>
        <v>11.056824689777775</v>
      </c>
      <c r="G1222" s="12">
        <f t="shared" si="166"/>
        <v>14.48240967111111</v>
      </c>
      <c r="H1222" s="12">
        <f t="shared" si="167"/>
        <v>14.48240967111111</v>
      </c>
      <c r="I1222" s="1" t="str">
        <f t="shared" si="168"/>
        <v>No</v>
      </c>
      <c r="J1222" s="1" t="str">
        <f t="shared" si="169"/>
        <v>Si</v>
      </c>
      <c r="K1222" s="1" t="str">
        <f t="shared" si="170"/>
        <v/>
      </c>
    </row>
    <row r="1223" spans="1:11" x14ac:dyDescent="0.3">
      <c r="A1223" s="1">
        <v>23</v>
      </c>
      <c r="B1223" s="1">
        <v>32</v>
      </c>
      <c r="C1223" s="12">
        <f t="shared" si="162"/>
        <v>-0.14999999999999991</v>
      </c>
      <c r="D1223" s="12">
        <f t="shared" si="163"/>
        <v>0.52499999999999991</v>
      </c>
      <c r="E1223" s="12">
        <f t="shared" si="164"/>
        <v>11.054336597333332</v>
      </c>
      <c r="F1223" s="12">
        <f t="shared" si="165"/>
        <v>11.054336597333332</v>
      </c>
      <c r="G1223" s="12">
        <f t="shared" si="166"/>
        <v>14.478905315555554</v>
      </c>
      <c r="H1223" s="12">
        <f t="shared" si="167"/>
        <v>14.478905315555554</v>
      </c>
      <c r="I1223" s="1" t="str">
        <f t="shared" si="168"/>
        <v>No</v>
      </c>
      <c r="J1223" s="1" t="str">
        <f t="shared" si="169"/>
        <v>Si</v>
      </c>
      <c r="K1223" s="1" t="str">
        <f t="shared" si="170"/>
        <v/>
      </c>
    </row>
    <row r="1224" spans="1:11" x14ac:dyDescent="0.3">
      <c r="A1224" s="1">
        <v>23</v>
      </c>
      <c r="B1224" s="1">
        <v>33</v>
      </c>
      <c r="C1224" s="12">
        <f t="shared" si="162"/>
        <v>-0.14999999999999991</v>
      </c>
      <c r="D1224" s="12">
        <f t="shared" si="163"/>
        <v>0.60000000000000009</v>
      </c>
      <c r="E1224" s="12">
        <f t="shared" si="164"/>
        <v>11.051848504888888</v>
      </c>
      <c r="F1224" s="12">
        <f t="shared" si="165"/>
        <v>11.051848504888888</v>
      </c>
      <c r="G1224" s="12">
        <f t="shared" si="166"/>
        <v>14.475400959999998</v>
      </c>
      <c r="H1224" s="12">
        <f t="shared" si="167"/>
        <v>14.475400959999998</v>
      </c>
      <c r="I1224" s="1" t="str">
        <f t="shared" si="168"/>
        <v>No</v>
      </c>
      <c r="J1224" s="1" t="str">
        <f t="shared" si="169"/>
        <v>Si</v>
      </c>
      <c r="K1224" s="1" t="str">
        <f t="shared" si="170"/>
        <v/>
      </c>
    </row>
    <row r="1225" spans="1:11" x14ac:dyDescent="0.3">
      <c r="A1225" s="1">
        <v>23</v>
      </c>
      <c r="B1225" s="1">
        <v>34</v>
      </c>
      <c r="C1225" s="12">
        <f t="shared" si="162"/>
        <v>-0.14999999999999991</v>
      </c>
      <c r="D1225" s="12">
        <f t="shared" si="163"/>
        <v>0.67499999999999982</v>
      </c>
      <c r="E1225" s="12">
        <f t="shared" si="164"/>
        <v>11.049360412444443</v>
      </c>
      <c r="F1225" s="12">
        <f t="shared" si="165"/>
        <v>11.049360412444443</v>
      </c>
      <c r="G1225" s="12">
        <f t="shared" si="166"/>
        <v>14.471896604444444</v>
      </c>
      <c r="H1225" s="12">
        <f t="shared" si="167"/>
        <v>14.471896604444444</v>
      </c>
      <c r="I1225" s="1" t="str">
        <f t="shared" si="168"/>
        <v>No</v>
      </c>
      <c r="J1225" s="1" t="str">
        <f t="shared" si="169"/>
        <v>Si</v>
      </c>
      <c r="K1225" s="1" t="str">
        <f t="shared" si="170"/>
        <v/>
      </c>
    </row>
    <row r="1226" spans="1:11" x14ac:dyDescent="0.3">
      <c r="A1226" s="1">
        <v>23</v>
      </c>
      <c r="B1226" s="1">
        <v>35</v>
      </c>
      <c r="C1226" s="12">
        <f t="shared" si="162"/>
        <v>-0.14999999999999991</v>
      </c>
      <c r="D1226" s="12">
        <f t="shared" si="163"/>
        <v>0.75</v>
      </c>
      <c r="E1226" s="12">
        <f t="shared" si="164"/>
        <v>11.046872319999999</v>
      </c>
      <c r="F1226" s="12">
        <f t="shared" si="165"/>
        <v>11.046872319999999</v>
      </c>
      <c r="G1226" s="12">
        <f t="shared" si="166"/>
        <v>14.468392248888888</v>
      </c>
      <c r="H1226" s="12">
        <f t="shared" si="167"/>
        <v>14.468392248888888</v>
      </c>
      <c r="I1226" s="1" t="str">
        <f t="shared" si="168"/>
        <v>No</v>
      </c>
      <c r="J1226" s="1" t="str">
        <f t="shared" si="169"/>
        <v>Si</v>
      </c>
      <c r="K1226" s="1" t="str">
        <f t="shared" si="170"/>
        <v/>
      </c>
    </row>
    <row r="1227" spans="1:11" x14ac:dyDescent="0.3">
      <c r="A1227" s="1">
        <v>23</v>
      </c>
      <c r="B1227" s="1">
        <v>36</v>
      </c>
      <c r="C1227" s="12">
        <f t="shared" si="162"/>
        <v>-0.14999999999999991</v>
      </c>
      <c r="D1227" s="12">
        <f t="shared" si="163"/>
        <v>0.82500000000000018</v>
      </c>
      <c r="E1227" s="12">
        <f t="shared" si="164"/>
        <v>11.044384227555554</v>
      </c>
      <c r="F1227" s="12">
        <f t="shared" si="165"/>
        <v>11.044384227555554</v>
      </c>
      <c r="G1227" s="12">
        <f t="shared" si="166"/>
        <v>14.464887893333332</v>
      </c>
      <c r="H1227" s="12">
        <f t="shared" si="167"/>
        <v>14.464887893333332</v>
      </c>
      <c r="I1227" s="1" t="str">
        <f t="shared" si="168"/>
        <v>No</v>
      </c>
      <c r="J1227" s="1" t="str">
        <f t="shared" si="169"/>
        <v>Si</v>
      </c>
      <c r="K1227" s="1" t="str">
        <f t="shared" si="170"/>
        <v/>
      </c>
    </row>
    <row r="1228" spans="1:11" x14ac:dyDescent="0.3">
      <c r="A1228" s="1">
        <v>23</v>
      </c>
      <c r="B1228" s="1">
        <v>37</v>
      </c>
      <c r="C1228" s="12">
        <f t="shared" si="162"/>
        <v>-0.14999999999999991</v>
      </c>
      <c r="D1228" s="12">
        <f t="shared" si="163"/>
        <v>0.89999999999999991</v>
      </c>
      <c r="E1228" s="12">
        <f t="shared" si="164"/>
        <v>11.041896135111109</v>
      </c>
      <c r="F1228" s="12">
        <f t="shared" si="165"/>
        <v>11.041896135111109</v>
      </c>
      <c r="G1228" s="12">
        <f t="shared" si="166"/>
        <v>14.461383537777776</v>
      </c>
      <c r="H1228" s="12">
        <f t="shared" si="167"/>
        <v>14.461383537777776</v>
      </c>
      <c r="I1228" s="1" t="str">
        <f t="shared" si="168"/>
        <v>No</v>
      </c>
      <c r="J1228" s="1" t="str">
        <f t="shared" si="169"/>
        <v>Si</v>
      </c>
      <c r="K1228" s="1" t="str">
        <f t="shared" si="170"/>
        <v/>
      </c>
    </row>
    <row r="1229" spans="1:11" x14ac:dyDescent="0.3">
      <c r="A1229" s="1">
        <v>23</v>
      </c>
      <c r="B1229" s="1">
        <v>38</v>
      </c>
      <c r="C1229" s="12">
        <f t="shared" si="162"/>
        <v>-0.14999999999999991</v>
      </c>
      <c r="D1229" s="12">
        <f t="shared" si="163"/>
        <v>0.97500000000000009</v>
      </c>
      <c r="E1229" s="12">
        <f t="shared" si="164"/>
        <v>11.039408042666665</v>
      </c>
      <c r="F1229" s="12">
        <f t="shared" si="165"/>
        <v>11.039408042666665</v>
      </c>
      <c r="G1229" s="12">
        <f t="shared" si="166"/>
        <v>14.457879182222221</v>
      </c>
      <c r="H1229" s="12">
        <f t="shared" si="167"/>
        <v>14.457879182222221</v>
      </c>
      <c r="I1229" s="1" t="str">
        <f t="shared" si="168"/>
        <v>No</v>
      </c>
      <c r="J1229" s="1" t="str">
        <f t="shared" si="169"/>
        <v>Si</v>
      </c>
      <c r="K1229" s="1" t="str">
        <f t="shared" si="170"/>
        <v/>
      </c>
    </row>
    <row r="1230" spans="1:11" x14ac:dyDescent="0.3">
      <c r="A1230" s="1">
        <v>23</v>
      </c>
      <c r="B1230" s="1">
        <v>39</v>
      </c>
      <c r="C1230" s="12">
        <f t="shared" si="162"/>
        <v>-0.14999999999999991</v>
      </c>
      <c r="D1230" s="12">
        <f t="shared" si="163"/>
        <v>1.0499999999999998</v>
      </c>
      <c r="E1230" s="12">
        <f t="shared" si="164"/>
        <v>11.03691995022222</v>
      </c>
      <c r="F1230" s="12">
        <f t="shared" si="165"/>
        <v>11.03691995022222</v>
      </c>
      <c r="G1230" s="12">
        <f t="shared" si="166"/>
        <v>14.454374826666665</v>
      </c>
      <c r="H1230" s="12">
        <f t="shared" si="167"/>
        <v>14.454374826666665</v>
      </c>
      <c r="I1230" s="1" t="str">
        <f t="shared" si="168"/>
        <v>No</v>
      </c>
      <c r="J1230" s="1" t="str">
        <f t="shared" si="169"/>
        <v>Si</v>
      </c>
      <c r="K1230" s="1" t="str">
        <f t="shared" si="170"/>
        <v/>
      </c>
    </row>
    <row r="1231" spans="1:11" x14ac:dyDescent="0.3">
      <c r="A1231" s="1">
        <v>23</v>
      </c>
      <c r="B1231" s="1">
        <v>40</v>
      </c>
      <c r="C1231" s="12">
        <f t="shared" si="162"/>
        <v>-0.14999999999999991</v>
      </c>
      <c r="D1231" s="12">
        <f t="shared" si="163"/>
        <v>1.125</v>
      </c>
      <c r="E1231" s="12">
        <f t="shared" si="164"/>
        <v>11.034431857777776</v>
      </c>
      <c r="F1231" s="12">
        <f t="shared" si="165"/>
        <v>11.034431857777776</v>
      </c>
      <c r="G1231" s="12">
        <f t="shared" si="166"/>
        <v>14.450870471111109</v>
      </c>
      <c r="H1231" s="12">
        <f t="shared" si="167"/>
        <v>14.450870471111109</v>
      </c>
      <c r="I1231" s="1" t="str">
        <f t="shared" si="168"/>
        <v>No</v>
      </c>
      <c r="J1231" s="1" t="str">
        <f t="shared" si="169"/>
        <v>Si</v>
      </c>
      <c r="K1231" s="1" t="str">
        <f t="shared" si="170"/>
        <v/>
      </c>
    </row>
    <row r="1232" spans="1:11" x14ac:dyDescent="0.3">
      <c r="A1232" s="1">
        <v>23</v>
      </c>
      <c r="B1232" s="1">
        <v>41</v>
      </c>
      <c r="C1232" s="12">
        <f t="shared" si="162"/>
        <v>-0.14999999999999991</v>
      </c>
      <c r="D1232" s="12">
        <f t="shared" si="163"/>
        <v>1.2000000000000002</v>
      </c>
      <c r="E1232" s="12">
        <f t="shared" si="164"/>
        <v>11.031943765333331</v>
      </c>
      <c r="F1232" s="12">
        <f t="shared" si="165"/>
        <v>11.031943765333331</v>
      </c>
      <c r="G1232" s="12">
        <f t="shared" si="166"/>
        <v>14.447366115555555</v>
      </c>
      <c r="H1232" s="12">
        <f t="shared" si="167"/>
        <v>14.447366115555555</v>
      </c>
      <c r="I1232" s="1" t="str">
        <f t="shared" si="168"/>
        <v>No</v>
      </c>
      <c r="J1232" s="1" t="str">
        <f t="shared" si="169"/>
        <v>Si</v>
      </c>
      <c r="K1232" s="1" t="str">
        <f t="shared" si="170"/>
        <v/>
      </c>
    </row>
    <row r="1233" spans="1:11" x14ac:dyDescent="0.3">
      <c r="A1233" s="1">
        <v>23</v>
      </c>
      <c r="B1233" s="1">
        <v>42</v>
      </c>
      <c r="C1233" s="12">
        <f t="shared" si="162"/>
        <v>-0.14999999999999991</v>
      </c>
      <c r="D1233" s="12">
        <f t="shared" si="163"/>
        <v>1.2749999999999999</v>
      </c>
      <c r="E1233" s="12">
        <f t="shared" si="164"/>
        <v>11.029455672888886</v>
      </c>
      <c r="F1233" s="12">
        <f t="shared" si="165"/>
        <v>11.029455672888886</v>
      </c>
      <c r="G1233" s="12">
        <f t="shared" si="166"/>
        <v>14.443861759999999</v>
      </c>
      <c r="H1233" s="12">
        <f t="shared" si="167"/>
        <v>14.443861759999999</v>
      </c>
      <c r="I1233" s="1" t="str">
        <f t="shared" si="168"/>
        <v>No</v>
      </c>
      <c r="J1233" s="1" t="str">
        <f t="shared" si="169"/>
        <v>Si</v>
      </c>
      <c r="K1233" s="1" t="str">
        <f t="shared" si="170"/>
        <v/>
      </c>
    </row>
    <row r="1234" spans="1:11" x14ac:dyDescent="0.3">
      <c r="A1234" s="1">
        <v>23</v>
      </c>
      <c r="B1234" s="1">
        <v>43</v>
      </c>
      <c r="C1234" s="12">
        <f t="shared" ref="C1234:C1297" si="171">IF(OR(A1234&gt;inp_n_div_x,B1234&gt;inp_n_div_y),"",-inp_bx/2+A1234*inp_bx/inp_n_div_x)</f>
        <v>-0.14999999999999991</v>
      </c>
      <c r="D1234" s="12">
        <f t="shared" ref="D1234:D1297" si="172">IF(C1234="","",-inp_by/2+B1234*inp_by/inp_n_div_y)</f>
        <v>1.35</v>
      </c>
      <c r="E1234" s="12">
        <f t="shared" ref="E1234:E1297" si="173">IF(C1234="","",res_srv_p_tot/geo_area+res_srv_mx_tot/geo_ix*D1234+res_srv_my_tot/geo_iy*C1234)</f>
        <v>11.026967580444442</v>
      </c>
      <c r="F1234" s="12">
        <f t="shared" ref="F1234:F1297" si="174">IF(E1234="","",MAX(0,E1234))</f>
        <v>11.026967580444442</v>
      </c>
      <c r="G1234" s="12">
        <f t="shared" ref="G1234:G1297" si="175">IF(C1234="","",res_u_p_tot/geo_area+res_u_mx_tot/geo_ix*D1234+res_u_my_tot/geo_iy*C1234)</f>
        <v>14.440357404444443</v>
      </c>
      <c r="H1234" s="12">
        <f t="shared" ref="H1234:H1297" si="176">IF(G1234="","",MAX(0,G1234))</f>
        <v>14.440357404444443</v>
      </c>
      <c r="I1234" s="1" t="str">
        <f t="shared" ref="I1234:I1297" si="177">IF(C1234="","",IF(AND(C1234&gt;=inp_xc-inp_cx/2,C1234&lt;=inp_xc+inp_cx/2,D1234&gt;=inp_yc-inp_cy/2,D1234&lt;=inp_yc+inp_cy/2),"Si","No"))</f>
        <v>No</v>
      </c>
      <c r="J1234" s="1" t="str">
        <f t="shared" ref="J1234:J1297" si="178">IF(C1234="","","Si")</f>
        <v>Si</v>
      </c>
      <c r="K1234" s="1" t="str">
        <f t="shared" ref="K1234:K1297" si="179">IF(OR(E1234&lt;0,G1234&lt;0),"Presion negativa","")</f>
        <v/>
      </c>
    </row>
    <row r="1235" spans="1:11" x14ac:dyDescent="0.3">
      <c r="A1235" s="1">
        <v>23</v>
      </c>
      <c r="B1235" s="1">
        <v>44</v>
      </c>
      <c r="C1235" s="12">
        <f t="shared" si="171"/>
        <v>-0.14999999999999991</v>
      </c>
      <c r="D1235" s="12">
        <f t="shared" si="172"/>
        <v>1.4249999999999998</v>
      </c>
      <c r="E1235" s="12">
        <f t="shared" si="173"/>
        <v>11.024479487999999</v>
      </c>
      <c r="F1235" s="12">
        <f t="shared" si="174"/>
        <v>11.024479487999999</v>
      </c>
      <c r="G1235" s="12">
        <f t="shared" si="175"/>
        <v>14.436853048888887</v>
      </c>
      <c r="H1235" s="12">
        <f t="shared" si="176"/>
        <v>14.436853048888887</v>
      </c>
      <c r="I1235" s="1" t="str">
        <f t="shared" si="177"/>
        <v>No</v>
      </c>
      <c r="J1235" s="1" t="str">
        <f t="shared" si="178"/>
        <v>Si</v>
      </c>
      <c r="K1235" s="1" t="str">
        <f t="shared" si="179"/>
        <v/>
      </c>
    </row>
    <row r="1236" spans="1:11" x14ac:dyDescent="0.3">
      <c r="A1236" s="1">
        <v>23</v>
      </c>
      <c r="B1236" s="1">
        <v>45</v>
      </c>
      <c r="C1236" s="12">
        <f t="shared" si="171"/>
        <v>-0.14999999999999991</v>
      </c>
      <c r="D1236" s="12">
        <f t="shared" si="172"/>
        <v>1.5</v>
      </c>
      <c r="E1236" s="12">
        <f t="shared" si="173"/>
        <v>11.021991395555554</v>
      </c>
      <c r="F1236" s="12">
        <f t="shared" si="174"/>
        <v>11.021991395555554</v>
      </c>
      <c r="G1236" s="12">
        <f t="shared" si="175"/>
        <v>14.433348693333333</v>
      </c>
      <c r="H1236" s="12">
        <f t="shared" si="176"/>
        <v>14.433348693333333</v>
      </c>
      <c r="I1236" s="1" t="str">
        <f t="shared" si="177"/>
        <v>No</v>
      </c>
      <c r="J1236" s="1" t="str">
        <f t="shared" si="178"/>
        <v>Si</v>
      </c>
      <c r="K1236" s="1" t="str">
        <f t="shared" si="179"/>
        <v/>
      </c>
    </row>
    <row r="1237" spans="1:11" x14ac:dyDescent="0.3">
      <c r="A1237" s="1">
        <v>23</v>
      </c>
      <c r="B1237" s="1">
        <v>46</v>
      </c>
      <c r="C1237" s="12">
        <f t="shared" si="171"/>
        <v>-0.14999999999999991</v>
      </c>
      <c r="D1237" s="12">
        <f t="shared" si="172"/>
        <v>1.5750000000000002</v>
      </c>
      <c r="E1237" s="12">
        <f t="shared" si="173"/>
        <v>11.01950330311111</v>
      </c>
      <c r="F1237" s="12">
        <f t="shared" si="174"/>
        <v>11.01950330311111</v>
      </c>
      <c r="G1237" s="12">
        <f t="shared" si="175"/>
        <v>14.429844337777777</v>
      </c>
      <c r="H1237" s="12">
        <f t="shared" si="176"/>
        <v>14.429844337777777</v>
      </c>
      <c r="I1237" s="1" t="str">
        <f t="shared" si="177"/>
        <v>No</v>
      </c>
      <c r="J1237" s="1" t="str">
        <f t="shared" si="178"/>
        <v>Si</v>
      </c>
      <c r="K1237" s="1" t="str">
        <f t="shared" si="179"/>
        <v/>
      </c>
    </row>
    <row r="1238" spans="1:11" x14ac:dyDescent="0.3">
      <c r="A1238" s="1">
        <v>23</v>
      </c>
      <c r="B1238" s="1">
        <v>47</v>
      </c>
      <c r="C1238" s="12">
        <f t="shared" si="171"/>
        <v>-0.14999999999999991</v>
      </c>
      <c r="D1238" s="12">
        <f t="shared" si="172"/>
        <v>1.65</v>
      </c>
      <c r="E1238" s="12">
        <f t="shared" si="173"/>
        <v>11.017015210666665</v>
      </c>
      <c r="F1238" s="12">
        <f t="shared" si="174"/>
        <v>11.017015210666665</v>
      </c>
      <c r="G1238" s="12">
        <f t="shared" si="175"/>
        <v>14.42633998222222</v>
      </c>
      <c r="H1238" s="12">
        <f t="shared" si="176"/>
        <v>14.42633998222222</v>
      </c>
      <c r="I1238" s="1" t="str">
        <f t="shared" si="177"/>
        <v>No</v>
      </c>
      <c r="J1238" s="1" t="str">
        <f t="shared" si="178"/>
        <v>Si</v>
      </c>
      <c r="K1238" s="1" t="str">
        <f t="shared" si="179"/>
        <v/>
      </c>
    </row>
    <row r="1239" spans="1:11" x14ac:dyDescent="0.3">
      <c r="A1239" s="1">
        <v>23</v>
      </c>
      <c r="B1239" s="1">
        <v>48</v>
      </c>
      <c r="C1239" s="12">
        <f t="shared" si="171"/>
        <v>-0.14999999999999991</v>
      </c>
      <c r="D1239" s="12">
        <f t="shared" si="172"/>
        <v>1.7250000000000001</v>
      </c>
      <c r="E1239" s="12">
        <f t="shared" si="173"/>
        <v>11.014527118222221</v>
      </c>
      <c r="F1239" s="12">
        <f t="shared" si="174"/>
        <v>11.014527118222221</v>
      </c>
      <c r="G1239" s="12">
        <f t="shared" si="175"/>
        <v>14.422835626666666</v>
      </c>
      <c r="H1239" s="12">
        <f t="shared" si="176"/>
        <v>14.422835626666666</v>
      </c>
      <c r="I1239" s="1" t="str">
        <f t="shared" si="177"/>
        <v>No</v>
      </c>
      <c r="J1239" s="1" t="str">
        <f t="shared" si="178"/>
        <v>Si</v>
      </c>
      <c r="K1239" s="1" t="str">
        <f t="shared" si="179"/>
        <v/>
      </c>
    </row>
    <row r="1240" spans="1:11" x14ac:dyDescent="0.3">
      <c r="A1240" s="1">
        <v>23</v>
      </c>
      <c r="B1240" s="1">
        <v>49</v>
      </c>
      <c r="C1240" s="12">
        <f t="shared" si="171"/>
        <v>-0.14999999999999991</v>
      </c>
      <c r="D1240" s="12">
        <f t="shared" si="172"/>
        <v>1.7999999999999998</v>
      </c>
      <c r="E1240" s="12">
        <f t="shared" si="173"/>
        <v>11.012039025777776</v>
      </c>
      <c r="F1240" s="12">
        <f t="shared" si="174"/>
        <v>11.012039025777776</v>
      </c>
      <c r="G1240" s="12">
        <f t="shared" si="175"/>
        <v>14.41933127111111</v>
      </c>
      <c r="H1240" s="12">
        <f t="shared" si="176"/>
        <v>14.41933127111111</v>
      </c>
      <c r="I1240" s="1" t="str">
        <f t="shared" si="177"/>
        <v>No</v>
      </c>
      <c r="J1240" s="1" t="str">
        <f t="shared" si="178"/>
        <v>Si</v>
      </c>
      <c r="K1240" s="1" t="str">
        <f t="shared" si="179"/>
        <v/>
      </c>
    </row>
    <row r="1241" spans="1:11" x14ac:dyDescent="0.3">
      <c r="A1241" s="1">
        <v>23</v>
      </c>
      <c r="B1241" s="1">
        <v>50</v>
      </c>
      <c r="C1241" s="12">
        <f t="shared" si="171"/>
        <v>-0.14999999999999991</v>
      </c>
      <c r="D1241" s="12">
        <f t="shared" si="172"/>
        <v>1.875</v>
      </c>
      <c r="E1241" s="12">
        <f t="shared" si="173"/>
        <v>11.009550933333331</v>
      </c>
      <c r="F1241" s="12">
        <f t="shared" si="174"/>
        <v>11.009550933333331</v>
      </c>
      <c r="G1241" s="12">
        <f t="shared" si="175"/>
        <v>14.415826915555554</v>
      </c>
      <c r="H1241" s="12">
        <f t="shared" si="176"/>
        <v>14.415826915555554</v>
      </c>
      <c r="I1241" s="1" t="str">
        <f t="shared" si="177"/>
        <v>No</v>
      </c>
      <c r="J1241" s="1" t="str">
        <f t="shared" si="178"/>
        <v>Si</v>
      </c>
      <c r="K1241" s="1" t="str">
        <f t="shared" si="179"/>
        <v/>
      </c>
    </row>
    <row r="1242" spans="1:11" x14ac:dyDescent="0.3">
      <c r="A1242" s="1">
        <v>24</v>
      </c>
      <c r="B1242" s="1">
        <v>0</v>
      </c>
      <c r="C1242" s="12">
        <f t="shared" si="171"/>
        <v>-7.4999999999999956E-2</v>
      </c>
      <c r="D1242" s="12">
        <f t="shared" si="172"/>
        <v>-1.875</v>
      </c>
      <c r="E1242" s="12">
        <f t="shared" si="173"/>
        <v>11.134649599999999</v>
      </c>
      <c r="F1242" s="12">
        <f t="shared" si="174"/>
        <v>11.134649599999999</v>
      </c>
      <c r="G1242" s="12">
        <f t="shared" si="175"/>
        <v>14.592082346666666</v>
      </c>
      <c r="H1242" s="12">
        <f t="shared" si="176"/>
        <v>14.592082346666666</v>
      </c>
      <c r="I1242" s="1" t="str">
        <f t="shared" si="177"/>
        <v>No</v>
      </c>
      <c r="J1242" s="1" t="str">
        <f t="shared" si="178"/>
        <v>Si</v>
      </c>
      <c r="K1242" s="1" t="str">
        <f t="shared" si="179"/>
        <v/>
      </c>
    </row>
    <row r="1243" spans="1:11" x14ac:dyDescent="0.3">
      <c r="A1243" s="1">
        <v>24</v>
      </c>
      <c r="B1243" s="1">
        <v>1</v>
      </c>
      <c r="C1243" s="12">
        <f t="shared" si="171"/>
        <v>-7.4999999999999956E-2</v>
      </c>
      <c r="D1243" s="12">
        <f t="shared" si="172"/>
        <v>-1.8</v>
      </c>
      <c r="E1243" s="12">
        <f t="shared" si="173"/>
        <v>11.132161507555555</v>
      </c>
      <c r="F1243" s="12">
        <f t="shared" si="174"/>
        <v>11.132161507555555</v>
      </c>
      <c r="G1243" s="12">
        <f t="shared" si="175"/>
        <v>14.58857799111111</v>
      </c>
      <c r="H1243" s="12">
        <f t="shared" si="176"/>
        <v>14.58857799111111</v>
      </c>
      <c r="I1243" s="1" t="str">
        <f t="shared" si="177"/>
        <v>No</v>
      </c>
      <c r="J1243" s="1" t="str">
        <f t="shared" si="178"/>
        <v>Si</v>
      </c>
      <c r="K1243" s="1" t="str">
        <f t="shared" si="179"/>
        <v/>
      </c>
    </row>
    <row r="1244" spans="1:11" x14ac:dyDescent="0.3">
      <c r="A1244" s="1">
        <v>24</v>
      </c>
      <c r="B1244" s="1">
        <v>2</v>
      </c>
      <c r="C1244" s="12">
        <f t="shared" si="171"/>
        <v>-7.4999999999999956E-2</v>
      </c>
      <c r="D1244" s="12">
        <f t="shared" si="172"/>
        <v>-1.7250000000000001</v>
      </c>
      <c r="E1244" s="12">
        <f t="shared" si="173"/>
        <v>11.12967341511111</v>
      </c>
      <c r="F1244" s="12">
        <f t="shared" si="174"/>
        <v>11.12967341511111</v>
      </c>
      <c r="G1244" s="12">
        <f t="shared" si="175"/>
        <v>14.585073635555554</v>
      </c>
      <c r="H1244" s="12">
        <f t="shared" si="176"/>
        <v>14.585073635555554</v>
      </c>
      <c r="I1244" s="1" t="str">
        <f t="shared" si="177"/>
        <v>No</v>
      </c>
      <c r="J1244" s="1" t="str">
        <f t="shared" si="178"/>
        <v>Si</v>
      </c>
      <c r="K1244" s="1" t="str">
        <f t="shared" si="179"/>
        <v/>
      </c>
    </row>
    <row r="1245" spans="1:11" x14ac:dyDescent="0.3">
      <c r="A1245" s="1">
        <v>24</v>
      </c>
      <c r="B1245" s="1">
        <v>3</v>
      </c>
      <c r="C1245" s="12">
        <f t="shared" si="171"/>
        <v>-7.4999999999999956E-2</v>
      </c>
      <c r="D1245" s="12">
        <f t="shared" si="172"/>
        <v>-1.65</v>
      </c>
      <c r="E1245" s="12">
        <f t="shared" si="173"/>
        <v>11.127185322666666</v>
      </c>
      <c r="F1245" s="12">
        <f t="shared" si="174"/>
        <v>11.127185322666666</v>
      </c>
      <c r="G1245" s="12">
        <f t="shared" si="175"/>
        <v>14.58156928</v>
      </c>
      <c r="H1245" s="12">
        <f t="shared" si="176"/>
        <v>14.58156928</v>
      </c>
      <c r="I1245" s="1" t="str">
        <f t="shared" si="177"/>
        <v>No</v>
      </c>
      <c r="J1245" s="1" t="str">
        <f t="shared" si="178"/>
        <v>Si</v>
      </c>
      <c r="K1245" s="1" t="str">
        <f t="shared" si="179"/>
        <v/>
      </c>
    </row>
    <row r="1246" spans="1:11" x14ac:dyDescent="0.3">
      <c r="A1246" s="1">
        <v>24</v>
      </c>
      <c r="B1246" s="1">
        <v>4</v>
      </c>
      <c r="C1246" s="12">
        <f t="shared" si="171"/>
        <v>-7.4999999999999956E-2</v>
      </c>
      <c r="D1246" s="12">
        <f t="shared" si="172"/>
        <v>-1.575</v>
      </c>
      <c r="E1246" s="12">
        <f t="shared" si="173"/>
        <v>11.124697230222221</v>
      </c>
      <c r="F1246" s="12">
        <f t="shared" si="174"/>
        <v>11.124697230222221</v>
      </c>
      <c r="G1246" s="12">
        <f t="shared" si="175"/>
        <v>14.578064924444444</v>
      </c>
      <c r="H1246" s="12">
        <f t="shared" si="176"/>
        <v>14.578064924444444</v>
      </c>
      <c r="I1246" s="1" t="str">
        <f t="shared" si="177"/>
        <v>No</v>
      </c>
      <c r="J1246" s="1" t="str">
        <f t="shared" si="178"/>
        <v>Si</v>
      </c>
      <c r="K1246" s="1" t="str">
        <f t="shared" si="179"/>
        <v/>
      </c>
    </row>
    <row r="1247" spans="1:11" x14ac:dyDescent="0.3">
      <c r="A1247" s="1">
        <v>24</v>
      </c>
      <c r="B1247" s="1">
        <v>5</v>
      </c>
      <c r="C1247" s="12">
        <f t="shared" si="171"/>
        <v>-7.4999999999999956E-2</v>
      </c>
      <c r="D1247" s="12">
        <f t="shared" si="172"/>
        <v>-1.5</v>
      </c>
      <c r="E1247" s="12">
        <f t="shared" si="173"/>
        <v>11.122209137777777</v>
      </c>
      <c r="F1247" s="12">
        <f t="shared" si="174"/>
        <v>11.122209137777777</v>
      </c>
      <c r="G1247" s="12">
        <f t="shared" si="175"/>
        <v>14.574560568888888</v>
      </c>
      <c r="H1247" s="12">
        <f t="shared" si="176"/>
        <v>14.574560568888888</v>
      </c>
      <c r="I1247" s="1" t="str">
        <f t="shared" si="177"/>
        <v>No</v>
      </c>
      <c r="J1247" s="1" t="str">
        <f t="shared" si="178"/>
        <v>Si</v>
      </c>
      <c r="K1247" s="1" t="str">
        <f t="shared" si="179"/>
        <v/>
      </c>
    </row>
    <row r="1248" spans="1:11" x14ac:dyDescent="0.3">
      <c r="A1248" s="1">
        <v>24</v>
      </c>
      <c r="B1248" s="1">
        <v>6</v>
      </c>
      <c r="C1248" s="12">
        <f t="shared" si="171"/>
        <v>-7.4999999999999956E-2</v>
      </c>
      <c r="D1248" s="12">
        <f t="shared" si="172"/>
        <v>-1.425</v>
      </c>
      <c r="E1248" s="12">
        <f t="shared" si="173"/>
        <v>11.119721045333332</v>
      </c>
      <c r="F1248" s="12">
        <f t="shared" si="174"/>
        <v>11.119721045333332</v>
      </c>
      <c r="G1248" s="12">
        <f t="shared" si="175"/>
        <v>14.571056213333334</v>
      </c>
      <c r="H1248" s="12">
        <f t="shared" si="176"/>
        <v>14.571056213333334</v>
      </c>
      <c r="I1248" s="1" t="str">
        <f t="shared" si="177"/>
        <v>No</v>
      </c>
      <c r="J1248" s="1" t="str">
        <f t="shared" si="178"/>
        <v>Si</v>
      </c>
      <c r="K1248" s="1" t="str">
        <f t="shared" si="179"/>
        <v/>
      </c>
    </row>
    <row r="1249" spans="1:11" x14ac:dyDescent="0.3">
      <c r="A1249" s="1">
        <v>24</v>
      </c>
      <c r="B1249" s="1">
        <v>7</v>
      </c>
      <c r="C1249" s="12">
        <f t="shared" si="171"/>
        <v>-7.4999999999999956E-2</v>
      </c>
      <c r="D1249" s="12">
        <f t="shared" si="172"/>
        <v>-1.35</v>
      </c>
      <c r="E1249" s="12">
        <f t="shared" si="173"/>
        <v>11.117232952888889</v>
      </c>
      <c r="F1249" s="12">
        <f t="shared" si="174"/>
        <v>11.117232952888889</v>
      </c>
      <c r="G1249" s="12">
        <f t="shared" si="175"/>
        <v>14.567551857777778</v>
      </c>
      <c r="H1249" s="12">
        <f t="shared" si="176"/>
        <v>14.567551857777778</v>
      </c>
      <c r="I1249" s="1" t="str">
        <f t="shared" si="177"/>
        <v>No</v>
      </c>
      <c r="J1249" s="1" t="str">
        <f t="shared" si="178"/>
        <v>Si</v>
      </c>
      <c r="K1249" s="1" t="str">
        <f t="shared" si="179"/>
        <v/>
      </c>
    </row>
    <row r="1250" spans="1:11" x14ac:dyDescent="0.3">
      <c r="A1250" s="1">
        <v>24</v>
      </c>
      <c r="B1250" s="1">
        <v>8</v>
      </c>
      <c r="C1250" s="12">
        <f t="shared" si="171"/>
        <v>-7.4999999999999956E-2</v>
      </c>
      <c r="D1250" s="12">
        <f t="shared" si="172"/>
        <v>-1.2749999999999999</v>
      </c>
      <c r="E1250" s="12">
        <f t="shared" si="173"/>
        <v>11.114744860444445</v>
      </c>
      <c r="F1250" s="12">
        <f t="shared" si="174"/>
        <v>11.114744860444445</v>
      </c>
      <c r="G1250" s="12">
        <f t="shared" si="175"/>
        <v>14.564047502222222</v>
      </c>
      <c r="H1250" s="12">
        <f t="shared" si="176"/>
        <v>14.564047502222222</v>
      </c>
      <c r="I1250" s="1" t="str">
        <f t="shared" si="177"/>
        <v>No</v>
      </c>
      <c r="J1250" s="1" t="str">
        <f t="shared" si="178"/>
        <v>Si</v>
      </c>
      <c r="K1250" s="1" t="str">
        <f t="shared" si="179"/>
        <v/>
      </c>
    </row>
    <row r="1251" spans="1:11" x14ac:dyDescent="0.3">
      <c r="A1251" s="1">
        <v>24</v>
      </c>
      <c r="B1251" s="1">
        <v>9</v>
      </c>
      <c r="C1251" s="12">
        <f t="shared" si="171"/>
        <v>-7.4999999999999956E-2</v>
      </c>
      <c r="D1251" s="12">
        <f t="shared" si="172"/>
        <v>-1.2</v>
      </c>
      <c r="E1251" s="12">
        <f t="shared" si="173"/>
        <v>11.112256768</v>
      </c>
      <c r="F1251" s="12">
        <f t="shared" si="174"/>
        <v>11.112256768</v>
      </c>
      <c r="G1251" s="12">
        <f t="shared" si="175"/>
        <v>14.560543146666665</v>
      </c>
      <c r="H1251" s="12">
        <f t="shared" si="176"/>
        <v>14.560543146666665</v>
      </c>
      <c r="I1251" s="1" t="str">
        <f t="shared" si="177"/>
        <v>No</v>
      </c>
      <c r="J1251" s="1" t="str">
        <f t="shared" si="178"/>
        <v>Si</v>
      </c>
      <c r="K1251" s="1" t="str">
        <f t="shared" si="179"/>
        <v/>
      </c>
    </row>
    <row r="1252" spans="1:11" x14ac:dyDescent="0.3">
      <c r="A1252" s="1">
        <v>24</v>
      </c>
      <c r="B1252" s="1">
        <v>10</v>
      </c>
      <c r="C1252" s="12">
        <f t="shared" si="171"/>
        <v>-7.4999999999999956E-2</v>
      </c>
      <c r="D1252" s="12">
        <f t="shared" si="172"/>
        <v>-1.125</v>
      </c>
      <c r="E1252" s="12">
        <f t="shared" si="173"/>
        <v>11.109768675555555</v>
      </c>
      <c r="F1252" s="12">
        <f t="shared" si="174"/>
        <v>11.109768675555555</v>
      </c>
      <c r="G1252" s="12">
        <f t="shared" si="175"/>
        <v>14.557038791111111</v>
      </c>
      <c r="H1252" s="12">
        <f t="shared" si="176"/>
        <v>14.557038791111111</v>
      </c>
      <c r="I1252" s="1" t="str">
        <f t="shared" si="177"/>
        <v>No</v>
      </c>
      <c r="J1252" s="1" t="str">
        <f t="shared" si="178"/>
        <v>Si</v>
      </c>
      <c r="K1252" s="1" t="str">
        <f t="shared" si="179"/>
        <v/>
      </c>
    </row>
    <row r="1253" spans="1:11" x14ac:dyDescent="0.3">
      <c r="A1253" s="1">
        <v>24</v>
      </c>
      <c r="B1253" s="1">
        <v>11</v>
      </c>
      <c r="C1253" s="12">
        <f t="shared" si="171"/>
        <v>-7.4999999999999956E-2</v>
      </c>
      <c r="D1253" s="12">
        <f t="shared" si="172"/>
        <v>-1.05</v>
      </c>
      <c r="E1253" s="12">
        <f t="shared" si="173"/>
        <v>11.107280583111111</v>
      </c>
      <c r="F1253" s="12">
        <f t="shared" si="174"/>
        <v>11.107280583111111</v>
      </c>
      <c r="G1253" s="12">
        <f t="shared" si="175"/>
        <v>14.553534435555555</v>
      </c>
      <c r="H1253" s="12">
        <f t="shared" si="176"/>
        <v>14.553534435555555</v>
      </c>
      <c r="I1253" s="1" t="str">
        <f t="shared" si="177"/>
        <v>No</v>
      </c>
      <c r="J1253" s="1" t="str">
        <f t="shared" si="178"/>
        <v>Si</v>
      </c>
      <c r="K1253" s="1" t="str">
        <f t="shared" si="179"/>
        <v/>
      </c>
    </row>
    <row r="1254" spans="1:11" x14ac:dyDescent="0.3">
      <c r="A1254" s="1">
        <v>24</v>
      </c>
      <c r="B1254" s="1">
        <v>12</v>
      </c>
      <c r="C1254" s="12">
        <f t="shared" si="171"/>
        <v>-7.4999999999999956E-2</v>
      </c>
      <c r="D1254" s="12">
        <f t="shared" si="172"/>
        <v>-0.97499999999999998</v>
      </c>
      <c r="E1254" s="12">
        <f t="shared" si="173"/>
        <v>11.104792490666666</v>
      </c>
      <c r="F1254" s="12">
        <f t="shared" si="174"/>
        <v>11.104792490666666</v>
      </c>
      <c r="G1254" s="12">
        <f t="shared" si="175"/>
        <v>14.550030079999999</v>
      </c>
      <c r="H1254" s="12">
        <f t="shared" si="176"/>
        <v>14.550030079999999</v>
      </c>
      <c r="I1254" s="1" t="str">
        <f t="shared" si="177"/>
        <v>No</v>
      </c>
      <c r="J1254" s="1" t="str">
        <f t="shared" si="178"/>
        <v>Si</v>
      </c>
      <c r="K1254" s="1" t="str">
        <f t="shared" si="179"/>
        <v/>
      </c>
    </row>
    <row r="1255" spans="1:11" x14ac:dyDescent="0.3">
      <c r="A1255" s="1">
        <v>24</v>
      </c>
      <c r="B1255" s="1">
        <v>13</v>
      </c>
      <c r="C1255" s="12">
        <f t="shared" si="171"/>
        <v>-7.4999999999999956E-2</v>
      </c>
      <c r="D1255" s="12">
        <f t="shared" si="172"/>
        <v>-0.9</v>
      </c>
      <c r="E1255" s="12">
        <f t="shared" si="173"/>
        <v>11.102304398222222</v>
      </c>
      <c r="F1255" s="12">
        <f t="shared" si="174"/>
        <v>11.102304398222222</v>
      </c>
      <c r="G1255" s="12">
        <f t="shared" si="175"/>
        <v>14.546525724444445</v>
      </c>
      <c r="H1255" s="12">
        <f t="shared" si="176"/>
        <v>14.546525724444445</v>
      </c>
      <c r="I1255" s="1" t="str">
        <f t="shared" si="177"/>
        <v>No</v>
      </c>
      <c r="J1255" s="1" t="str">
        <f t="shared" si="178"/>
        <v>Si</v>
      </c>
      <c r="K1255" s="1" t="str">
        <f t="shared" si="179"/>
        <v/>
      </c>
    </row>
    <row r="1256" spans="1:11" x14ac:dyDescent="0.3">
      <c r="A1256" s="1">
        <v>24</v>
      </c>
      <c r="B1256" s="1">
        <v>14</v>
      </c>
      <c r="C1256" s="12">
        <f t="shared" si="171"/>
        <v>-7.4999999999999956E-2</v>
      </c>
      <c r="D1256" s="12">
        <f t="shared" si="172"/>
        <v>-0.82499999999999996</v>
      </c>
      <c r="E1256" s="12">
        <f t="shared" si="173"/>
        <v>11.099816305777777</v>
      </c>
      <c r="F1256" s="12">
        <f t="shared" si="174"/>
        <v>11.099816305777777</v>
      </c>
      <c r="G1256" s="12">
        <f t="shared" si="175"/>
        <v>14.543021368888889</v>
      </c>
      <c r="H1256" s="12">
        <f t="shared" si="176"/>
        <v>14.543021368888889</v>
      </c>
      <c r="I1256" s="1" t="str">
        <f t="shared" si="177"/>
        <v>No</v>
      </c>
      <c r="J1256" s="1" t="str">
        <f t="shared" si="178"/>
        <v>Si</v>
      </c>
      <c r="K1256" s="1" t="str">
        <f t="shared" si="179"/>
        <v/>
      </c>
    </row>
    <row r="1257" spans="1:11" x14ac:dyDescent="0.3">
      <c r="A1257" s="1">
        <v>24</v>
      </c>
      <c r="B1257" s="1">
        <v>15</v>
      </c>
      <c r="C1257" s="12">
        <f t="shared" si="171"/>
        <v>-7.4999999999999956E-2</v>
      </c>
      <c r="D1257" s="12">
        <f t="shared" si="172"/>
        <v>-0.75</v>
      </c>
      <c r="E1257" s="12">
        <f t="shared" si="173"/>
        <v>11.097328213333332</v>
      </c>
      <c r="F1257" s="12">
        <f t="shared" si="174"/>
        <v>11.097328213333332</v>
      </c>
      <c r="G1257" s="12">
        <f t="shared" si="175"/>
        <v>14.539517013333333</v>
      </c>
      <c r="H1257" s="12">
        <f t="shared" si="176"/>
        <v>14.539517013333333</v>
      </c>
      <c r="I1257" s="1" t="str">
        <f t="shared" si="177"/>
        <v>No</v>
      </c>
      <c r="J1257" s="1" t="str">
        <f t="shared" si="178"/>
        <v>Si</v>
      </c>
      <c r="K1257" s="1" t="str">
        <f t="shared" si="179"/>
        <v/>
      </c>
    </row>
    <row r="1258" spans="1:11" x14ac:dyDescent="0.3">
      <c r="A1258" s="1">
        <v>24</v>
      </c>
      <c r="B1258" s="1">
        <v>16</v>
      </c>
      <c r="C1258" s="12">
        <f t="shared" si="171"/>
        <v>-7.4999999999999956E-2</v>
      </c>
      <c r="D1258" s="12">
        <f t="shared" si="172"/>
        <v>-0.67500000000000004</v>
      </c>
      <c r="E1258" s="12">
        <f t="shared" si="173"/>
        <v>11.094840120888888</v>
      </c>
      <c r="F1258" s="12">
        <f t="shared" si="174"/>
        <v>11.094840120888888</v>
      </c>
      <c r="G1258" s="12">
        <f t="shared" si="175"/>
        <v>14.536012657777777</v>
      </c>
      <c r="H1258" s="12">
        <f t="shared" si="176"/>
        <v>14.536012657777777</v>
      </c>
      <c r="I1258" s="1" t="str">
        <f t="shared" si="177"/>
        <v>No</v>
      </c>
      <c r="J1258" s="1" t="str">
        <f t="shared" si="178"/>
        <v>Si</v>
      </c>
      <c r="K1258" s="1" t="str">
        <f t="shared" si="179"/>
        <v/>
      </c>
    </row>
    <row r="1259" spans="1:11" x14ac:dyDescent="0.3">
      <c r="A1259" s="1">
        <v>24</v>
      </c>
      <c r="B1259" s="1">
        <v>17</v>
      </c>
      <c r="C1259" s="12">
        <f t="shared" si="171"/>
        <v>-7.4999999999999956E-2</v>
      </c>
      <c r="D1259" s="12">
        <f t="shared" si="172"/>
        <v>-0.60000000000000009</v>
      </c>
      <c r="E1259" s="12">
        <f t="shared" si="173"/>
        <v>11.092352028444443</v>
      </c>
      <c r="F1259" s="12">
        <f t="shared" si="174"/>
        <v>11.092352028444443</v>
      </c>
      <c r="G1259" s="12">
        <f t="shared" si="175"/>
        <v>14.532508302222222</v>
      </c>
      <c r="H1259" s="12">
        <f t="shared" si="176"/>
        <v>14.532508302222222</v>
      </c>
      <c r="I1259" s="1" t="str">
        <f t="shared" si="177"/>
        <v>No</v>
      </c>
      <c r="J1259" s="1" t="str">
        <f t="shared" si="178"/>
        <v>Si</v>
      </c>
      <c r="K1259" s="1" t="str">
        <f t="shared" si="179"/>
        <v/>
      </c>
    </row>
    <row r="1260" spans="1:11" x14ac:dyDescent="0.3">
      <c r="A1260" s="1">
        <v>24</v>
      </c>
      <c r="B1260" s="1">
        <v>18</v>
      </c>
      <c r="C1260" s="12">
        <f t="shared" si="171"/>
        <v>-7.4999999999999956E-2</v>
      </c>
      <c r="D1260" s="12">
        <f t="shared" si="172"/>
        <v>-0.52499999999999991</v>
      </c>
      <c r="E1260" s="12">
        <f t="shared" si="173"/>
        <v>11.089863935999999</v>
      </c>
      <c r="F1260" s="12">
        <f t="shared" si="174"/>
        <v>11.089863935999999</v>
      </c>
      <c r="G1260" s="12">
        <f t="shared" si="175"/>
        <v>14.529003946666666</v>
      </c>
      <c r="H1260" s="12">
        <f t="shared" si="176"/>
        <v>14.529003946666666</v>
      </c>
      <c r="I1260" s="1" t="str">
        <f t="shared" si="177"/>
        <v>No</v>
      </c>
      <c r="J1260" s="1" t="str">
        <f t="shared" si="178"/>
        <v>Si</v>
      </c>
      <c r="K1260" s="1" t="str">
        <f t="shared" si="179"/>
        <v/>
      </c>
    </row>
    <row r="1261" spans="1:11" x14ac:dyDescent="0.3">
      <c r="A1261" s="1">
        <v>24</v>
      </c>
      <c r="B1261" s="1">
        <v>19</v>
      </c>
      <c r="C1261" s="12">
        <f t="shared" si="171"/>
        <v>-7.4999999999999956E-2</v>
      </c>
      <c r="D1261" s="12">
        <f t="shared" si="172"/>
        <v>-0.44999999999999996</v>
      </c>
      <c r="E1261" s="12">
        <f t="shared" si="173"/>
        <v>11.087375843555556</v>
      </c>
      <c r="F1261" s="12">
        <f t="shared" si="174"/>
        <v>11.087375843555556</v>
      </c>
      <c r="G1261" s="12">
        <f t="shared" si="175"/>
        <v>14.52549959111111</v>
      </c>
      <c r="H1261" s="12">
        <f t="shared" si="176"/>
        <v>14.52549959111111</v>
      </c>
      <c r="I1261" s="1" t="str">
        <f t="shared" si="177"/>
        <v>No</v>
      </c>
      <c r="J1261" s="1" t="str">
        <f t="shared" si="178"/>
        <v>Si</v>
      </c>
      <c r="K1261" s="1" t="str">
        <f t="shared" si="179"/>
        <v/>
      </c>
    </row>
    <row r="1262" spans="1:11" x14ac:dyDescent="0.3">
      <c r="A1262" s="1">
        <v>24</v>
      </c>
      <c r="B1262" s="1">
        <v>20</v>
      </c>
      <c r="C1262" s="12">
        <f t="shared" si="171"/>
        <v>-7.4999999999999956E-2</v>
      </c>
      <c r="D1262" s="12">
        <f t="shared" si="172"/>
        <v>-0.375</v>
      </c>
      <c r="E1262" s="12">
        <f t="shared" si="173"/>
        <v>11.084887751111111</v>
      </c>
      <c r="F1262" s="12">
        <f t="shared" si="174"/>
        <v>11.084887751111111</v>
      </c>
      <c r="G1262" s="12">
        <f t="shared" si="175"/>
        <v>14.521995235555556</v>
      </c>
      <c r="H1262" s="12">
        <f t="shared" si="176"/>
        <v>14.521995235555556</v>
      </c>
      <c r="I1262" s="1" t="str">
        <f t="shared" si="177"/>
        <v>No</v>
      </c>
      <c r="J1262" s="1" t="str">
        <f t="shared" si="178"/>
        <v>Si</v>
      </c>
      <c r="K1262" s="1" t="str">
        <f t="shared" si="179"/>
        <v/>
      </c>
    </row>
    <row r="1263" spans="1:11" x14ac:dyDescent="0.3">
      <c r="A1263" s="1">
        <v>24</v>
      </c>
      <c r="B1263" s="1">
        <v>21</v>
      </c>
      <c r="C1263" s="12">
        <f t="shared" si="171"/>
        <v>-7.4999999999999956E-2</v>
      </c>
      <c r="D1263" s="12">
        <f t="shared" si="172"/>
        <v>-0.30000000000000004</v>
      </c>
      <c r="E1263" s="12">
        <f t="shared" si="173"/>
        <v>11.082399658666667</v>
      </c>
      <c r="F1263" s="12">
        <f t="shared" si="174"/>
        <v>11.082399658666667</v>
      </c>
      <c r="G1263" s="12">
        <f t="shared" si="175"/>
        <v>14.51849088</v>
      </c>
      <c r="H1263" s="12">
        <f t="shared" si="176"/>
        <v>14.51849088</v>
      </c>
      <c r="I1263" s="1" t="str">
        <f t="shared" si="177"/>
        <v>No</v>
      </c>
      <c r="J1263" s="1" t="str">
        <f t="shared" si="178"/>
        <v>Si</v>
      </c>
      <c r="K1263" s="1" t="str">
        <f t="shared" si="179"/>
        <v/>
      </c>
    </row>
    <row r="1264" spans="1:11" x14ac:dyDescent="0.3">
      <c r="A1264" s="1">
        <v>24</v>
      </c>
      <c r="B1264" s="1">
        <v>22</v>
      </c>
      <c r="C1264" s="12">
        <f t="shared" si="171"/>
        <v>-7.4999999999999956E-2</v>
      </c>
      <c r="D1264" s="12">
        <f t="shared" si="172"/>
        <v>-0.22500000000000009</v>
      </c>
      <c r="E1264" s="12">
        <f t="shared" si="173"/>
        <v>11.079911566222222</v>
      </c>
      <c r="F1264" s="12">
        <f t="shared" si="174"/>
        <v>11.079911566222222</v>
      </c>
      <c r="G1264" s="12">
        <f t="shared" si="175"/>
        <v>14.514986524444444</v>
      </c>
      <c r="H1264" s="12">
        <f t="shared" si="176"/>
        <v>14.514986524444444</v>
      </c>
      <c r="I1264" s="1" t="str">
        <f t="shared" si="177"/>
        <v>No</v>
      </c>
      <c r="J1264" s="1" t="str">
        <f t="shared" si="178"/>
        <v>Si</v>
      </c>
      <c r="K1264" s="1" t="str">
        <f t="shared" si="179"/>
        <v/>
      </c>
    </row>
    <row r="1265" spans="1:11" x14ac:dyDescent="0.3">
      <c r="A1265" s="1">
        <v>24</v>
      </c>
      <c r="B1265" s="1">
        <v>23</v>
      </c>
      <c r="C1265" s="12">
        <f t="shared" si="171"/>
        <v>-7.4999999999999956E-2</v>
      </c>
      <c r="D1265" s="12">
        <f t="shared" si="172"/>
        <v>-0.14999999999999991</v>
      </c>
      <c r="E1265" s="12">
        <f t="shared" si="173"/>
        <v>11.077423473777777</v>
      </c>
      <c r="F1265" s="12">
        <f t="shared" si="174"/>
        <v>11.077423473777777</v>
      </c>
      <c r="G1265" s="12">
        <f t="shared" si="175"/>
        <v>14.511482168888888</v>
      </c>
      <c r="H1265" s="12">
        <f t="shared" si="176"/>
        <v>14.511482168888888</v>
      </c>
      <c r="I1265" s="1" t="str">
        <f t="shared" si="177"/>
        <v>Si</v>
      </c>
      <c r="J1265" s="1" t="str">
        <f t="shared" si="178"/>
        <v>Si</v>
      </c>
      <c r="K1265" s="1" t="str">
        <f t="shared" si="179"/>
        <v/>
      </c>
    </row>
    <row r="1266" spans="1:11" x14ac:dyDescent="0.3">
      <c r="A1266" s="1">
        <v>24</v>
      </c>
      <c r="B1266" s="1">
        <v>24</v>
      </c>
      <c r="C1266" s="12">
        <f t="shared" si="171"/>
        <v>-7.4999999999999956E-2</v>
      </c>
      <c r="D1266" s="12">
        <f t="shared" si="172"/>
        <v>-7.4999999999999956E-2</v>
      </c>
      <c r="E1266" s="12">
        <f t="shared" si="173"/>
        <v>11.074935381333333</v>
      </c>
      <c r="F1266" s="12">
        <f t="shared" si="174"/>
        <v>11.074935381333333</v>
      </c>
      <c r="G1266" s="12">
        <f t="shared" si="175"/>
        <v>14.507977813333333</v>
      </c>
      <c r="H1266" s="12">
        <f t="shared" si="176"/>
        <v>14.507977813333333</v>
      </c>
      <c r="I1266" s="1" t="str">
        <f t="shared" si="177"/>
        <v>Si</v>
      </c>
      <c r="J1266" s="1" t="str">
        <f t="shared" si="178"/>
        <v>Si</v>
      </c>
      <c r="K1266" s="1" t="str">
        <f t="shared" si="179"/>
        <v/>
      </c>
    </row>
    <row r="1267" spans="1:11" x14ac:dyDescent="0.3">
      <c r="A1267" s="1">
        <v>24</v>
      </c>
      <c r="B1267" s="1">
        <v>25</v>
      </c>
      <c r="C1267" s="12">
        <f t="shared" si="171"/>
        <v>-7.4999999999999956E-2</v>
      </c>
      <c r="D1267" s="12">
        <f t="shared" si="172"/>
        <v>0</v>
      </c>
      <c r="E1267" s="12">
        <f t="shared" si="173"/>
        <v>11.072447288888888</v>
      </c>
      <c r="F1267" s="12">
        <f t="shared" si="174"/>
        <v>11.072447288888888</v>
      </c>
      <c r="G1267" s="12">
        <f t="shared" si="175"/>
        <v>14.504473457777777</v>
      </c>
      <c r="H1267" s="12">
        <f t="shared" si="176"/>
        <v>14.504473457777777</v>
      </c>
      <c r="I1267" s="1" t="str">
        <f t="shared" si="177"/>
        <v>Si</v>
      </c>
      <c r="J1267" s="1" t="str">
        <f t="shared" si="178"/>
        <v>Si</v>
      </c>
      <c r="K1267" s="1" t="str">
        <f t="shared" si="179"/>
        <v/>
      </c>
    </row>
    <row r="1268" spans="1:11" x14ac:dyDescent="0.3">
      <c r="A1268" s="1">
        <v>24</v>
      </c>
      <c r="B1268" s="1">
        <v>26</v>
      </c>
      <c r="C1268" s="12">
        <f t="shared" si="171"/>
        <v>-7.4999999999999956E-2</v>
      </c>
      <c r="D1268" s="12">
        <f t="shared" si="172"/>
        <v>7.4999999999999956E-2</v>
      </c>
      <c r="E1268" s="12">
        <f t="shared" si="173"/>
        <v>11.069959196444444</v>
      </c>
      <c r="F1268" s="12">
        <f t="shared" si="174"/>
        <v>11.069959196444444</v>
      </c>
      <c r="G1268" s="12">
        <f t="shared" si="175"/>
        <v>14.500969102222221</v>
      </c>
      <c r="H1268" s="12">
        <f t="shared" si="176"/>
        <v>14.500969102222221</v>
      </c>
      <c r="I1268" s="1" t="str">
        <f t="shared" si="177"/>
        <v>Si</v>
      </c>
      <c r="J1268" s="1" t="str">
        <f t="shared" si="178"/>
        <v>Si</v>
      </c>
      <c r="K1268" s="1" t="str">
        <f t="shared" si="179"/>
        <v/>
      </c>
    </row>
    <row r="1269" spans="1:11" x14ac:dyDescent="0.3">
      <c r="A1269" s="1">
        <v>24</v>
      </c>
      <c r="B1269" s="1">
        <v>27</v>
      </c>
      <c r="C1269" s="12">
        <f t="shared" si="171"/>
        <v>-7.4999999999999956E-2</v>
      </c>
      <c r="D1269" s="12">
        <f t="shared" si="172"/>
        <v>0.14999999999999991</v>
      </c>
      <c r="E1269" s="12">
        <f t="shared" si="173"/>
        <v>11.067471103999999</v>
      </c>
      <c r="F1269" s="12">
        <f t="shared" si="174"/>
        <v>11.067471103999999</v>
      </c>
      <c r="G1269" s="12">
        <f t="shared" si="175"/>
        <v>14.497464746666667</v>
      </c>
      <c r="H1269" s="12">
        <f t="shared" si="176"/>
        <v>14.497464746666667</v>
      </c>
      <c r="I1269" s="1" t="str">
        <f t="shared" si="177"/>
        <v>Si</v>
      </c>
      <c r="J1269" s="1" t="str">
        <f t="shared" si="178"/>
        <v>Si</v>
      </c>
      <c r="K1269" s="1" t="str">
        <f t="shared" si="179"/>
        <v/>
      </c>
    </row>
    <row r="1270" spans="1:11" x14ac:dyDescent="0.3">
      <c r="A1270" s="1">
        <v>24</v>
      </c>
      <c r="B1270" s="1">
        <v>28</v>
      </c>
      <c r="C1270" s="12">
        <f t="shared" si="171"/>
        <v>-7.4999999999999956E-2</v>
      </c>
      <c r="D1270" s="12">
        <f t="shared" si="172"/>
        <v>0.22500000000000009</v>
      </c>
      <c r="E1270" s="12">
        <f t="shared" si="173"/>
        <v>11.064983011555555</v>
      </c>
      <c r="F1270" s="12">
        <f t="shared" si="174"/>
        <v>11.064983011555555</v>
      </c>
      <c r="G1270" s="12">
        <f t="shared" si="175"/>
        <v>14.493960391111111</v>
      </c>
      <c r="H1270" s="12">
        <f t="shared" si="176"/>
        <v>14.493960391111111</v>
      </c>
      <c r="I1270" s="1" t="str">
        <f t="shared" si="177"/>
        <v>No</v>
      </c>
      <c r="J1270" s="1" t="str">
        <f t="shared" si="178"/>
        <v>Si</v>
      </c>
      <c r="K1270" s="1" t="str">
        <f t="shared" si="179"/>
        <v/>
      </c>
    </row>
    <row r="1271" spans="1:11" x14ac:dyDescent="0.3">
      <c r="A1271" s="1">
        <v>24</v>
      </c>
      <c r="B1271" s="1">
        <v>29</v>
      </c>
      <c r="C1271" s="12">
        <f t="shared" si="171"/>
        <v>-7.4999999999999956E-2</v>
      </c>
      <c r="D1271" s="12">
        <f t="shared" si="172"/>
        <v>0.29999999999999982</v>
      </c>
      <c r="E1271" s="12">
        <f t="shared" si="173"/>
        <v>11.06249491911111</v>
      </c>
      <c r="F1271" s="12">
        <f t="shared" si="174"/>
        <v>11.06249491911111</v>
      </c>
      <c r="G1271" s="12">
        <f t="shared" si="175"/>
        <v>14.490456035555555</v>
      </c>
      <c r="H1271" s="12">
        <f t="shared" si="176"/>
        <v>14.490456035555555</v>
      </c>
      <c r="I1271" s="1" t="str">
        <f t="shared" si="177"/>
        <v>No</v>
      </c>
      <c r="J1271" s="1" t="str">
        <f t="shared" si="178"/>
        <v>Si</v>
      </c>
      <c r="K1271" s="1" t="str">
        <f t="shared" si="179"/>
        <v/>
      </c>
    </row>
    <row r="1272" spans="1:11" x14ac:dyDescent="0.3">
      <c r="A1272" s="1">
        <v>24</v>
      </c>
      <c r="B1272" s="1">
        <v>30</v>
      </c>
      <c r="C1272" s="12">
        <f t="shared" si="171"/>
        <v>-7.4999999999999956E-2</v>
      </c>
      <c r="D1272" s="12">
        <f t="shared" si="172"/>
        <v>0.375</v>
      </c>
      <c r="E1272" s="12">
        <f t="shared" si="173"/>
        <v>11.060006826666665</v>
      </c>
      <c r="F1272" s="12">
        <f t="shared" si="174"/>
        <v>11.060006826666665</v>
      </c>
      <c r="G1272" s="12">
        <f t="shared" si="175"/>
        <v>14.486951679999999</v>
      </c>
      <c r="H1272" s="12">
        <f t="shared" si="176"/>
        <v>14.486951679999999</v>
      </c>
      <c r="I1272" s="1" t="str">
        <f t="shared" si="177"/>
        <v>No</v>
      </c>
      <c r="J1272" s="1" t="str">
        <f t="shared" si="178"/>
        <v>Si</v>
      </c>
      <c r="K1272" s="1" t="str">
        <f t="shared" si="179"/>
        <v/>
      </c>
    </row>
    <row r="1273" spans="1:11" x14ac:dyDescent="0.3">
      <c r="A1273" s="1">
        <v>24</v>
      </c>
      <c r="B1273" s="1">
        <v>31</v>
      </c>
      <c r="C1273" s="12">
        <f t="shared" si="171"/>
        <v>-7.4999999999999956E-2</v>
      </c>
      <c r="D1273" s="12">
        <f t="shared" si="172"/>
        <v>0.45000000000000018</v>
      </c>
      <c r="E1273" s="12">
        <f t="shared" si="173"/>
        <v>11.057518734222221</v>
      </c>
      <c r="F1273" s="12">
        <f t="shared" si="174"/>
        <v>11.057518734222221</v>
      </c>
      <c r="G1273" s="12">
        <f t="shared" si="175"/>
        <v>14.483447324444445</v>
      </c>
      <c r="H1273" s="12">
        <f t="shared" si="176"/>
        <v>14.483447324444445</v>
      </c>
      <c r="I1273" s="1" t="str">
        <f t="shared" si="177"/>
        <v>No</v>
      </c>
      <c r="J1273" s="1" t="str">
        <f t="shared" si="178"/>
        <v>Si</v>
      </c>
      <c r="K1273" s="1" t="str">
        <f t="shared" si="179"/>
        <v/>
      </c>
    </row>
    <row r="1274" spans="1:11" x14ac:dyDescent="0.3">
      <c r="A1274" s="1">
        <v>24</v>
      </c>
      <c r="B1274" s="1">
        <v>32</v>
      </c>
      <c r="C1274" s="12">
        <f t="shared" si="171"/>
        <v>-7.4999999999999956E-2</v>
      </c>
      <c r="D1274" s="12">
        <f t="shared" si="172"/>
        <v>0.52499999999999991</v>
      </c>
      <c r="E1274" s="12">
        <f t="shared" si="173"/>
        <v>11.055030641777778</v>
      </c>
      <c r="F1274" s="12">
        <f t="shared" si="174"/>
        <v>11.055030641777778</v>
      </c>
      <c r="G1274" s="12">
        <f t="shared" si="175"/>
        <v>14.479942968888889</v>
      </c>
      <c r="H1274" s="12">
        <f t="shared" si="176"/>
        <v>14.479942968888889</v>
      </c>
      <c r="I1274" s="1" t="str">
        <f t="shared" si="177"/>
        <v>No</v>
      </c>
      <c r="J1274" s="1" t="str">
        <f t="shared" si="178"/>
        <v>Si</v>
      </c>
      <c r="K1274" s="1" t="str">
        <f t="shared" si="179"/>
        <v/>
      </c>
    </row>
    <row r="1275" spans="1:11" x14ac:dyDescent="0.3">
      <c r="A1275" s="1">
        <v>24</v>
      </c>
      <c r="B1275" s="1">
        <v>33</v>
      </c>
      <c r="C1275" s="12">
        <f t="shared" si="171"/>
        <v>-7.4999999999999956E-2</v>
      </c>
      <c r="D1275" s="12">
        <f t="shared" si="172"/>
        <v>0.60000000000000009</v>
      </c>
      <c r="E1275" s="12">
        <f t="shared" si="173"/>
        <v>11.052542549333333</v>
      </c>
      <c r="F1275" s="12">
        <f t="shared" si="174"/>
        <v>11.052542549333333</v>
      </c>
      <c r="G1275" s="12">
        <f t="shared" si="175"/>
        <v>14.476438613333332</v>
      </c>
      <c r="H1275" s="12">
        <f t="shared" si="176"/>
        <v>14.476438613333332</v>
      </c>
      <c r="I1275" s="1" t="str">
        <f t="shared" si="177"/>
        <v>No</v>
      </c>
      <c r="J1275" s="1" t="str">
        <f t="shared" si="178"/>
        <v>Si</v>
      </c>
      <c r="K1275" s="1" t="str">
        <f t="shared" si="179"/>
        <v/>
      </c>
    </row>
    <row r="1276" spans="1:11" x14ac:dyDescent="0.3">
      <c r="A1276" s="1">
        <v>24</v>
      </c>
      <c r="B1276" s="1">
        <v>34</v>
      </c>
      <c r="C1276" s="12">
        <f t="shared" si="171"/>
        <v>-7.4999999999999956E-2</v>
      </c>
      <c r="D1276" s="12">
        <f t="shared" si="172"/>
        <v>0.67499999999999982</v>
      </c>
      <c r="E1276" s="12">
        <f t="shared" si="173"/>
        <v>11.050054456888889</v>
      </c>
      <c r="F1276" s="12">
        <f t="shared" si="174"/>
        <v>11.050054456888889</v>
      </c>
      <c r="G1276" s="12">
        <f t="shared" si="175"/>
        <v>14.472934257777778</v>
      </c>
      <c r="H1276" s="12">
        <f t="shared" si="176"/>
        <v>14.472934257777778</v>
      </c>
      <c r="I1276" s="1" t="str">
        <f t="shared" si="177"/>
        <v>No</v>
      </c>
      <c r="J1276" s="1" t="str">
        <f t="shared" si="178"/>
        <v>Si</v>
      </c>
      <c r="K1276" s="1" t="str">
        <f t="shared" si="179"/>
        <v/>
      </c>
    </row>
    <row r="1277" spans="1:11" x14ac:dyDescent="0.3">
      <c r="A1277" s="1">
        <v>24</v>
      </c>
      <c r="B1277" s="1">
        <v>35</v>
      </c>
      <c r="C1277" s="12">
        <f t="shared" si="171"/>
        <v>-7.4999999999999956E-2</v>
      </c>
      <c r="D1277" s="12">
        <f t="shared" si="172"/>
        <v>0.75</v>
      </c>
      <c r="E1277" s="12">
        <f t="shared" si="173"/>
        <v>11.047566364444444</v>
      </c>
      <c r="F1277" s="12">
        <f t="shared" si="174"/>
        <v>11.047566364444444</v>
      </c>
      <c r="G1277" s="12">
        <f t="shared" si="175"/>
        <v>14.469429902222222</v>
      </c>
      <c r="H1277" s="12">
        <f t="shared" si="176"/>
        <v>14.469429902222222</v>
      </c>
      <c r="I1277" s="1" t="str">
        <f t="shared" si="177"/>
        <v>No</v>
      </c>
      <c r="J1277" s="1" t="str">
        <f t="shared" si="178"/>
        <v>Si</v>
      </c>
      <c r="K1277" s="1" t="str">
        <f t="shared" si="179"/>
        <v/>
      </c>
    </row>
    <row r="1278" spans="1:11" x14ac:dyDescent="0.3">
      <c r="A1278" s="1">
        <v>24</v>
      </c>
      <c r="B1278" s="1">
        <v>36</v>
      </c>
      <c r="C1278" s="12">
        <f t="shared" si="171"/>
        <v>-7.4999999999999956E-2</v>
      </c>
      <c r="D1278" s="12">
        <f t="shared" si="172"/>
        <v>0.82500000000000018</v>
      </c>
      <c r="E1278" s="12">
        <f t="shared" si="173"/>
        <v>11.045078272</v>
      </c>
      <c r="F1278" s="12">
        <f t="shared" si="174"/>
        <v>11.045078272</v>
      </c>
      <c r="G1278" s="12">
        <f t="shared" si="175"/>
        <v>14.465925546666666</v>
      </c>
      <c r="H1278" s="12">
        <f t="shared" si="176"/>
        <v>14.465925546666666</v>
      </c>
      <c r="I1278" s="1" t="str">
        <f t="shared" si="177"/>
        <v>No</v>
      </c>
      <c r="J1278" s="1" t="str">
        <f t="shared" si="178"/>
        <v>Si</v>
      </c>
      <c r="K1278" s="1" t="str">
        <f t="shared" si="179"/>
        <v/>
      </c>
    </row>
    <row r="1279" spans="1:11" x14ac:dyDescent="0.3">
      <c r="A1279" s="1">
        <v>24</v>
      </c>
      <c r="B1279" s="1">
        <v>37</v>
      </c>
      <c r="C1279" s="12">
        <f t="shared" si="171"/>
        <v>-7.4999999999999956E-2</v>
      </c>
      <c r="D1279" s="12">
        <f t="shared" si="172"/>
        <v>0.89999999999999991</v>
      </c>
      <c r="E1279" s="12">
        <f t="shared" si="173"/>
        <v>11.042590179555555</v>
      </c>
      <c r="F1279" s="12">
        <f t="shared" si="174"/>
        <v>11.042590179555555</v>
      </c>
      <c r="G1279" s="12">
        <f t="shared" si="175"/>
        <v>14.46242119111111</v>
      </c>
      <c r="H1279" s="12">
        <f t="shared" si="176"/>
        <v>14.46242119111111</v>
      </c>
      <c r="I1279" s="1" t="str">
        <f t="shared" si="177"/>
        <v>No</v>
      </c>
      <c r="J1279" s="1" t="str">
        <f t="shared" si="178"/>
        <v>Si</v>
      </c>
      <c r="K1279" s="1" t="str">
        <f t="shared" si="179"/>
        <v/>
      </c>
    </row>
    <row r="1280" spans="1:11" x14ac:dyDescent="0.3">
      <c r="A1280" s="1">
        <v>24</v>
      </c>
      <c r="B1280" s="1">
        <v>38</v>
      </c>
      <c r="C1280" s="12">
        <f t="shared" si="171"/>
        <v>-7.4999999999999956E-2</v>
      </c>
      <c r="D1280" s="12">
        <f t="shared" si="172"/>
        <v>0.97500000000000009</v>
      </c>
      <c r="E1280" s="12">
        <f t="shared" si="173"/>
        <v>11.04010208711111</v>
      </c>
      <c r="F1280" s="12">
        <f t="shared" si="174"/>
        <v>11.04010208711111</v>
      </c>
      <c r="G1280" s="12">
        <f t="shared" si="175"/>
        <v>14.458916835555556</v>
      </c>
      <c r="H1280" s="12">
        <f t="shared" si="176"/>
        <v>14.458916835555556</v>
      </c>
      <c r="I1280" s="1" t="str">
        <f t="shared" si="177"/>
        <v>No</v>
      </c>
      <c r="J1280" s="1" t="str">
        <f t="shared" si="178"/>
        <v>Si</v>
      </c>
      <c r="K1280" s="1" t="str">
        <f t="shared" si="179"/>
        <v/>
      </c>
    </row>
    <row r="1281" spans="1:11" x14ac:dyDescent="0.3">
      <c r="A1281" s="1">
        <v>24</v>
      </c>
      <c r="B1281" s="1">
        <v>39</v>
      </c>
      <c r="C1281" s="12">
        <f t="shared" si="171"/>
        <v>-7.4999999999999956E-2</v>
      </c>
      <c r="D1281" s="12">
        <f t="shared" si="172"/>
        <v>1.0499999999999998</v>
      </c>
      <c r="E1281" s="12">
        <f t="shared" si="173"/>
        <v>11.037613994666666</v>
      </c>
      <c r="F1281" s="12">
        <f t="shared" si="174"/>
        <v>11.037613994666666</v>
      </c>
      <c r="G1281" s="12">
        <f t="shared" si="175"/>
        <v>14.45541248</v>
      </c>
      <c r="H1281" s="12">
        <f t="shared" si="176"/>
        <v>14.45541248</v>
      </c>
      <c r="I1281" s="1" t="str">
        <f t="shared" si="177"/>
        <v>No</v>
      </c>
      <c r="J1281" s="1" t="str">
        <f t="shared" si="178"/>
        <v>Si</v>
      </c>
      <c r="K1281" s="1" t="str">
        <f t="shared" si="179"/>
        <v/>
      </c>
    </row>
    <row r="1282" spans="1:11" x14ac:dyDescent="0.3">
      <c r="A1282" s="1">
        <v>24</v>
      </c>
      <c r="B1282" s="1">
        <v>40</v>
      </c>
      <c r="C1282" s="12">
        <f t="shared" si="171"/>
        <v>-7.4999999999999956E-2</v>
      </c>
      <c r="D1282" s="12">
        <f t="shared" si="172"/>
        <v>1.125</v>
      </c>
      <c r="E1282" s="12">
        <f t="shared" si="173"/>
        <v>11.035125902222221</v>
      </c>
      <c r="F1282" s="12">
        <f t="shared" si="174"/>
        <v>11.035125902222221</v>
      </c>
      <c r="G1282" s="12">
        <f t="shared" si="175"/>
        <v>14.451908124444444</v>
      </c>
      <c r="H1282" s="12">
        <f t="shared" si="176"/>
        <v>14.451908124444444</v>
      </c>
      <c r="I1282" s="1" t="str">
        <f t="shared" si="177"/>
        <v>No</v>
      </c>
      <c r="J1282" s="1" t="str">
        <f t="shared" si="178"/>
        <v>Si</v>
      </c>
      <c r="K1282" s="1" t="str">
        <f t="shared" si="179"/>
        <v/>
      </c>
    </row>
    <row r="1283" spans="1:11" x14ac:dyDescent="0.3">
      <c r="A1283" s="1">
        <v>24</v>
      </c>
      <c r="B1283" s="1">
        <v>41</v>
      </c>
      <c r="C1283" s="12">
        <f t="shared" si="171"/>
        <v>-7.4999999999999956E-2</v>
      </c>
      <c r="D1283" s="12">
        <f t="shared" si="172"/>
        <v>1.2000000000000002</v>
      </c>
      <c r="E1283" s="12">
        <f t="shared" si="173"/>
        <v>11.032637809777777</v>
      </c>
      <c r="F1283" s="12">
        <f t="shared" si="174"/>
        <v>11.032637809777777</v>
      </c>
      <c r="G1283" s="12">
        <f t="shared" si="175"/>
        <v>14.448403768888889</v>
      </c>
      <c r="H1283" s="12">
        <f t="shared" si="176"/>
        <v>14.448403768888889</v>
      </c>
      <c r="I1283" s="1" t="str">
        <f t="shared" si="177"/>
        <v>No</v>
      </c>
      <c r="J1283" s="1" t="str">
        <f t="shared" si="178"/>
        <v>Si</v>
      </c>
      <c r="K1283" s="1" t="str">
        <f t="shared" si="179"/>
        <v/>
      </c>
    </row>
    <row r="1284" spans="1:11" x14ac:dyDescent="0.3">
      <c r="A1284" s="1">
        <v>24</v>
      </c>
      <c r="B1284" s="1">
        <v>42</v>
      </c>
      <c r="C1284" s="12">
        <f t="shared" si="171"/>
        <v>-7.4999999999999956E-2</v>
      </c>
      <c r="D1284" s="12">
        <f t="shared" si="172"/>
        <v>1.2749999999999999</v>
      </c>
      <c r="E1284" s="12">
        <f t="shared" si="173"/>
        <v>11.030149717333332</v>
      </c>
      <c r="F1284" s="12">
        <f t="shared" si="174"/>
        <v>11.030149717333332</v>
      </c>
      <c r="G1284" s="12">
        <f t="shared" si="175"/>
        <v>14.444899413333333</v>
      </c>
      <c r="H1284" s="12">
        <f t="shared" si="176"/>
        <v>14.444899413333333</v>
      </c>
      <c r="I1284" s="1" t="str">
        <f t="shared" si="177"/>
        <v>No</v>
      </c>
      <c r="J1284" s="1" t="str">
        <f t="shared" si="178"/>
        <v>Si</v>
      </c>
      <c r="K1284" s="1" t="str">
        <f t="shared" si="179"/>
        <v/>
      </c>
    </row>
    <row r="1285" spans="1:11" x14ac:dyDescent="0.3">
      <c r="A1285" s="1">
        <v>24</v>
      </c>
      <c r="B1285" s="1">
        <v>43</v>
      </c>
      <c r="C1285" s="12">
        <f t="shared" si="171"/>
        <v>-7.4999999999999956E-2</v>
      </c>
      <c r="D1285" s="12">
        <f t="shared" si="172"/>
        <v>1.35</v>
      </c>
      <c r="E1285" s="12">
        <f t="shared" si="173"/>
        <v>11.027661624888887</v>
      </c>
      <c r="F1285" s="12">
        <f t="shared" si="174"/>
        <v>11.027661624888887</v>
      </c>
      <c r="G1285" s="12">
        <f t="shared" si="175"/>
        <v>14.441395057777777</v>
      </c>
      <c r="H1285" s="12">
        <f t="shared" si="176"/>
        <v>14.441395057777777</v>
      </c>
      <c r="I1285" s="1" t="str">
        <f t="shared" si="177"/>
        <v>No</v>
      </c>
      <c r="J1285" s="1" t="str">
        <f t="shared" si="178"/>
        <v>Si</v>
      </c>
      <c r="K1285" s="1" t="str">
        <f t="shared" si="179"/>
        <v/>
      </c>
    </row>
    <row r="1286" spans="1:11" x14ac:dyDescent="0.3">
      <c r="A1286" s="1">
        <v>24</v>
      </c>
      <c r="B1286" s="1">
        <v>44</v>
      </c>
      <c r="C1286" s="12">
        <f t="shared" si="171"/>
        <v>-7.4999999999999956E-2</v>
      </c>
      <c r="D1286" s="12">
        <f t="shared" si="172"/>
        <v>1.4249999999999998</v>
      </c>
      <c r="E1286" s="12">
        <f t="shared" si="173"/>
        <v>11.025173532444445</v>
      </c>
      <c r="F1286" s="12">
        <f t="shared" si="174"/>
        <v>11.025173532444445</v>
      </c>
      <c r="G1286" s="12">
        <f t="shared" si="175"/>
        <v>14.437890702222221</v>
      </c>
      <c r="H1286" s="12">
        <f t="shared" si="176"/>
        <v>14.437890702222221</v>
      </c>
      <c r="I1286" s="1" t="str">
        <f t="shared" si="177"/>
        <v>No</v>
      </c>
      <c r="J1286" s="1" t="str">
        <f t="shared" si="178"/>
        <v>Si</v>
      </c>
      <c r="K1286" s="1" t="str">
        <f t="shared" si="179"/>
        <v/>
      </c>
    </row>
    <row r="1287" spans="1:11" x14ac:dyDescent="0.3">
      <c r="A1287" s="1">
        <v>24</v>
      </c>
      <c r="B1287" s="1">
        <v>45</v>
      </c>
      <c r="C1287" s="12">
        <f t="shared" si="171"/>
        <v>-7.4999999999999956E-2</v>
      </c>
      <c r="D1287" s="12">
        <f t="shared" si="172"/>
        <v>1.5</v>
      </c>
      <c r="E1287" s="12">
        <f t="shared" si="173"/>
        <v>11.02268544</v>
      </c>
      <c r="F1287" s="12">
        <f t="shared" si="174"/>
        <v>11.02268544</v>
      </c>
      <c r="G1287" s="12">
        <f t="shared" si="175"/>
        <v>14.434386346666667</v>
      </c>
      <c r="H1287" s="12">
        <f t="shared" si="176"/>
        <v>14.434386346666667</v>
      </c>
      <c r="I1287" s="1" t="str">
        <f t="shared" si="177"/>
        <v>No</v>
      </c>
      <c r="J1287" s="1" t="str">
        <f t="shared" si="178"/>
        <v>Si</v>
      </c>
      <c r="K1287" s="1" t="str">
        <f t="shared" si="179"/>
        <v/>
      </c>
    </row>
    <row r="1288" spans="1:11" x14ac:dyDescent="0.3">
      <c r="A1288" s="1">
        <v>24</v>
      </c>
      <c r="B1288" s="1">
        <v>46</v>
      </c>
      <c r="C1288" s="12">
        <f t="shared" si="171"/>
        <v>-7.4999999999999956E-2</v>
      </c>
      <c r="D1288" s="12">
        <f t="shared" si="172"/>
        <v>1.5750000000000002</v>
      </c>
      <c r="E1288" s="12">
        <f t="shared" si="173"/>
        <v>11.020197347555555</v>
      </c>
      <c r="F1288" s="12">
        <f t="shared" si="174"/>
        <v>11.020197347555555</v>
      </c>
      <c r="G1288" s="12">
        <f t="shared" si="175"/>
        <v>14.430881991111111</v>
      </c>
      <c r="H1288" s="12">
        <f t="shared" si="176"/>
        <v>14.430881991111111</v>
      </c>
      <c r="I1288" s="1" t="str">
        <f t="shared" si="177"/>
        <v>No</v>
      </c>
      <c r="J1288" s="1" t="str">
        <f t="shared" si="178"/>
        <v>Si</v>
      </c>
      <c r="K1288" s="1" t="str">
        <f t="shared" si="179"/>
        <v/>
      </c>
    </row>
    <row r="1289" spans="1:11" x14ac:dyDescent="0.3">
      <c r="A1289" s="1">
        <v>24</v>
      </c>
      <c r="B1289" s="1">
        <v>47</v>
      </c>
      <c r="C1289" s="12">
        <f t="shared" si="171"/>
        <v>-7.4999999999999956E-2</v>
      </c>
      <c r="D1289" s="12">
        <f t="shared" si="172"/>
        <v>1.65</v>
      </c>
      <c r="E1289" s="12">
        <f t="shared" si="173"/>
        <v>11.017709255111111</v>
      </c>
      <c r="F1289" s="12">
        <f t="shared" si="174"/>
        <v>11.017709255111111</v>
      </c>
      <c r="G1289" s="12">
        <f t="shared" si="175"/>
        <v>14.427377635555555</v>
      </c>
      <c r="H1289" s="12">
        <f t="shared" si="176"/>
        <v>14.427377635555555</v>
      </c>
      <c r="I1289" s="1" t="str">
        <f t="shared" si="177"/>
        <v>No</v>
      </c>
      <c r="J1289" s="1" t="str">
        <f t="shared" si="178"/>
        <v>Si</v>
      </c>
      <c r="K1289" s="1" t="str">
        <f t="shared" si="179"/>
        <v/>
      </c>
    </row>
    <row r="1290" spans="1:11" x14ac:dyDescent="0.3">
      <c r="A1290" s="1">
        <v>24</v>
      </c>
      <c r="B1290" s="1">
        <v>48</v>
      </c>
      <c r="C1290" s="12">
        <f t="shared" si="171"/>
        <v>-7.4999999999999956E-2</v>
      </c>
      <c r="D1290" s="12">
        <f t="shared" si="172"/>
        <v>1.7250000000000001</v>
      </c>
      <c r="E1290" s="12">
        <f t="shared" si="173"/>
        <v>11.015221162666666</v>
      </c>
      <c r="F1290" s="12">
        <f t="shared" si="174"/>
        <v>11.015221162666666</v>
      </c>
      <c r="G1290" s="12">
        <f t="shared" si="175"/>
        <v>14.42387328</v>
      </c>
      <c r="H1290" s="12">
        <f t="shared" si="176"/>
        <v>14.42387328</v>
      </c>
      <c r="I1290" s="1" t="str">
        <f t="shared" si="177"/>
        <v>No</v>
      </c>
      <c r="J1290" s="1" t="str">
        <f t="shared" si="178"/>
        <v>Si</v>
      </c>
      <c r="K1290" s="1" t="str">
        <f t="shared" si="179"/>
        <v/>
      </c>
    </row>
    <row r="1291" spans="1:11" x14ac:dyDescent="0.3">
      <c r="A1291" s="1">
        <v>24</v>
      </c>
      <c r="B1291" s="1">
        <v>49</v>
      </c>
      <c r="C1291" s="12">
        <f t="shared" si="171"/>
        <v>-7.4999999999999956E-2</v>
      </c>
      <c r="D1291" s="12">
        <f t="shared" si="172"/>
        <v>1.7999999999999998</v>
      </c>
      <c r="E1291" s="12">
        <f t="shared" si="173"/>
        <v>11.012733070222222</v>
      </c>
      <c r="F1291" s="12">
        <f t="shared" si="174"/>
        <v>11.012733070222222</v>
      </c>
      <c r="G1291" s="12">
        <f t="shared" si="175"/>
        <v>14.420368924444444</v>
      </c>
      <c r="H1291" s="12">
        <f t="shared" si="176"/>
        <v>14.420368924444444</v>
      </c>
      <c r="I1291" s="1" t="str">
        <f t="shared" si="177"/>
        <v>No</v>
      </c>
      <c r="J1291" s="1" t="str">
        <f t="shared" si="178"/>
        <v>Si</v>
      </c>
      <c r="K1291" s="1" t="str">
        <f t="shared" si="179"/>
        <v/>
      </c>
    </row>
    <row r="1292" spans="1:11" x14ac:dyDescent="0.3">
      <c r="A1292" s="1">
        <v>24</v>
      </c>
      <c r="B1292" s="1">
        <v>50</v>
      </c>
      <c r="C1292" s="12">
        <f t="shared" si="171"/>
        <v>-7.4999999999999956E-2</v>
      </c>
      <c r="D1292" s="12">
        <f t="shared" si="172"/>
        <v>1.875</v>
      </c>
      <c r="E1292" s="12">
        <f t="shared" si="173"/>
        <v>11.010244977777777</v>
      </c>
      <c r="F1292" s="12">
        <f t="shared" si="174"/>
        <v>11.010244977777777</v>
      </c>
      <c r="G1292" s="12">
        <f t="shared" si="175"/>
        <v>14.416864568888888</v>
      </c>
      <c r="H1292" s="12">
        <f t="shared" si="176"/>
        <v>14.416864568888888</v>
      </c>
      <c r="I1292" s="1" t="str">
        <f t="shared" si="177"/>
        <v>No</v>
      </c>
      <c r="J1292" s="1" t="str">
        <f t="shared" si="178"/>
        <v>Si</v>
      </c>
      <c r="K1292" s="1" t="str">
        <f t="shared" si="179"/>
        <v/>
      </c>
    </row>
    <row r="1293" spans="1:11" x14ac:dyDescent="0.3">
      <c r="A1293" s="1">
        <v>25</v>
      </c>
      <c r="B1293" s="1">
        <v>0</v>
      </c>
      <c r="C1293" s="12">
        <f t="shared" si="171"/>
        <v>0</v>
      </c>
      <c r="D1293" s="12">
        <f t="shared" si="172"/>
        <v>-1.875</v>
      </c>
      <c r="E1293" s="12">
        <f t="shared" si="173"/>
        <v>11.135343644444443</v>
      </c>
      <c r="F1293" s="12">
        <f t="shared" si="174"/>
        <v>11.135343644444443</v>
      </c>
      <c r="G1293" s="12">
        <f t="shared" si="175"/>
        <v>14.593119999999999</v>
      </c>
      <c r="H1293" s="12">
        <f t="shared" si="176"/>
        <v>14.593119999999999</v>
      </c>
      <c r="I1293" s="1" t="str">
        <f t="shared" si="177"/>
        <v>No</v>
      </c>
      <c r="J1293" s="1" t="str">
        <f t="shared" si="178"/>
        <v>Si</v>
      </c>
      <c r="K1293" s="1" t="str">
        <f t="shared" si="179"/>
        <v/>
      </c>
    </row>
    <row r="1294" spans="1:11" x14ac:dyDescent="0.3">
      <c r="A1294" s="1">
        <v>25</v>
      </c>
      <c r="B1294" s="1">
        <v>1</v>
      </c>
      <c r="C1294" s="12">
        <f t="shared" si="171"/>
        <v>0</v>
      </c>
      <c r="D1294" s="12">
        <f t="shared" si="172"/>
        <v>-1.8</v>
      </c>
      <c r="E1294" s="12">
        <f t="shared" si="173"/>
        <v>11.132855551999999</v>
      </c>
      <c r="F1294" s="12">
        <f t="shared" si="174"/>
        <v>11.132855551999999</v>
      </c>
      <c r="G1294" s="12">
        <f t="shared" si="175"/>
        <v>14.589615644444443</v>
      </c>
      <c r="H1294" s="12">
        <f t="shared" si="176"/>
        <v>14.589615644444443</v>
      </c>
      <c r="I1294" s="1" t="str">
        <f t="shared" si="177"/>
        <v>No</v>
      </c>
      <c r="J1294" s="1" t="str">
        <f t="shared" si="178"/>
        <v>Si</v>
      </c>
      <c r="K1294" s="1" t="str">
        <f t="shared" si="179"/>
        <v/>
      </c>
    </row>
    <row r="1295" spans="1:11" x14ac:dyDescent="0.3">
      <c r="A1295" s="1">
        <v>25</v>
      </c>
      <c r="B1295" s="1">
        <v>2</v>
      </c>
      <c r="C1295" s="12">
        <f t="shared" si="171"/>
        <v>0</v>
      </c>
      <c r="D1295" s="12">
        <f t="shared" si="172"/>
        <v>-1.7250000000000001</v>
      </c>
      <c r="E1295" s="12">
        <f t="shared" si="173"/>
        <v>11.130367459555554</v>
      </c>
      <c r="F1295" s="12">
        <f t="shared" si="174"/>
        <v>11.130367459555554</v>
      </c>
      <c r="G1295" s="12">
        <f t="shared" si="175"/>
        <v>14.586111288888887</v>
      </c>
      <c r="H1295" s="12">
        <f t="shared" si="176"/>
        <v>14.586111288888887</v>
      </c>
      <c r="I1295" s="1" t="str">
        <f t="shared" si="177"/>
        <v>No</v>
      </c>
      <c r="J1295" s="1" t="str">
        <f t="shared" si="178"/>
        <v>Si</v>
      </c>
      <c r="K1295" s="1" t="str">
        <f t="shared" si="179"/>
        <v/>
      </c>
    </row>
    <row r="1296" spans="1:11" x14ac:dyDescent="0.3">
      <c r="A1296" s="1">
        <v>25</v>
      </c>
      <c r="B1296" s="1">
        <v>3</v>
      </c>
      <c r="C1296" s="12">
        <f t="shared" si="171"/>
        <v>0</v>
      </c>
      <c r="D1296" s="12">
        <f t="shared" si="172"/>
        <v>-1.65</v>
      </c>
      <c r="E1296" s="12">
        <f t="shared" si="173"/>
        <v>11.12787936711111</v>
      </c>
      <c r="F1296" s="12">
        <f t="shared" si="174"/>
        <v>11.12787936711111</v>
      </c>
      <c r="G1296" s="12">
        <f t="shared" si="175"/>
        <v>14.582606933333333</v>
      </c>
      <c r="H1296" s="12">
        <f t="shared" si="176"/>
        <v>14.582606933333333</v>
      </c>
      <c r="I1296" s="1" t="str">
        <f t="shared" si="177"/>
        <v>No</v>
      </c>
      <c r="J1296" s="1" t="str">
        <f t="shared" si="178"/>
        <v>Si</v>
      </c>
      <c r="K1296" s="1" t="str">
        <f t="shared" si="179"/>
        <v/>
      </c>
    </row>
    <row r="1297" spans="1:11" x14ac:dyDescent="0.3">
      <c r="A1297" s="1">
        <v>25</v>
      </c>
      <c r="B1297" s="1">
        <v>4</v>
      </c>
      <c r="C1297" s="12">
        <f t="shared" si="171"/>
        <v>0</v>
      </c>
      <c r="D1297" s="12">
        <f t="shared" si="172"/>
        <v>-1.575</v>
      </c>
      <c r="E1297" s="12">
        <f t="shared" si="173"/>
        <v>11.125391274666665</v>
      </c>
      <c r="F1297" s="12">
        <f t="shared" si="174"/>
        <v>11.125391274666665</v>
      </c>
      <c r="G1297" s="12">
        <f t="shared" si="175"/>
        <v>14.579102577777777</v>
      </c>
      <c r="H1297" s="12">
        <f t="shared" si="176"/>
        <v>14.579102577777777</v>
      </c>
      <c r="I1297" s="1" t="str">
        <f t="shared" si="177"/>
        <v>No</v>
      </c>
      <c r="J1297" s="1" t="str">
        <f t="shared" si="178"/>
        <v>Si</v>
      </c>
      <c r="K1297" s="1" t="str">
        <f t="shared" si="179"/>
        <v/>
      </c>
    </row>
    <row r="1298" spans="1:11" x14ac:dyDescent="0.3">
      <c r="A1298" s="1">
        <v>25</v>
      </c>
      <c r="B1298" s="1">
        <v>5</v>
      </c>
      <c r="C1298" s="12">
        <f t="shared" ref="C1298:C1361" si="180">IF(OR(A1298&gt;inp_n_div_x,B1298&gt;inp_n_div_y),"",-inp_bx/2+A1298*inp_bx/inp_n_div_x)</f>
        <v>0</v>
      </c>
      <c r="D1298" s="12">
        <f t="shared" ref="D1298:D1361" si="181">IF(C1298="","",-inp_by/2+B1298*inp_by/inp_n_div_y)</f>
        <v>-1.5</v>
      </c>
      <c r="E1298" s="12">
        <f t="shared" ref="E1298:E1361" si="182">IF(C1298="","",res_srv_p_tot/geo_area+res_srv_mx_tot/geo_ix*D1298+res_srv_my_tot/geo_iy*C1298)</f>
        <v>11.12290318222222</v>
      </c>
      <c r="F1298" s="12">
        <f t="shared" ref="F1298:F1361" si="183">IF(E1298="","",MAX(0,E1298))</f>
        <v>11.12290318222222</v>
      </c>
      <c r="G1298" s="12">
        <f t="shared" ref="G1298:G1361" si="184">IF(C1298="","",res_u_p_tot/geo_area+res_u_mx_tot/geo_ix*D1298+res_u_my_tot/geo_iy*C1298)</f>
        <v>14.57559822222222</v>
      </c>
      <c r="H1298" s="12">
        <f t="shared" ref="H1298:H1361" si="185">IF(G1298="","",MAX(0,G1298))</f>
        <v>14.57559822222222</v>
      </c>
      <c r="I1298" s="1" t="str">
        <f t="shared" ref="I1298:I1361" si="186">IF(C1298="","",IF(AND(C1298&gt;=inp_xc-inp_cx/2,C1298&lt;=inp_xc+inp_cx/2,D1298&gt;=inp_yc-inp_cy/2,D1298&lt;=inp_yc+inp_cy/2),"Si","No"))</f>
        <v>No</v>
      </c>
      <c r="J1298" s="1" t="str">
        <f t="shared" ref="J1298:J1361" si="187">IF(C1298="","","Si")</f>
        <v>Si</v>
      </c>
      <c r="K1298" s="1" t="str">
        <f t="shared" ref="K1298:K1361" si="188">IF(OR(E1298&lt;0,G1298&lt;0),"Presion negativa","")</f>
        <v/>
      </c>
    </row>
    <row r="1299" spans="1:11" x14ac:dyDescent="0.3">
      <c r="A1299" s="1">
        <v>25</v>
      </c>
      <c r="B1299" s="1">
        <v>6</v>
      </c>
      <c r="C1299" s="12">
        <f t="shared" si="180"/>
        <v>0</v>
      </c>
      <c r="D1299" s="12">
        <f t="shared" si="181"/>
        <v>-1.425</v>
      </c>
      <c r="E1299" s="12">
        <f t="shared" si="182"/>
        <v>11.120415089777776</v>
      </c>
      <c r="F1299" s="12">
        <f t="shared" si="183"/>
        <v>11.120415089777776</v>
      </c>
      <c r="G1299" s="12">
        <f t="shared" si="184"/>
        <v>14.572093866666666</v>
      </c>
      <c r="H1299" s="12">
        <f t="shared" si="185"/>
        <v>14.572093866666666</v>
      </c>
      <c r="I1299" s="1" t="str">
        <f t="shared" si="186"/>
        <v>No</v>
      </c>
      <c r="J1299" s="1" t="str">
        <f t="shared" si="187"/>
        <v>Si</v>
      </c>
      <c r="K1299" s="1" t="str">
        <f t="shared" si="188"/>
        <v/>
      </c>
    </row>
    <row r="1300" spans="1:11" x14ac:dyDescent="0.3">
      <c r="A1300" s="1">
        <v>25</v>
      </c>
      <c r="B1300" s="1">
        <v>7</v>
      </c>
      <c r="C1300" s="12">
        <f t="shared" si="180"/>
        <v>0</v>
      </c>
      <c r="D1300" s="12">
        <f t="shared" si="181"/>
        <v>-1.35</v>
      </c>
      <c r="E1300" s="12">
        <f t="shared" si="182"/>
        <v>11.117926997333333</v>
      </c>
      <c r="F1300" s="12">
        <f t="shared" si="183"/>
        <v>11.117926997333333</v>
      </c>
      <c r="G1300" s="12">
        <f t="shared" si="184"/>
        <v>14.56858951111111</v>
      </c>
      <c r="H1300" s="12">
        <f t="shared" si="185"/>
        <v>14.56858951111111</v>
      </c>
      <c r="I1300" s="1" t="str">
        <f t="shared" si="186"/>
        <v>No</v>
      </c>
      <c r="J1300" s="1" t="str">
        <f t="shared" si="187"/>
        <v>Si</v>
      </c>
      <c r="K1300" s="1" t="str">
        <f t="shared" si="188"/>
        <v/>
      </c>
    </row>
    <row r="1301" spans="1:11" x14ac:dyDescent="0.3">
      <c r="A1301" s="1">
        <v>25</v>
      </c>
      <c r="B1301" s="1">
        <v>8</v>
      </c>
      <c r="C1301" s="12">
        <f t="shared" si="180"/>
        <v>0</v>
      </c>
      <c r="D1301" s="12">
        <f t="shared" si="181"/>
        <v>-1.2749999999999999</v>
      </c>
      <c r="E1301" s="12">
        <f t="shared" si="182"/>
        <v>11.115438904888888</v>
      </c>
      <c r="F1301" s="12">
        <f t="shared" si="183"/>
        <v>11.115438904888888</v>
      </c>
      <c r="G1301" s="12">
        <f t="shared" si="184"/>
        <v>14.565085155555554</v>
      </c>
      <c r="H1301" s="12">
        <f t="shared" si="185"/>
        <v>14.565085155555554</v>
      </c>
      <c r="I1301" s="1" t="str">
        <f t="shared" si="186"/>
        <v>No</v>
      </c>
      <c r="J1301" s="1" t="str">
        <f t="shared" si="187"/>
        <v>Si</v>
      </c>
      <c r="K1301" s="1" t="str">
        <f t="shared" si="188"/>
        <v/>
      </c>
    </row>
    <row r="1302" spans="1:11" x14ac:dyDescent="0.3">
      <c r="A1302" s="1">
        <v>25</v>
      </c>
      <c r="B1302" s="1">
        <v>9</v>
      </c>
      <c r="C1302" s="12">
        <f t="shared" si="180"/>
        <v>0</v>
      </c>
      <c r="D1302" s="12">
        <f t="shared" si="181"/>
        <v>-1.2</v>
      </c>
      <c r="E1302" s="12">
        <f t="shared" si="182"/>
        <v>11.112950812444444</v>
      </c>
      <c r="F1302" s="12">
        <f t="shared" si="183"/>
        <v>11.112950812444444</v>
      </c>
      <c r="G1302" s="12">
        <f t="shared" si="184"/>
        <v>14.561580799999998</v>
      </c>
      <c r="H1302" s="12">
        <f t="shared" si="185"/>
        <v>14.561580799999998</v>
      </c>
      <c r="I1302" s="1" t="str">
        <f t="shared" si="186"/>
        <v>No</v>
      </c>
      <c r="J1302" s="1" t="str">
        <f t="shared" si="187"/>
        <v>Si</v>
      </c>
      <c r="K1302" s="1" t="str">
        <f t="shared" si="188"/>
        <v/>
      </c>
    </row>
    <row r="1303" spans="1:11" x14ac:dyDescent="0.3">
      <c r="A1303" s="1">
        <v>25</v>
      </c>
      <c r="B1303" s="1">
        <v>10</v>
      </c>
      <c r="C1303" s="12">
        <f t="shared" si="180"/>
        <v>0</v>
      </c>
      <c r="D1303" s="12">
        <f t="shared" si="181"/>
        <v>-1.125</v>
      </c>
      <c r="E1303" s="12">
        <f t="shared" si="182"/>
        <v>11.110462719999999</v>
      </c>
      <c r="F1303" s="12">
        <f t="shared" si="183"/>
        <v>11.110462719999999</v>
      </c>
      <c r="G1303" s="12">
        <f t="shared" si="184"/>
        <v>14.558076444444444</v>
      </c>
      <c r="H1303" s="12">
        <f t="shared" si="185"/>
        <v>14.558076444444444</v>
      </c>
      <c r="I1303" s="1" t="str">
        <f t="shared" si="186"/>
        <v>No</v>
      </c>
      <c r="J1303" s="1" t="str">
        <f t="shared" si="187"/>
        <v>Si</v>
      </c>
      <c r="K1303" s="1" t="str">
        <f t="shared" si="188"/>
        <v/>
      </c>
    </row>
    <row r="1304" spans="1:11" x14ac:dyDescent="0.3">
      <c r="A1304" s="1">
        <v>25</v>
      </c>
      <c r="B1304" s="1">
        <v>11</v>
      </c>
      <c r="C1304" s="12">
        <f t="shared" si="180"/>
        <v>0</v>
      </c>
      <c r="D1304" s="12">
        <f t="shared" si="181"/>
        <v>-1.05</v>
      </c>
      <c r="E1304" s="12">
        <f t="shared" si="182"/>
        <v>11.107974627555555</v>
      </c>
      <c r="F1304" s="12">
        <f t="shared" si="183"/>
        <v>11.107974627555555</v>
      </c>
      <c r="G1304" s="12">
        <f t="shared" si="184"/>
        <v>14.554572088888888</v>
      </c>
      <c r="H1304" s="12">
        <f t="shared" si="185"/>
        <v>14.554572088888888</v>
      </c>
      <c r="I1304" s="1" t="str">
        <f t="shared" si="186"/>
        <v>No</v>
      </c>
      <c r="J1304" s="1" t="str">
        <f t="shared" si="187"/>
        <v>Si</v>
      </c>
      <c r="K1304" s="1" t="str">
        <f t="shared" si="188"/>
        <v/>
      </c>
    </row>
    <row r="1305" spans="1:11" x14ac:dyDescent="0.3">
      <c r="A1305" s="1">
        <v>25</v>
      </c>
      <c r="B1305" s="1">
        <v>12</v>
      </c>
      <c r="C1305" s="12">
        <f t="shared" si="180"/>
        <v>0</v>
      </c>
      <c r="D1305" s="12">
        <f t="shared" si="181"/>
        <v>-0.97499999999999998</v>
      </c>
      <c r="E1305" s="12">
        <f t="shared" si="182"/>
        <v>11.10548653511111</v>
      </c>
      <c r="F1305" s="12">
        <f t="shared" si="183"/>
        <v>11.10548653511111</v>
      </c>
      <c r="G1305" s="12">
        <f t="shared" si="184"/>
        <v>14.551067733333332</v>
      </c>
      <c r="H1305" s="12">
        <f t="shared" si="185"/>
        <v>14.551067733333332</v>
      </c>
      <c r="I1305" s="1" t="str">
        <f t="shared" si="186"/>
        <v>No</v>
      </c>
      <c r="J1305" s="1" t="str">
        <f t="shared" si="187"/>
        <v>Si</v>
      </c>
      <c r="K1305" s="1" t="str">
        <f t="shared" si="188"/>
        <v/>
      </c>
    </row>
    <row r="1306" spans="1:11" x14ac:dyDescent="0.3">
      <c r="A1306" s="1">
        <v>25</v>
      </c>
      <c r="B1306" s="1">
        <v>13</v>
      </c>
      <c r="C1306" s="12">
        <f t="shared" si="180"/>
        <v>0</v>
      </c>
      <c r="D1306" s="12">
        <f t="shared" si="181"/>
        <v>-0.9</v>
      </c>
      <c r="E1306" s="12">
        <f t="shared" si="182"/>
        <v>11.102998442666665</v>
      </c>
      <c r="F1306" s="12">
        <f t="shared" si="183"/>
        <v>11.102998442666665</v>
      </c>
      <c r="G1306" s="12">
        <f t="shared" si="184"/>
        <v>14.547563377777777</v>
      </c>
      <c r="H1306" s="12">
        <f t="shared" si="185"/>
        <v>14.547563377777777</v>
      </c>
      <c r="I1306" s="1" t="str">
        <f t="shared" si="186"/>
        <v>No</v>
      </c>
      <c r="J1306" s="1" t="str">
        <f t="shared" si="187"/>
        <v>Si</v>
      </c>
      <c r="K1306" s="1" t="str">
        <f t="shared" si="188"/>
        <v/>
      </c>
    </row>
    <row r="1307" spans="1:11" x14ac:dyDescent="0.3">
      <c r="A1307" s="1">
        <v>25</v>
      </c>
      <c r="B1307" s="1">
        <v>14</v>
      </c>
      <c r="C1307" s="12">
        <f t="shared" si="180"/>
        <v>0</v>
      </c>
      <c r="D1307" s="12">
        <f t="shared" si="181"/>
        <v>-0.82499999999999996</v>
      </c>
      <c r="E1307" s="12">
        <f t="shared" si="182"/>
        <v>11.100510350222221</v>
      </c>
      <c r="F1307" s="12">
        <f t="shared" si="183"/>
        <v>11.100510350222221</v>
      </c>
      <c r="G1307" s="12">
        <f t="shared" si="184"/>
        <v>14.544059022222221</v>
      </c>
      <c r="H1307" s="12">
        <f t="shared" si="185"/>
        <v>14.544059022222221</v>
      </c>
      <c r="I1307" s="1" t="str">
        <f t="shared" si="186"/>
        <v>No</v>
      </c>
      <c r="J1307" s="1" t="str">
        <f t="shared" si="187"/>
        <v>Si</v>
      </c>
      <c r="K1307" s="1" t="str">
        <f t="shared" si="188"/>
        <v/>
      </c>
    </row>
    <row r="1308" spans="1:11" x14ac:dyDescent="0.3">
      <c r="A1308" s="1">
        <v>25</v>
      </c>
      <c r="B1308" s="1">
        <v>15</v>
      </c>
      <c r="C1308" s="12">
        <f t="shared" si="180"/>
        <v>0</v>
      </c>
      <c r="D1308" s="12">
        <f t="shared" si="181"/>
        <v>-0.75</v>
      </c>
      <c r="E1308" s="12">
        <f t="shared" si="182"/>
        <v>11.098022257777776</v>
      </c>
      <c r="F1308" s="12">
        <f t="shared" si="183"/>
        <v>11.098022257777776</v>
      </c>
      <c r="G1308" s="12">
        <f t="shared" si="184"/>
        <v>14.540554666666665</v>
      </c>
      <c r="H1308" s="12">
        <f t="shared" si="185"/>
        <v>14.540554666666665</v>
      </c>
      <c r="I1308" s="1" t="str">
        <f t="shared" si="186"/>
        <v>No</v>
      </c>
      <c r="J1308" s="1" t="str">
        <f t="shared" si="187"/>
        <v>Si</v>
      </c>
      <c r="K1308" s="1" t="str">
        <f t="shared" si="188"/>
        <v/>
      </c>
    </row>
    <row r="1309" spans="1:11" x14ac:dyDescent="0.3">
      <c r="A1309" s="1">
        <v>25</v>
      </c>
      <c r="B1309" s="1">
        <v>16</v>
      </c>
      <c r="C1309" s="12">
        <f t="shared" si="180"/>
        <v>0</v>
      </c>
      <c r="D1309" s="12">
        <f t="shared" si="181"/>
        <v>-0.67500000000000004</v>
      </c>
      <c r="E1309" s="12">
        <f t="shared" si="182"/>
        <v>11.095534165333332</v>
      </c>
      <c r="F1309" s="12">
        <f t="shared" si="183"/>
        <v>11.095534165333332</v>
      </c>
      <c r="G1309" s="12">
        <f t="shared" si="184"/>
        <v>14.537050311111109</v>
      </c>
      <c r="H1309" s="12">
        <f t="shared" si="185"/>
        <v>14.537050311111109</v>
      </c>
      <c r="I1309" s="1" t="str">
        <f t="shared" si="186"/>
        <v>No</v>
      </c>
      <c r="J1309" s="1" t="str">
        <f t="shared" si="187"/>
        <v>Si</v>
      </c>
      <c r="K1309" s="1" t="str">
        <f t="shared" si="188"/>
        <v/>
      </c>
    </row>
    <row r="1310" spans="1:11" x14ac:dyDescent="0.3">
      <c r="A1310" s="1">
        <v>25</v>
      </c>
      <c r="B1310" s="1">
        <v>17</v>
      </c>
      <c r="C1310" s="12">
        <f t="shared" si="180"/>
        <v>0</v>
      </c>
      <c r="D1310" s="12">
        <f t="shared" si="181"/>
        <v>-0.60000000000000009</v>
      </c>
      <c r="E1310" s="12">
        <f t="shared" si="182"/>
        <v>11.093046072888887</v>
      </c>
      <c r="F1310" s="12">
        <f t="shared" si="183"/>
        <v>11.093046072888887</v>
      </c>
      <c r="G1310" s="12">
        <f t="shared" si="184"/>
        <v>14.533545955555555</v>
      </c>
      <c r="H1310" s="12">
        <f t="shared" si="185"/>
        <v>14.533545955555555</v>
      </c>
      <c r="I1310" s="1" t="str">
        <f t="shared" si="186"/>
        <v>No</v>
      </c>
      <c r="J1310" s="1" t="str">
        <f t="shared" si="187"/>
        <v>Si</v>
      </c>
      <c r="K1310" s="1" t="str">
        <f t="shared" si="188"/>
        <v/>
      </c>
    </row>
    <row r="1311" spans="1:11" x14ac:dyDescent="0.3">
      <c r="A1311" s="1">
        <v>25</v>
      </c>
      <c r="B1311" s="1">
        <v>18</v>
      </c>
      <c r="C1311" s="12">
        <f t="shared" si="180"/>
        <v>0</v>
      </c>
      <c r="D1311" s="12">
        <f t="shared" si="181"/>
        <v>-0.52499999999999991</v>
      </c>
      <c r="E1311" s="12">
        <f t="shared" si="182"/>
        <v>11.090557980444443</v>
      </c>
      <c r="F1311" s="12">
        <f t="shared" si="183"/>
        <v>11.090557980444443</v>
      </c>
      <c r="G1311" s="12">
        <f t="shared" si="184"/>
        <v>14.530041599999999</v>
      </c>
      <c r="H1311" s="12">
        <f t="shared" si="185"/>
        <v>14.530041599999999</v>
      </c>
      <c r="I1311" s="1" t="str">
        <f t="shared" si="186"/>
        <v>No</v>
      </c>
      <c r="J1311" s="1" t="str">
        <f t="shared" si="187"/>
        <v>Si</v>
      </c>
      <c r="K1311" s="1" t="str">
        <f t="shared" si="188"/>
        <v/>
      </c>
    </row>
    <row r="1312" spans="1:11" x14ac:dyDescent="0.3">
      <c r="A1312" s="1">
        <v>25</v>
      </c>
      <c r="B1312" s="1">
        <v>19</v>
      </c>
      <c r="C1312" s="12">
        <f t="shared" si="180"/>
        <v>0</v>
      </c>
      <c r="D1312" s="12">
        <f t="shared" si="181"/>
        <v>-0.44999999999999996</v>
      </c>
      <c r="E1312" s="12">
        <f t="shared" si="182"/>
        <v>11.088069888</v>
      </c>
      <c r="F1312" s="12">
        <f t="shared" si="183"/>
        <v>11.088069888</v>
      </c>
      <c r="G1312" s="12">
        <f t="shared" si="184"/>
        <v>14.526537244444443</v>
      </c>
      <c r="H1312" s="12">
        <f t="shared" si="185"/>
        <v>14.526537244444443</v>
      </c>
      <c r="I1312" s="1" t="str">
        <f t="shared" si="186"/>
        <v>No</v>
      </c>
      <c r="J1312" s="1" t="str">
        <f t="shared" si="187"/>
        <v>Si</v>
      </c>
      <c r="K1312" s="1" t="str">
        <f t="shared" si="188"/>
        <v/>
      </c>
    </row>
    <row r="1313" spans="1:11" x14ac:dyDescent="0.3">
      <c r="A1313" s="1">
        <v>25</v>
      </c>
      <c r="B1313" s="1">
        <v>20</v>
      </c>
      <c r="C1313" s="12">
        <f t="shared" si="180"/>
        <v>0</v>
      </c>
      <c r="D1313" s="12">
        <f t="shared" si="181"/>
        <v>-0.375</v>
      </c>
      <c r="E1313" s="12">
        <f t="shared" si="182"/>
        <v>11.085581795555555</v>
      </c>
      <c r="F1313" s="12">
        <f t="shared" si="183"/>
        <v>11.085581795555555</v>
      </c>
      <c r="G1313" s="12">
        <f t="shared" si="184"/>
        <v>14.523032888888888</v>
      </c>
      <c r="H1313" s="12">
        <f t="shared" si="185"/>
        <v>14.523032888888888</v>
      </c>
      <c r="I1313" s="1" t="str">
        <f t="shared" si="186"/>
        <v>No</v>
      </c>
      <c r="J1313" s="1" t="str">
        <f t="shared" si="187"/>
        <v>Si</v>
      </c>
      <c r="K1313" s="1" t="str">
        <f t="shared" si="188"/>
        <v/>
      </c>
    </row>
    <row r="1314" spans="1:11" x14ac:dyDescent="0.3">
      <c r="A1314" s="1">
        <v>25</v>
      </c>
      <c r="B1314" s="1">
        <v>21</v>
      </c>
      <c r="C1314" s="12">
        <f t="shared" si="180"/>
        <v>0</v>
      </c>
      <c r="D1314" s="12">
        <f t="shared" si="181"/>
        <v>-0.30000000000000004</v>
      </c>
      <c r="E1314" s="12">
        <f t="shared" si="182"/>
        <v>11.083093703111111</v>
      </c>
      <c r="F1314" s="12">
        <f t="shared" si="183"/>
        <v>11.083093703111111</v>
      </c>
      <c r="G1314" s="12">
        <f t="shared" si="184"/>
        <v>14.519528533333332</v>
      </c>
      <c r="H1314" s="12">
        <f t="shared" si="185"/>
        <v>14.519528533333332</v>
      </c>
      <c r="I1314" s="1" t="str">
        <f t="shared" si="186"/>
        <v>No</v>
      </c>
      <c r="J1314" s="1" t="str">
        <f t="shared" si="187"/>
        <v>Si</v>
      </c>
      <c r="K1314" s="1" t="str">
        <f t="shared" si="188"/>
        <v/>
      </c>
    </row>
    <row r="1315" spans="1:11" x14ac:dyDescent="0.3">
      <c r="A1315" s="1">
        <v>25</v>
      </c>
      <c r="B1315" s="1">
        <v>22</v>
      </c>
      <c r="C1315" s="12">
        <f t="shared" si="180"/>
        <v>0</v>
      </c>
      <c r="D1315" s="12">
        <f t="shared" si="181"/>
        <v>-0.22500000000000009</v>
      </c>
      <c r="E1315" s="12">
        <f t="shared" si="182"/>
        <v>11.080605610666666</v>
      </c>
      <c r="F1315" s="12">
        <f t="shared" si="183"/>
        <v>11.080605610666666</v>
      </c>
      <c r="G1315" s="12">
        <f t="shared" si="184"/>
        <v>14.516024177777776</v>
      </c>
      <c r="H1315" s="12">
        <f t="shared" si="185"/>
        <v>14.516024177777776</v>
      </c>
      <c r="I1315" s="1" t="str">
        <f t="shared" si="186"/>
        <v>No</v>
      </c>
      <c r="J1315" s="1" t="str">
        <f t="shared" si="187"/>
        <v>Si</v>
      </c>
      <c r="K1315" s="1" t="str">
        <f t="shared" si="188"/>
        <v/>
      </c>
    </row>
    <row r="1316" spans="1:11" x14ac:dyDescent="0.3">
      <c r="A1316" s="1">
        <v>25</v>
      </c>
      <c r="B1316" s="1">
        <v>23</v>
      </c>
      <c r="C1316" s="12">
        <f t="shared" si="180"/>
        <v>0</v>
      </c>
      <c r="D1316" s="12">
        <f t="shared" si="181"/>
        <v>-0.14999999999999991</v>
      </c>
      <c r="E1316" s="12">
        <f t="shared" si="182"/>
        <v>11.078117518222221</v>
      </c>
      <c r="F1316" s="12">
        <f t="shared" si="183"/>
        <v>11.078117518222221</v>
      </c>
      <c r="G1316" s="12">
        <f t="shared" si="184"/>
        <v>14.51251982222222</v>
      </c>
      <c r="H1316" s="12">
        <f t="shared" si="185"/>
        <v>14.51251982222222</v>
      </c>
      <c r="I1316" s="1" t="str">
        <f t="shared" si="186"/>
        <v>Si</v>
      </c>
      <c r="J1316" s="1" t="str">
        <f t="shared" si="187"/>
        <v>Si</v>
      </c>
      <c r="K1316" s="1" t="str">
        <f t="shared" si="188"/>
        <v/>
      </c>
    </row>
    <row r="1317" spans="1:11" x14ac:dyDescent="0.3">
      <c r="A1317" s="1">
        <v>25</v>
      </c>
      <c r="B1317" s="1">
        <v>24</v>
      </c>
      <c r="C1317" s="12">
        <f t="shared" si="180"/>
        <v>0</v>
      </c>
      <c r="D1317" s="12">
        <f t="shared" si="181"/>
        <v>-7.4999999999999956E-2</v>
      </c>
      <c r="E1317" s="12">
        <f t="shared" si="182"/>
        <v>11.075629425777777</v>
      </c>
      <c r="F1317" s="12">
        <f t="shared" si="183"/>
        <v>11.075629425777777</v>
      </c>
      <c r="G1317" s="12">
        <f t="shared" si="184"/>
        <v>14.509015466666666</v>
      </c>
      <c r="H1317" s="12">
        <f t="shared" si="185"/>
        <v>14.509015466666666</v>
      </c>
      <c r="I1317" s="1" t="str">
        <f t="shared" si="186"/>
        <v>Si</v>
      </c>
      <c r="J1317" s="1" t="str">
        <f t="shared" si="187"/>
        <v>Si</v>
      </c>
      <c r="K1317" s="1" t="str">
        <f t="shared" si="188"/>
        <v/>
      </c>
    </row>
    <row r="1318" spans="1:11" x14ac:dyDescent="0.3">
      <c r="A1318" s="1">
        <v>25</v>
      </c>
      <c r="B1318" s="1">
        <v>25</v>
      </c>
      <c r="C1318" s="12">
        <f t="shared" si="180"/>
        <v>0</v>
      </c>
      <c r="D1318" s="12">
        <f t="shared" si="181"/>
        <v>0</v>
      </c>
      <c r="E1318" s="12">
        <f t="shared" si="182"/>
        <v>11.073141333333332</v>
      </c>
      <c r="F1318" s="12">
        <f t="shared" si="183"/>
        <v>11.073141333333332</v>
      </c>
      <c r="G1318" s="12">
        <f t="shared" si="184"/>
        <v>14.50551111111111</v>
      </c>
      <c r="H1318" s="12">
        <f t="shared" si="185"/>
        <v>14.50551111111111</v>
      </c>
      <c r="I1318" s="1" t="str">
        <f t="shared" si="186"/>
        <v>Si</v>
      </c>
      <c r="J1318" s="1" t="str">
        <f t="shared" si="187"/>
        <v>Si</v>
      </c>
      <c r="K1318" s="1" t="str">
        <f t="shared" si="188"/>
        <v/>
      </c>
    </row>
    <row r="1319" spans="1:11" x14ac:dyDescent="0.3">
      <c r="A1319" s="1">
        <v>25</v>
      </c>
      <c r="B1319" s="1">
        <v>26</v>
      </c>
      <c r="C1319" s="12">
        <f t="shared" si="180"/>
        <v>0</v>
      </c>
      <c r="D1319" s="12">
        <f t="shared" si="181"/>
        <v>7.4999999999999956E-2</v>
      </c>
      <c r="E1319" s="12">
        <f t="shared" si="182"/>
        <v>11.070653240888888</v>
      </c>
      <c r="F1319" s="12">
        <f t="shared" si="183"/>
        <v>11.070653240888888</v>
      </c>
      <c r="G1319" s="12">
        <f t="shared" si="184"/>
        <v>14.502006755555554</v>
      </c>
      <c r="H1319" s="12">
        <f t="shared" si="185"/>
        <v>14.502006755555554</v>
      </c>
      <c r="I1319" s="1" t="str">
        <f t="shared" si="186"/>
        <v>Si</v>
      </c>
      <c r="J1319" s="1" t="str">
        <f t="shared" si="187"/>
        <v>Si</v>
      </c>
      <c r="K1319" s="1" t="str">
        <f t="shared" si="188"/>
        <v/>
      </c>
    </row>
    <row r="1320" spans="1:11" x14ac:dyDescent="0.3">
      <c r="A1320" s="1">
        <v>25</v>
      </c>
      <c r="B1320" s="1">
        <v>27</v>
      </c>
      <c r="C1320" s="12">
        <f t="shared" si="180"/>
        <v>0</v>
      </c>
      <c r="D1320" s="12">
        <f t="shared" si="181"/>
        <v>0.14999999999999991</v>
      </c>
      <c r="E1320" s="12">
        <f t="shared" si="182"/>
        <v>11.068165148444443</v>
      </c>
      <c r="F1320" s="12">
        <f t="shared" si="183"/>
        <v>11.068165148444443</v>
      </c>
      <c r="G1320" s="12">
        <f t="shared" si="184"/>
        <v>14.4985024</v>
      </c>
      <c r="H1320" s="12">
        <f t="shared" si="185"/>
        <v>14.4985024</v>
      </c>
      <c r="I1320" s="1" t="str">
        <f t="shared" si="186"/>
        <v>Si</v>
      </c>
      <c r="J1320" s="1" t="str">
        <f t="shared" si="187"/>
        <v>Si</v>
      </c>
      <c r="K1320" s="1" t="str">
        <f t="shared" si="188"/>
        <v/>
      </c>
    </row>
    <row r="1321" spans="1:11" x14ac:dyDescent="0.3">
      <c r="A1321" s="1">
        <v>25</v>
      </c>
      <c r="B1321" s="1">
        <v>28</v>
      </c>
      <c r="C1321" s="12">
        <f t="shared" si="180"/>
        <v>0</v>
      </c>
      <c r="D1321" s="12">
        <f t="shared" si="181"/>
        <v>0.22500000000000009</v>
      </c>
      <c r="E1321" s="12">
        <f t="shared" si="182"/>
        <v>11.065677055999998</v>
      </c>
      <c r="F1321" s="12">
        <f t="shared" si="183"/>
        <v>11.065677055999998</v>
      </c>
      <c r="G1321" s="12">
        <f t="shared" si="184"/>
        <v>14.494998044444444</v>
      </c>
      <c r="H1321" s="12">
        <f t="shared" si="185"/>
        <v>14.494998044444444</v>
      </c>
      <c r="I1321" s="1" t="str">
        <f t="shared" si="186"/>
        <v>No</v>
      </c>
      <c r="J1321" s="1" t="str">
        <f t="shared" si="187"/>
        <v>Si</v>
      </c>
      <c r="K1321" s="1" t="str">
        <f t="shared" si="188"/>
        <v/>
      </c>
    </row>
    <row r="1322" spans="1:11" x14ac:dyDescent="0.3">
      <c r="A1322" s="1">
        <v>25</v>
      </c>
      <c r="B1322" s="1">
        <v>29</v>
      </c>
      <c r="C1322" s="12">
        <f t="shared" si="180"/>
        <v>0</v>
      </c>
      <c r="D1322" s="12">
        <f t="shared" si="181"/>
        <v>0.29999999999999982</v>
      </c>
      <c r="E1322" s="12">
        <f t="shared" si="182"/>
        <v>11.063188963555554</v>
      </c>
      <c r="F1322" s="12">
        <f t="shared" si="183"/>
        <v>11.063188963555554</v>
      </c>
      <c r="G1322" s="12">
        <f t="shared" si="184"/>
        <v>14.491493688888887</v>
      </c>
      <c r="H1322" s="12">
        <f t="shared" si="185"/>
        <v>14.491493688888887</v>
      </c>
      <c r="I1322" s="1" t="str">
        <f t="shared" si="186"/>
        <v>No</v>
      </c>
      <c r="J1322" s="1" t="str">
        <f t="shared" si="187"/>
        <v>Si</v>
      </c>
      <c r="K1322" s="1" t="str">
        <f t="shared" si="188"/>
        <v/>
      </c>
    </row>
    <row r="1323" spans="1:11" x14ac:dyDescent="0.3">
      <c r="A1323" s="1">
        <v>25</v>
      </c>
      <c r="B1323" s="1">
        <v>30</v>
      </c>
      <c r="C1323" s="12">
        <f t="shared" si="180"/>
        <v>0</v>
      </c>
      <c r="D1323" s="12">
        <f t="shared" si="181"/>
        <v>0.375</v>
      </c>
      <c r="E1323" s="12">
        <f t="shared" si="182"/>
        <v>11.060700871111109</v>
      </c>
      <c r="F1323" s="12">
        <f t="shared" si="183"/>
        <v>11.060700871111109</v>
      </c>
      <c r="G1323" s="12">
        <f t="shared" si="184"/>
        <v>14.487989333333331</v>
      </c>
      <c r="H1323" s="12">
        <f t="shared" si="185"/>
        <v>14.487989333333331</v>
      </c>
      <c r="I1323" s="1" t="str">
        <f t="shared" si="186"/>
        <v>No</v>
      </c>
      <c r="J1323" s="1" t="str">
        <f t="shared" si="187"/>
        <v>Si</v>
      </c>
      <c r="K1323" s="1" t="str">
        <f t="shared" si="188"/>
        <v/>
      </c>
    </row>
    <row r="1324" spans="1:11" x14ac:dyDescent="0.3">
      <c r="A1324" s="1">
        <v>25</v>
      </c>
      <c r="B1324" s="1">
        <v>31</v>
      </c>
      <c r="C1324" s="12">
        <f t="shared" si="180"/>
        <v>0</v>
      </c>
      <c r="D1324" s="12">
        <f t="shared" si="181"/>
        <v>0.45000000000000018</v>
      </c>
      <c r="E1324" s="12">
        <f t="shared" si="182"/>
        <v>11.058212778666665</v>
      </c>
      <c r="F1324" s="12">
        <f t="shared" si="183"/>
        <v>11.058212778666665</v>
      </c>
      <c r="G1324" s="12">
        <f t="shared" si="184"/>
        <v>14.484484977777777</v>
      </c>
      <c r="H1324" s="12">
        <f t="shared" si="185"/>
        <v>14.484484977777777</v>
      </c>
      <c r="I1324" s="1" t="str">
        <f t="shared" si="186"/>
        <v>No</v>
      </c>
      <c r="J1324" s="1" t="str">
        <f t="shared" si="187"/>
        <v>Si</v>
      </c>
      <c r="K1324" s="1" t="str">
        <f t="shared" si="188"/>
        <v/>
      </c>
    </row>
    <row r="1325" spans="1:11" x14ac:dyDescent="0.3">
      <c r="A1325" s="1">
        <v>25</v>
      </c>
      <c r="B1325" s="1">
        <v>32</v>
      </c>
      <c r="C1325" s="12">
        <f t="shared" si="180"/>
        <v>0</v>
      </c>
      <c r="D1325" s="12">
        <f t="shared" si="181"/>
        <v>0.52499999999999991</v>
      </c>
      <c r="E1325" s="12">
        <f t="shared" si="182"/>
        <v>11.055724686222222</v>
      </c>
      <c r="F1325" s="12">
        <f t="shared" si="183"/>
        <v>11.055724686222222</v>
      </c>
      <c r="G1325" s="12">
        <f t="shared" si="184"/>
        <v>14.480980622222221</v>
      </c>
      <c r="H1325" s="12">
        <f t="shared" si="185"/>
        <v>14.480980622222221</v>
      </c>
      <c r="I1325" s="1" t="str">
        <f t="shared" si="186"/>
        <v>No</v>
      </c>
      <c r="J1325" s="1" t="str">
        <f t="shared" si="187"/>
        <v>Si</v>
      </c>
      <c r="K1325" s="1" t="str">
        <f t="shared" si="188"/>
        <v/>
      </c>
    </row>
    <row r="1326" spans="1:11" x14ac:dyDescent="0.3">
      <c r="A1326" s="1">
        <v>25</v>
      </c>
      <c r="B1326" s="1">
        <v>33</v>
      </c>
      <c r="C1326" s="12">
        <f t="shared" si="180"/>
        <v>0</v>
      </c>
      <c r="D1326" s="12">
        <f t="shared" si="181"/>
        <v>0.60000000000000009</v>
      </c>
      <c r="E1326" s="12">
        <f t="shared" si="182"/>
        <v>11.053236593777777</v>
      </c>
      <c r="F1326" s="12">
        <f t="shared" si="183"/>
        <v>11.053236593777777</v>
      </c>
      <c r="G1326" s="12">
        <f t="shared" si="184"/>
        <v>14.477476266666665</v>
      </c>
      <c r="H1326" s="12">
        <f t="shared" si="185"/>
        <v>14.477476266666665</v>
      </c>
      <c r="I1326" s="1" t="str">
        <f t="shared" si="186"/>
        <v>No</v>
      </c>
      <c r="J1326" s="1" t="str">
        <f t="shared" si="187"/>
        <v>Si</v>
      </c>
      <c r="K1326" s="1" t="str">
        <f t="shared" si="188"/>
        <v/>
      </c>
    </row>
    <row r="1327" spans="1:11" x14ac:dyDescent="0.3">
      <c r="A1327" s="1">
        <v>25</v>
      </c>
      <c r="B1327" s="1">
        <v>34</v>
      </c>
      <c r="C1327" s="12">
        <f t="shared" si="180"/>
        <v>0</v>
      </c>
      <c r="D1327" s="12">
        <f t="shared" si="181"/>
        <v>0.67499999999999982</v>
      </c>
      <c r="E1327" s="12">
        <f t="shared" si="182"/>
        <v>11.050748501333333</v>
      </c>
      <c r="F1327" s="12">
        <f t="shared" si="183"/>
        <v>11.050748501333333</v>
      </c>
      <c r="G1327" s="12">
        <f t="shared" si="184"/>
        <v>14.473971911111111</v>
      </c>
      <c r="H1327" s="12">
        <f t="shared" si="185"/>
        <v>14.473971911111111</v>
      </c>
      <c r="I1327" s="1" t="str">
        <f t="shared" si="186"/>
        <v>No</v>
      </c>
      <c r="J1327" s="1" t="str">
        <f t="shared" si="187"/>
        <v>Si</v>
      </c>
      <c r="K1327" s="1" t="str">
        <f t="shared" si="188"/>
        <v/>
      </c>
    </row>
    <row r="1328" spans="1:11" x14ac:dyDescent="0.3">
      <c r="A1328" s="1">
        <v>25</v>
      </c>
      <c r="B1328" s="1">
        <v>35</v>
      </c>
      <c r="C1328" s="12">
        <f t="shared" si="180"/>
        <v>0</v>
      </c>
      <c r="D1328" s="12">
        <f t="shared" si="181"/>
        <v>0.75</v>
      </c>
      <c r="E1328" s="12">
        <f t="shared" si="182"/>
        <v>11.048260408888888</v>
      </c>
      <c r="F1328" s="12">
        <f t="shared" si="183"/>
        <v>11.048260408888888</v>
      </c>
      <c r="G1328" s="12">
        <f t="shared" si="184"/>
        <v>14.470467555555555</v>
      </c>
      <c r="H1328" s="12">
        <f t="shared" si="185"/>
        <v>14.470467555555555</v>
      </c>
      <c r="I1328" s="1" t="str">
        <f t="shared" si="186"/>
        <v>No</v>
      </c>
      <c r="J1328" s="1" t="str">
        <f t="shared" si="187"/>
        <v>Si</v>
      </c>
      <c r="K1328" s="1" t="str">
        <f t="shared" si="188"/>
        <v/>
      </c>
    </row>
    <row r="1329" spans="1:11" x14ac:dyDescent="0.3">
      <c r="A1329" s="1">
        <v>25</v>
      </c>
      <c r="B1329" s="1">
        <v>36</v>
      </c>
      <c r="C1329" s="12">
        <f t="shared" si="180"/>
        <v>0</v>
      </c>
      <c r="D1329" s="12">
        <f t="shared" si="181"/>
        <v>0.82500000000000018</v>
      </c>
      <c r="E1329" s="12">
        <f t="shared" si="182"/>
        <v>11.045772316444443</v>
      </c>
      <c r="F1329" s="12">
        <f t="shared" si="183"/>
        <v>11.045772316444443</v>
      </c>
      <c r="G1329" s="12">
        <f t="shared" si="184"/>
        <v>14.466963199999999</v>
      </c>
      <c r="H1329" s="12">
        <f t="shared" si="185"/>
        <v>14.466963199999999</v>
      </c>
      <c r="I1329" s="1" t="str">
        <f t="shared" si="186"/>
        <v>No</v>
      </c>
      <c r="J1329" s="1" t="str">
        <f t="shared" si="187"/>
        <v>Si</v>
      </c>
      <c r="K1329" s="1" t="str">
        <f t="shared" si="188"/>
        <v/>
      </c>
    </row>
    <row r="1330" spans="1:11" x14ac:dyDescent="0.3">
      <c r="A1330" s="1">
        <v>25</v>
      </c>
      <c r="B1330" s="1">
        <v>37</v>
      </c>
      <c r="C1330" s="12">
        <f t="shared" si="180"/>
        <v>0</v>
      </c>
      <c r="D1330" s="12">
        <f t="shared" si="181"/>
        <v>0.89999999999999991</v>
      </c>
      <c r="E1330" s="12">
        <f t="shared" si="182"/>
        <v>11.043284223999999</v>
      </c>
      <c r="F1330" s="12">
        <f t="shared" si="183"/>
        <v>11.043284223999999</v>
      </c>
      <c r="G1330" s="12">
        <f t="shared" si="184"/>
        <v>14.463458844444443</v>
      </c>
      <c r="H1330" s="12">
        <f t="shared" si="185"/>
        <v>14.463458844444443</v>
      </c>
      <c r="I1330" s="1" t="str">
        <f t="shared" si="186"/>
        <v>No</v>
      </c>
      <c r="J1330" s="1" t="str">
        <f t="shared" si="187"/>
        <v>Si</v>
      </c>
      <c r="K1330" s="1" t="str">
        <f t="shared" si="188"/>
        <v/>
      </c>
    </row>
    <row r="1331" spans="1:11" x14ac:dyDescent="0.3">
      <c r="A1331" s="1">
        <v>25</v>
      </c>
      <c r="B1331" s="1">
        <v>38</v>
      </c>
      <c r="C1331" s="12">
        <f t="shared" si="180"/>
        <v>0</v>
      </c>
      <c r="D1331" s="12">
        <f t="shared" si="181"/>
        <v>0.97500000000000009</v>
      </c>
      <c r="E1331" s="12">
        <f t="shared" si="182"/>
        <v>11.040796131555554</v>
      </c>
      <c r="F1331" s="12">
        <f t="shared" si="183"/>
        <v>11.040796131555554</v>
      </c>
      <c r="G1331" s="12">
        <f t="shared" si="184"/>
        <v>14.459954488888888</v>
      </c>
      <c r="H1331" s="12">
        <f t="shared" si="185"/>
        <v>14.459954488888888</v>
      </c>
      <c r="I1331" s="1" t="str">
        <f t="shared" si="186"/>
        <v>No</v>
      </c>
      <c r="J1331" s="1" t="str">
        <f t="shared" si="187"/>
        <v>Si</v>
      </c>
      <c r="K1331" s="1" t="str">
        <f t="shared" si="188"/>
        <v/>
      </c>
    </row>
    <row r="1332" spans="1:11" x14ac:dyDescent="0.3">
      <c r="A1332" s="1">
        <v>25</v>
      </c>
      <c r="B1332" s="1">
        <v>39</v>
      </c>
      <c r="C1332" s="12">
        <f t="shared" si="180"/>
        <v>0</v>
      </c>
      <c r="D1332" s="12">
        <f t="shared" si="181"/>
        <v>1.0499999999999998</v>
      </c>
      <c r="E1332" s="12">
        <f t="shared" si="182"/>
        <v>11.03830803911111</v>
      </c>
      <c r="F1332" s="12">
        <f t="shared" si="183"/>
        <v>11.03830803911111</v>
      </c>
      <c r="G1332" s="12">
        <f t="shared" si="184"/>
        <v>14.456450133333332</v>
      </c>
      <c r="H1332" s="12">
        <f t="shared" si="185"/>
        <v>14.456450133333332</v>
      </c>
      <c r="I1332" s="1" t="str">
        <f t="shared" si="186"/>
        <v>No</v>
      </c>
      <c r="J1332" s="1" t="str">
        <f t="shared" si="187"/>
        <v>Si</v>
      </c>
      <c r="K1332" s="1" t="str">
        <f t="shared" si="188"/>
        <v/>
      </c>
    </row>
    <row r="1333" spans="1:11" x14ac:dyDescent="0.3">
      <c r="A1333" s="1">
        <v>25</v>
      </c>
      <c r="B1333" s="1">
        <v>40</v>
      </c>
      <c r="C1333" s="12">
        <f t="shared" si="180"/>
        <v>0</v>
      </c>
      <c r="D1333" s="12">
        <f t="shared" si="181"/>
        <v>1.125</v>
      </c>
      <c r="E1333" s="12">
        <f t="shared" si="182"/>
        <v>11.035819946666665</v>
      </c>
      <c r="F1333" s="12">
        <f t="shared" si="183"/>
        <v>11.035819946666665</v>
      </c>
      <c r="G1333" s="12">
        <f t="shared" si="184"/>
        <v>14.452945777777776</v>
      </c>
      <c r="H1333" s="12">
        <f t="shared" si="185"/>
        <v>14.452945777777776</v>
      </c>
      <c r="I1333" s="1" t="str">
        <f t="shared" si="186"/>
        <v>No</v>
      </c>
      <c r="J1333" s="1" t="str">
        <f t="shared" si="187"/>
        <v>Si</v>
      </c>
      <c r="K1333" s="1" t="str">
        <f t="shared" si="188"/>
        <v/>
      </c>
    </row>
    <row r="1334" spans="1:11" x14ac:dyDescent="0.3">
      <c r="A1334" s="1">
        <v>25</v>
      </c>
      <c r="B1334" s="1">
        <v>41</v>
      </c>
      <c r="C1334" s="12">
        <f t="shared" si="180"/>
        <v>0</v>
      </c>
      <c r="D1334" s="12">
        <f t="shared" si="181"/>
        <v>1.2000000000000002</v>
      </c>
      <c r="E1334" s="12">
        <f t="shared" si="182"/>
        <v>11.033331854222221</v>
      </c>
      <c r="F1334" s="12">
        <f t="shared" si="183"/>
        <v>11.033331854222221</v>
      </c>
      <c r="G1334" s="12">
        <f t="shared" si="184"/>
        <v>14.449441422222222</v>
      </c>
      <c r="H1334" s="12">
        <f t="shared" si="185"/>
        <v>14.449441422222222</v>
      </c>
      <c r="I1334" s="1" t="str">
        <f t="shared" si="186"/>
        <v>No</v>
      </c>
      <c r="J1334" s="1" t="str">
        <f t="shared" si="187"/>
        <v>Si</v>
      </c>
      <c r="K1334" s="1" t="str">
        <f t="shared" si="188"/>
        <v/>
      </c>
    </row>
    <row r="1335" spans="1:11" x14ac:dyDescent="0.3">
      <c r="A1335" s="1">
        <v>25</v>
      </c>
      <c r="B1335" s="1">
        <v>42</v>
      </c>
      <c r="C1335" s="12">
        <f t="shared" si="180"/>
        <v>0</v>
      </c>
      <c r="D1335" s="12">
        <f t="shared" si="181"/>
        <v>1.2749999999999999</v>
      </c>
      <c r="E1335" s="12">
        <f t="shared" si="182"/>
        <v>11.030843761777776</v>
      </c>
      <c r="F1335" s="12">
        <f t="shared" si="183"/>
        <v>11.030843761777776</v>
      </c>
      <c r="G1335" s="12">
        <f t="shared" si="184"/>
        <v>14.445937066666666</v>
      </c>
      <c r="H1335" s="12">
        <f t="shared" si="185"/>
        <v>14.445937066666666</v>
      </c>
      <c r="I1335" s="1" t="str">
        <f t="shared" si="186"/>
        <v>No</v>
      </c>
      <c r="J1335" s="1" t="str">
        <f t="shared" si="187"/>
        <v>Si</v>
      </c>
      <c r="K1335" s="1" t="str">
        <f t="shared" si="188"/>
        <v/>
      </c>
    </row>
    <row r="1336" spans="1:11" x14ac:dyDescent="0.3">
      <c r="A1336" s="1">
        <v>25</v>
      </c>
      <c r="B1336" s="1">
        <v>43</v>
      </c>
      <c r="C1336" s="12">
        <f t="shared" si="180"/>
        <v>0</v>
      </c>
      <c r="D1336" s="12">
        <f t="shared" si="181"/>
        <v>1.35</v>
      </c>
      <c r="E1336" s="12">
        <f t="shared" si="182"/>
        <v>11.028355669333331</v>
      </c>
      <c r="F1336" s="12">
        <f t="shared" si="183"/>
        <v>11.028355669333331</v>
      </c>
      <c r="G1336" s="12">
        <f t="shared" si="184"/>
        <v>14.44243271111111</v>
      </c>
      <c r="H1336" s="12">
        <f t="shared" si="185"/>
        <v>14.44243271111111</v>
      </c>
      <c r="I1336" s="1" t="str">
        <f t="shared" si="186"/>
        <v>No</v>
      </c>
      <c r="J1336" s="1" t="str">
        <f t="shared" si="187"/>
        <v>Si</v>
      </c>
      <c r="K1336" s="1" t="str">
        <f t="shared" si="188"/>
        <v/>
      </c>
    </row>
    <row r="1337" spans="1:11" x14ac:dyDescent="0.3">
      <c r="A1337" s="1">
        <v>25</v>
      </c>
      <c r="B1337" s="1">
        <v>44</v>
      </c>
      <c r="C1337" s="12">
        <f t="shared" si="180"/>
        <v>0</v>
      </c>
      <c r="D1337" s="12">
        <f t="shared" si="181"/>
        <v>1.4249999999999998</v>
      </c>
      <c r="E1337" s="12">
        <f t="shared" si="182"/>
        <v>11.025867576888889</v>
      </c>
      <c r="F1337" s="12">
        <f t="shared" si="183"/>
        <v>11.025867576888889</v>
      </c>
      <c r="G1337" s="12">
        <f t="shared" si="184"/>
        <v>14.438928355555554</v>
      </c>
      <c r="H1337" s="12">
        <f t="shared" si="185"/>
        <v>14.438928355555554</v>
      </c>
      <c r="I1337" s="1" t="str">
        <f t="shared" si="186"/>
        <v>No</v>
      </c>
      <c r="J1337" s="1" t="str">
        <f t="shared" si="187"/>
        <v>Si</v>
      </c>
      <c r="K1337" s="1" t="str">
        <f t="shared" si="188"/>
        <v/>
      </c>
    </row>
    <row r="1338" spans="1:11" x14ac:dyDescent="0.3">
      <c r="A1338" s="1">
        <v>25</v>
      </c>
      <c r="B1338" s="1">
        <v>45</v>
      </c>
      <c r="C1338" s="12">
        <f t="shared" si="180"/>
        <v>0</v>
      </c>
      <c r="D1338" s="12">
        <f t="shared" si="181"/>
        <v>1.5</v>
      </c>
      <c r="E1338" s="12">
        <f t="shared" si="182"/>
        <v>11.023379484444444</v>
      </c>
      <c r="F1338" s="12">
        <f t="shared" si="183"/>
        <v>11.023379484444444</v>
      </c>
      <c r="G1338" s="12">
        <f t="shared" si="184"/>
        <v>14.435423999999999</v>
      </c>
      <c r="H1338" s="12">
        <f t="shared" si="185"/>
        <v>14.435423999999999</v>
      </c>
      <c r="I1338" s="1" t="str">
        <f t="shared" si="186"/>
        <v>No</v>
      </c>
      <c r="J1338" s="1" t="str">
        <f t="shared" si="187"/>
        <v>Si</v>
      </c>
      <c r="K1338" s="1" t="str">
        <f t="shared" si="188"/>
        <v/>
      </c>
    </row>
    <row r="1339" spans="1:11" x14ac:dyDescent="0.3">
      <c r="A1339" s="1">
        <v>25</v>
      </c>
      <c r="B1339" s="1">
        <v>46</v>
      </c>
      <c r="C1339" s="12">
        <f t="shared" si="180"/>
        <v>0</v>
      </c>
      <c r="D1339" s="12">
        <f t="shared" si="181"/>
        <v>1.5750000000000002</v>
      </c>
      <c r="E1339" s="12">
        <f t="shared" si="182"/>
        <v>11.020891391999999</v>
      </c>
      <c r="F1339" s="12">
        <f t="shared" si="183"/>
        <v>11.020891391999999</v>
      </c>
      <c r="G1339" s="12">
        <f t="shared" si="184"/>
        <v>14.431919644444443</v>
      </c>
      <c r="H1339" s="12">
        <f t="shared" si="185"/>
        <v>14.431919644444443</v>
      </c>
      <c r="I1339" s="1" t="str">
        <f t="shared" si="186"/>
        <v>No</v>
      </c>
      <c r="J1339" s="1" t="str">
        <f t="shared" si="187"/>
        <v>Si</v>
      </c>
      <c r="K1339" s="1" t="str">
        <f t="shared" si="188"/>
        <v/>
      </c>
    </row>
    <row r="1340" spans="1:11" x14ac:dyDescent="0.3">
      <c r="A1340" s="1">
        <v>25</v>
      </c>
      <c r="B1340" s="1">
        <v>47</v>
      </c>
      <c r="C1340" s="12">
        <f t="shared" si="180"/>
        <v>0</v>
      </c>
      <c r="D1340" s="12">
        <f t="shared" si="181"/>
        <v>1.65</v>
      </c>
      <c r="E1340" s="12">
        <f t="shared" si="182"/>
        <v>11.018403299555555</v>
      </c>
      <c r="F1340" s="12">
        <f t="shared" si="183"/>
        <v>11.018403299555555</v>
      </c>
      <c r="G1340" s="12">
        <f t="shared" si="184"/>
        <v>14.428415288888887</v>
      </c>
      <c r="H1340" s="12">
        <f t="shared" si="185"/>
        <v>14.428415288888887</v>
      </c>
      <c r="I1340" s="1" t="str">
        <f t="shared" si="186"/>
        <v>No</v>
      </c>
      <c r="J1340" s="1" t="str">
        <f t="shared" si="187"/>
        <v>Si</v>
      </c>
      <c r="K1340" s="1" t="str">
        <f t="shared" si="188"/>
        <v/>
      </c>
    </row>
    <row r="1341" spans="1:11" x14ac:dyDescent="0.3">
      <c r="A1341" s="1">
        <v>25</v>
      </c>
      <c r="B1341" s="1">
        <v>48</v>
      </c>
      <c r="C1341" s="12">
        <f t="shared" si="180"/>
        <v>0</v>
      </c>
      <c r="D1341" s="12">
        <f t="shared" si="181"/>
        <v>1.7250000000000001</v>
      </c>
      <c r="E1341" s="12">
        <f t="shared" si="182"/>
        <v>11.01591520711111</v>
      </c>
      <c r="F1341" s="12">
        <f t="shared" si="183"/>
        <v>11.01591520711111</v>
      </c>
      <c r="G1341" s="12">
        <f t="shared" si="184"/>
        <v>14.424910933333333</v>
      </c>
      <c r="H1341" s="12">
        <f t="shared" si="185"/>
        <v>14.424910933333333</v>
      </c>
      <c r="I1341" s="1" t="str">
        <f t="shared" si="186"/>
        <v>No</v>
      </c>
      <c r="J1341" s="1" t="str">
        <f t="shared" si="187"/>
        <v>Si</v>
      </c>
      <c r="K1341" s="1" t="str">
        <f t="shared" si="188"/>
        <v/>
      </c>
    </row>
    <row r="1342" spans="1:11" x14ac:dyDescent="0.3">
      <c r="A1342" s="1">
        <v>25</v>
      </c>
      <c r="B1342" s="1">
        <v>49</v>
      </c>
      <c r="C1342" s="12">
        <f t="shared" si="180"/>
        <v>0</v>
      </c>
      <c r="D1342" s="12">
        <f t="shared" si="181"/>
        <v>1.7999999999999998</v>
      </c>
      <c r="E1342" s="12">
        <f t="shared" si="182"/>
        <v>11.013427114666666</v>
      </c>
      <c r="F1342" s="12">
        <f t="shared" si="183"/>
        <v>11.013427114666666</v>
      </c>
      <c r="G1342" s="12">
        <f t="shared" si="184"/>
        <v>14.421406577777777</v>
      </c>
      <c r="H1342" s="12">
        <f t="shared" si="185"/>
        <v>14.421406577777777</v>
      </c>
      <c r="I1342" s="1" t="str">
        <f t="shared" si="186"/>
        <v>No</v>
      </c>
      <c r="J1342" s="1" t="str">
        <f t="shared" si="187"/>
        <v>Si</v>
      </c>
      <c r="K1342" s="1" t="str">
        <f t="shared" si="188"/>
        <v/>
      </c>
    </row>
    <row r="1343" spans="1:11" x14ac:dyDescent="0.3">
      <c r="A1343" s="1">
        <v>25</v>
      </c>
      <c r="B1343" s="1">
        <v>50</v>
      </c>
      <c r="C1343" s="12">
        <f t="shared" si="180"/>
        <v>0</v>
      </c>
      <c r="D1343" s="12">
        <f t="shared" si="181"/>
        <v>1.875</v>
      </c>
      <c r="E1343" s="12">
        <f t="shared" si="182"/>
        <v>11.010939022222221</v>
      </c>
      <c r="F1343" s="12">
        <f t="shared" si="183"/>
        <v>11.010939022222221</v>
      </c>
      <c r="G1343" s="12">
        <f t="shared" si="184"/>
        <v>14.417902222222221</v>
      </c>
      <c r="H1343" s="12">
        <f t="shared" si="185"/>
        <v>14.417902222222221</v>
      </c>
      <c r="I1343" s="1" t="str">
        <f t="shared" si="186"/>
        <v>No</v>
      </c>
      <c r="J1343" s="1" t="str">
        <f t="shared" si="187"/>
        <v>Si</v>
      </c>
      <c r="K1343" s="1" t="str">
        <f t="shared" si="188"/>
        <v/>
      </c>
    </row>
    <row r="1344" spans="1:11" x14ac:dyDescent="0.3">
      <c r="A1344" s="1">
        <v>26</v>
      </c>
      <c r="B1344" s="1">
        <v>0</v>
      </c>
      <c r="C1344" s="12">
        <f t="shared" si="180"/>
        <v>7.4999999999999956E-2</v>
      </c>
      <c r="D1344" s="12">
        <f t="shared" si="181"/>
        <v>-1.875</v>
      </c>
      <c r="E1344" s="12">
        <f t="shared" si="182"/>
        <v>11.136037688888887</v>
      </c>
      <c r="F1344" s="12">
        <f t="shared" si="183"/>
        <v>11.136037688888887</v>
      </c>
      <c r="G1344" s="12">
        <f t="shared" si="184"/>
        <v>14.594157653333331</v>
      </c>
      <c r="H1344" s="12">
        <f t="shared" si="185"/>
        <v>14.594157653333331</v>
      </c>
      <c r="I1344" s="1" t="str">
        <f t="shared" si="186"/>
        <v>No</v>
      </c>
      <c r="J1344" s="1" t="str">
        <f t="shared" si="187"/>
        <v>Si</v>
      </c>
      <c r="K1344" s="1" t="str">
        <f t="shared" si="188"/>
        <v/>
      </c>
    </row>
    <row r="1345" spans="1:11" x14ac:dyDescent="0.3">
      <c r="A1345" s="1">
        <v>26</v>
      </c>
      <c r="B1345" s="1">
        <v>1</v>
      </c>
      <c r="C1345" s="12">
        <f t="shared" si="180"/>
        <v>7.4999999999999956E-2</v>
      </c>
      <c r="D1345" s="12">
        <f t="shared" si="181"/>
        <v>-1.8</v>
      </c>
      <c r="E1345" s="12">
        <f t="shared" si="182"/>
        <v>11.133549596444443</v>
      </c>
      <c r="F1345" s="12">
        <f t="shared" si="183"/>
        <v>11.133549596444443</v>
      </c>
      <c r="G1345" s="12">
        <f t="shared" si="184"/>
        <v>14.590653297777775</v>
      </c>
      <c r="H1345" s="12">
        <f t="shared" si="185"/>
        <v>14.590653297777775</v>
      </c>
      <c r="I1345" s="1" t="str">
        <f t="shared" si="186"/>
        <v>No</v>
      </c>
      <c r="J1345" s="1" t="str">
        <f t="shared" si="187"/>
        <v>Si</v>
      </c>
      <c r="K1345" s="1" t="str">
        <f t="shared" si="188"/>
        <v/>
      </c>
    </row>
    <row r="1346" spans="1:11" x14ac:dyDescent="0.3">
      <c r="A1346" s="1">
        <v>26</v>
      </c>
      <c r="B1346" s="1">
        <v>2</v>
      </c>
      <c r="C1346" s="12">
        <f t="shared" si="180"/>
        <v>7.4999999999999956E-2</v>
      </c>
      <c r="D1346" s="12">
        <f t="shared" si="181"/>
        <v>-1.7250000000000001</v>
      </c>
      <c r="E1346" s="12">
        <f t="shared" si="182"/>
        <v>11.131061503999998</v>
      </c>
      <c r="F1346" s="12">
        <f t="shared" si="183"/>
        <v>11.131061503999998</v>
      </c>
      <c r="G1346" s="12">
        <f t="shared" si="184"/>
        <v>14.587148942222219</v>
      </c>
      <c r="H1346" s="12">
        <f t="shared" si="185"/>
        <v>14.587148942222219</v>
      </c>
      <c r="I1346" s="1" t="str">
        <f t="shared" si="186"/>
        <v>No</v>
      </c>
      <c r="J1346" s="1" t="str">
        <f t="shared" si="187"/>
        <v>Si</v>
      </c>
      <c r="K1346" s="1" t="str">
        <f t="shared" si="188"/>
        <v/>
      </c>
    </row>
    <row r="1347" spans="1:11" x14ac:dyDescent="0.3">
      <c r="A1347" s="1">
        <v>26</v>
      </c>
      <c r="B1347" s="1">
        <v>3</v>
      </c>
      <c r="C1347" s="12">
        <f t="shared" si="180"/>
        <v>7.4999999999999956E-2</v>
      </c>
      <c r="D1347" s="12">
        <f t="shared" si="181"/>
        <v>-1.65</v>
      </c>
      <c r="E1347" s="12">
        <f t="shared" si="182"/>
        <v>11.128573411555553</v>
      </c>
      <c r="F1347" s="12">
        <f t="shared" si="183"/>
        <v>11.128573411555553</v>
      </c>
      <c r="G1347" s="12">
        <f t="shared" si="184"/>
        <v>14.583644586666665</v>
      </c>
      <c r="H1347" s="12">
        <f t="shared" si="185"/>
        <v>14.583644586666665</v>
      </c>
      <c r="I1347" s="1" t="str">
        <f t="shared" si="186"/>
        <v>No</v>
      </c>
      <c r="J1347" s="1" t="str">
        <f t="shared" si="187"/>
        <v>Si</v>
      </c>
      <c r="K1347" s="1" t="str">
        <f t="shared" si="188"/>
        <v/>
      </c>
    </row>
    <row r="1348" spans="1:11" x14ac:dyDescent="0.3">
      <c r="A1348" s="1">
        <v>26</v>
      </c>
      <c r="B1348" s="1">
        <v>4</v>
      </c>
      <c r="C1348" s="12">
        <f t="shared" si="180"/>
        <v>7.4999999999999956E-2</v>
      </c>
      <c r="D1348" s="12">
        <f t="shared" si="181"/>
        <v>-1.575</v>
      </c>
      <c r="E1348" s="12">
        <f t="shared" si="182"/>
        <v>11.126085319111109</v>
      </c>
      <c r="F1348" s="12">
        <f t="shared" si="183"/>
        <v>11.126085319111109</v>
      </c>
      <c r="G1348" s="12">
        <f t="shared" si="184"/>
        <v>14.580140231111109</v>
      </c>
      <c r="H1348" s="12">
        <f t="shared" si="185"/>
        <v>14.580140231111109</v>
      </c>
      <c r="I1348" s="1" t="str">
        <f t="shared" si="186"/>
        <v>No</v>
      </c>
      <c r="J1348" s="1" t="str">
        <f t="shared" si="187"/>
        <v>Si</v>
      </c>
      <c r="K1348" s="1" t="str">
        <f t="shared" si="188"/>
        <v/>
      </c>
    </row>
    <row r="1349" spans="1:11" x14ac:dyDescent="0.3">
      <c r="A1349" s="1">
        <v>26</v>
      </c>
      <c r="B1349" s="1">
        <v>5</v>
      </c>
      <c r="C1349" s="12">
        <f t="shared" si="180"/>
        <v>7.4999999999999956E-2</v>
      </c>
      <c r="D1349" s="12">
        <f t="shared" si="181"/>
        <v>-1.5</v>
      </c>
      <c r="E1349" s="12">
        <f t="shared" si="182"/>
        <v>11.123597226666664</v>
      </c>
      <c r="F1349" s="12">
        <f t="shared" si="183"/>
        <v>11.123597226666664</v>
      </c>
      <c r="G1349" s="12">
        <f t="shared" si="184"/>
        <v>14.576635875555553</v>
      </c>
      <c r="H1349" s="12">
        <f t="shared" si="185"/>
        <v>14.576635875555553</v>
      </c>
      <c r="I1349" s="1" t="str">
        <f t="shared" si="186"/>
        <v>No</v>
      </c>
      <c r="J1349" s="1" t="str">
        <f t="shared" si="187"/>
        <v>Si</v>
      </c>
      <c r="K1349" s="1" t="str">
        <f t="shared" si="188"/>
        <v/>
      </c>
    </row>
    <row r="1350" spans="1:11" x14ac:dyDescent="0.3">
      <c r="A1350" s="1">
        <v>26</v>
      </c>
      <c r="B1350" s="1">
        <v>6</v>
      </c>
      <c r="C1350" s="12">
        <f t="shared" si="180"/>
        <v>7.4999999999999956E-2</v>
      </c>
      <c r="D1350" s="12">
        <f t="shared" si="181"/>
        <v>-1.425</v>
      </c>
      <c r="E1350" s="12">
        <f t="shared" si="182"/>
        <v>11.12110913422222</v>
      </c>
      <c r="F1350" s="12">
        <f t="shared" si="183"/>
        <v>11.12110913422222</v>
      </c>
      <c r="G1350" s="12">
        <f t="shared" si="184"/>
        <v>14.573131519999999</v>
      </c>
      <c r="H1350" s="12">
        <f t="shared" si="185"/>
        <v>14.573131519999999</v>
      </c>
      <c r="I1350" s="1" t="str">
        <f t="shared" si="186"/>
        <v>No</v>
      </c>
      <c r="J1350" s="1" t="str">
        <f t="shared" si="187"/>
        <v>Si</v>
      </c>
      <c r="K1350" s="1" t="str">
        <f t="shared" si="188"/>
        <v/>
      </c>
    </row>
    <row r="1351" spans="1:11" x14ac:dyDescent="0.3">
      <c r="A1351" s="1">
        <v>26</v>
      </c>
      <c r="B1351" s="1">
        <v>7</v>
      </c>
      <c r="C1351" s="12">
        <f t="shared" si="180"/>
        <v>7.4999999999999956E-2</v>
      </c>
      <c r="D1351" s="12">
        <f t="shared" si="181"/>
        <v>-1.35</v>
      </c>
      <c r="E1351" s="12">
        <f t="shared" si="182"/>
        <v>11.118621041777777</v>
      </c>
      <c r="F1351" s="12">
        <f t="shared" si="183"/>
        <v>11.118621041777777</v>
      </c>
      <c r="G1351" s="12">
        <f t="shared" si="184"/>
        <v>14.569627164444443</v>
      </c>
      <c r="H1351" s="12">
        <f t="shared" si="185"/>
        <v>14.569627164444443</v>
      </c>
      <c r="I1351" s="1" t="str">
        <f t="shared" si="186"/>
        <v>No</v>
      </c>
      <c r="J1351" s="1" t="str">
        <f t="shared" si="187"/>
        <v>Si</v>
      </c>
      <c r="K1351" s="1" t="str">
        <f t="shared" si="188"/>
        <v/>
      </c>
    </row>
    <row r="1352" spans="1:11" x14ac:dyDescent="0.3">
      <c r="A1352" s="1">
        <v>26</v>
      </c>
      <c r="B1352" s="1">
        <v>8</v>
      </c>
      <c r="C1352" s="12">
        <f t="shared" si="180"/>
        <v>7.4999999999999956E-2</v>
      </c>
      <c r="D1352" s="12">
        <f t="shared" si="181"/>
        <v>-1.2749999999999999</v>
      </c>
      <c r="E1352" s="12">
        <f t="shared" si="182"/>
        <v>11.116132949333332</v>
      </c>
      <c r="F1352" s="12">
        <f t="shared" si="183"/>
        <v>11.116132949333332</v>
      </c>
      <c r="G1352" s="12">
        <f t="shared" si="184"/>
        <v>14.566122808888887</v>
      </c>
      <c r="H1352" s="12">
        <f t="shared" si="185"/>
        <v>14.566122808888887</v>
      </c>
      <c r="I1352" s="1" t="str">
        <f t="shared" si="186"/>
        <v>No</v>
      </c>
      <c r="J1352" s="1" t="str">
        <f t="shared" si="187"/>
        <v>Si</v>
      </c>
      <c r="K1352" s="1" t="str">
        <f t="shared" si="188"/>
        <v/>
      </c>
    </row>
    <row r="1353" spans="1:11" x14ac:dyDescent="0.3">
      <c r="A1353" s="1">
        <v>26</v>
      </c>
      <c r="B1353" s="1">
        <v>9</v>
      </c>
      <c r="C1353" s="12">
        <f t="shared" si="180"/>
        <v>7.4999999999999956E-2</v>
      </c>
      <c r="D1353" s="12">
        <f t="shared" si="181"/>
        <v>-1.2</v>
      </c>
      <c r="E1353" s="12">
        <f t="shared" si="182"/>
        <v>11.113644856888888</v>
      </c>
      <c r="F1353" s="12">
        <f t="shared" si="183"/>
        <v>11.113644856888888</v>
      </c>
      <c r="G1353" s="12">
        <f t="shared" si="184"/>
        <v>14.56261845333333</v>
      </c>
      <c r="H1353" s="12">
        <f t="shared" si="185"/>
        <v>14.56261845333333</v>
      </c>
      <c r="I1353" s="1" t="str">
        <f t="shared" si="186"/>
        <v>No</v>
      </c>
      <c r="J1353" s="1" t="str">
        <f t="shared" si="187"/>
        <v>Si</v>
      </c>
      <c r="K1353" s="1" t="str">
        <f t="shared" si="188"/>
        <v/>
      </c>
    </row>
    <row r="1354" spans="1:11" x14ac:dyDescent="0.3">
      <c r="A1354" s="1">
        <v>26</v>
      </c>
      <c r="B1354" s="1">
        <v>10</v>
      </c>
      <c r="C1354" s="12">
        <f t="shared" si="180"/>
        <v>7.4999999999999956E-2</v>
      </c>
      <c r="D1354" s="12">
        <f t="shared" si="181"/>
        <v>-1.125</v>
      </c>
      <c r="E1354" s="12">
        <f t="shared" si="182"/>
        <v>11.111156764444443</v>
      </c>
      <c r="F1354" s="12">
        <f t="shared" si="183"/>
        <v>11.111156764444443</v>
      </c>
      <c r="G1354" s="12">
        <f t="shared" si="184"/>
        <v>14.559114097777776</v>
      </c>
      <c r="H1354" s="12">
        <f t="shared" si="185"/>
        <v>14.559114097777776</v>
      </c>
      <c r="I1354" s="1" t="str">
        <f t="shared" si="186"/>
        <v>No</v>
      </c>
      <c r="J1354" s="1" t="str">
        <f t="shared" si="187"/>
        <v>Si</v>
      </c>
      <c r="K1354" s="1" t="str">
        <f t="shared" si="188"/>
        <v/>
      </c>
    </row>
    <row r="1355" spans="1:11" x14ac:dyDescent="0.3">
      <c r="A1355" s="1">
        <v>26</v>
      </c>
      <c r="B1355" s="1">
        <v>11</v>
      </c>
      <c r="C1355" s="12">
        <f t="shared" si="180"/>
        <v>7.4999999999999956E-2</v>
      </c>
      <c r="D1355" s="12">
        <f t="shared" si="181"/>
        <v>-1.05</v>
      </c>
      <c r="E1355" s="12">
        <f t="shared" si="182"/>
        <v>11.108668671999999</v>
      </c>
      <c r="F1355" s="12">
        <f t="shared" si="183"/>
        <v>11.108668671999999</v>
      </c>
      <c r="G1355" s="12">
        <f t="shared" si="184"/>
        <v>14.55560974222222</v>
      </c>
      <c r="H1355" s="12">
        <f t="shared" si="185"/>
        <v>14.55560974222222</v>
      </c>
      <c r="I1355" s="1" t="str">
        <f t="shared" si="186"/>
        <v>No</v>
      </c>
      <c r="J1355" s="1" t="str">
        <f t="shared" si="187"/>
        <v>Si</v>
      </c>
      <c r="K1355" s="1" t="str">
        <f t="shared" si="188"/>
        <v/>
      </c>
    </row>
    <row r="1356" spans="1:11" x14ac:dyDescent="0.3">
      <c r="A1356" s="1">
        <v>26</v>
      </c>
      <c r="B1356" s="1">
        <v>12</v>
      </c>
      <c r="C1356" s="12">
        <f t="shared" si="180"/>
        <v>7.4999999999999956E-2</v>
      </c>
      <c r="D1356" s="12">
        <f t="shared" si="181"/>
        <v>-0.97499999999999998</v>
      </c>
      <c r="E1356" s="12">
        <f t="shared" si="182"/>
        <v>11.106180579555554</v>
      </c>
      <c r="F1356" s="12">
        <f t="shared" si="183"/>
        <v>11.106180579555554</v>
      </c>
      <c r="G1356" s="12">
        <f t="shared" si="184"/>
        <v>14.552105386666664</v>
      </c>
      <c r="H1356" s="12">
        <f t="shared" si="185"/>
        <v>14.552105386666664</v>
      </c>
      <c r="I1356" s="1" t="str">
        <f t="shared" si="186"/>
        <v>No</v>
      </c>
      <c r="J1356" s="1" t="str">
        <f t="shared" si="187"/>
        <v>Si</v>
      </c>
      <c r="K1356" s="1" t="str">
        <f t="shared" si="188"/>
        <v/>
      </c>
    </row>
    <row r="1357" spans="1:11" x14ac:dyDescent="0.3">
      <c r="A1357" s="1">
        <v>26</v>
      </c>
      <c r="B1357" s="1">
        <v>13</v>
      </c>
      <c r="C1357" s="12">
        <f t="shared" si="180"/>
        <v>7.4999999999999956E-2</v>
      </c>
      <c r="D1357" s="12">
        <f t="shared" si="181"/>
        <v>-0.9</v>
      </c>
      <c r="E1357" s="12">
        <f t="shared" si="182"/>
        <v>11.103692487111109</v>
      </c>
      <c r="F1357" s="12">
        <f t="shared" si="183"/>
        <v>11.103692487111109</v>
      </c>
      <c r="G1357" s="12">
        <f t="shared" si="184"/>
        <v>14.54860103111111</v>
      </c>
      <c r="H1357" s="12">
        <f t="shared" si="185"/>
        <v>14.54860103111111</v>
      </c>
      <c r="I1357" s="1" t="str">
        <f t="shared" si="186"/>
        <v>No</v>
      </c>
      <c r="J1357" s="1" t="str">
        <f t="shared" si="187"/>
        <v>Si</v>
      </c>
      <c r="K1357" s="1" t="str">
        <f t="shared" si="188"/>
        <v/>
      </c>
    </row>
    <row r="1358" spans="1:11" x14ac:dyDescent="0.3">
      <c r="A1358" s="1">
        <v>26</v>
      </c>
      <c r="B1358" s="1">
        <v>14</v>
      </c>
      <c r="C1358" s="12">
        <f t="shared" si="180"/>
        <v>7.4999999999999956E-2</v>
      </c>
      <c r="D1358" s="12">
        <f t="shared" si="181"/>
        <v>-0.82499999999999996</v>
      </c>
      <c r="E1358" s="12">
        <f t="shared" si="182"/>
        <v>11.101204394666665</v>
      </c>
      <c r="F1358" s="12">
        <f t="shared" si="183"/>
        <v>11.101204394666665</v>
      </c>
      <c r="G1358" s="12">
        <f t="shared" si="184"/>
        <v>14.545096675555554</v>
      </c>
      <c r="H1358" s="12">
        <f t="shared" si="185"/>
        <v>14.545096675555554</v>
      </c>
      <c r="I1358" s="1" t="str">
        <f t="shared" si="186"/>
        <v>No</v>
      </c>
      <c r="J1358" s="1" t="str">
        <f t="shared" si="187"/>
        <v>Si</v>
      </c>
      <c r="K1358" s="1" t="str">
        <f t="shared" si="188"/>
        <v/>
      </c>
    </row>
    <row r="1359" spans="1:11" x14ac:dyDescent="0.3">
      <c r="A1359" s="1">
        <v>26</v>
      </c>
      <c r="B1359" s="1">
        <v>15</v>
      </c>
      <c r="C1359" s="12">
        <f t="shared" si="180"/>
        <v>7.4999999999999956E-2</v>
      </c>
      <c r="D1359" s="12">
        <f t="shared" si="181"/>
        <v>-0.75</v>
      </c>
      <c r="E1359" s="12">
        <f t="shared" si="182"/>
        <v>11.09871630222222</v>
      </c>
      <c r="F1359" s="12">
        <f t="shared" si="183"/>
        <v>11.09871630222222</v>
      </c>
      <c r="G1359" s="12">
        <f t="shared" si="184"/>
        <v>14.541592319999998</v>
      </c>
      <c r="H1359" s="12">
        <f t="shared" si="185"/>
        <v>14.541592319999998</v>
      </c>
      <c r="I1359" s="1" t="str">
        <f t="shared" si="186"/>
        <v>No</v>
      </c>
      <c r="J1359" s="1" t="str">
        <f t="shared" si="187"/>
        <v>Si</v>
      </c>
      <c r="K1359" s="1" t="str">
        <f t="shared" si="188"/>
        <v/>
      </c>
    </row>
    <row r="1360" spans="1:11" x14ac:dyDescent="0.3">
      <c r="A1360" s="1">
        <v>26</v>
      </c>
      <c r="B1360" s="1">
        <v>16</v>
      </c>
      <c r="C1360" s="12">
        <f t="shared" si="180"/>
        <v>7.4999999999999956E-2</v>
      </c>
      <c r="D1360" s="12">
        <f t="shared" si="181"/>
        <v>-0.67500000000000004</v>
      </c>
      <c r="E1360" s="12">
        <f t="shared" si="182"/>
        <v>11.096228209777776</v>
      </c>
      <c r="F1360" s="12">
        <f t="shared" si="183"/>
        <v>11.096228209777776</v>
      </c>
      <c r="G1360" s="12">
        <f t="shared" si="184"/>
        <v>14.538087964444442</v>
      </c>
      <c r="H1360" s="12">
        <f t="shared" si="185"/>
        <v>14.538087964444442</v>
      </c>
      <c r="I1360" s="1" t="str">
        <f t="shared" si="186"/>
        <v>No</v>
      </c>
      <c r="J1360" s="1" t="str">
        <f t="shared" si="187"/>
        <v>Si</v>
      </c>
      <c r="K1360" s="1" t="str">
        <f t="shared" si="188"/>
        <v/>
      </c>
    </row>
    <row r="1361" spans="1:11" x14ac:dyDescent="0.3">
      <c r="A1361" s="1">
        <v>26</v>
      </c>
      <c r="B1361" s="1">
        <v>17</v>
      </c>
      <c r="C1361" s="12">
        <f t="shared" si="180"/>
        <v>7.4999999999999956E-2</v>
      </c>
      <c r="D1361" s="12">
        <f t="shared" si="181"/>
        <v>-0.60000000000000009</v>
      </c>
      <c r="E1361" s="12">
        <f t="shared" si="182"/>
        <v>11.093740117333331</v>
      </c>
      <c r="F1361" s="12">
        <f t="shared" si="183"/>
        <v>11.093740117333331</v>
      </c>
      <c r="G1361" s="12">
        <f t="shared" si="184"/>
        <v>14.534583608888887</v>
      </c>
      <c r="H1361" s="12">
        <f t="shared" si="185"/>
        <v>14.534583608888887</v>
      </c>
      <c r="I1361" s="1" t="str">
        <f t="shared" si="186"/>
        <v>No</v>
      </c>
      <c r="J1361" s="1" t="str">
        <f t="shared" si="187"/>
        <v>Si</v>
      </c>
      <c r="K1361" s="1" t="str">
        <f t="shared" si="188"/>
        <v/>
      </c>
    </row>
    <row r="1362" spans="1:11" x14ac:dyDescent="0.3">
      <c r="A1362" s="1">
        <v>26</v>
      </c>
      <c r="B1362" s="1">
        <v>18</v>
      </c>
      <c r="C1362" s="12">
        <f t="shared" ref="C1362:C1425" si="189">IF(OR(A1362&gt;inp_n_div_x,B1362&gt;inp_n_div_y),"",-inp_bx/2+A1362*inp_bx/inp_n_div_x)</f>
        <v>7.4999999999999956E-2</v>
      </c>
      <c r="D1362" s="12">
        <f t="shared" ref="D1362:D1425" si="190">IF(C1362="","",-inp_by/2+B1362*inp_by/inp_n_div_y)</f>
        <v>-0.52499999999999991</v>
      </c>
      <c r="E1362" s="12">
        <f t="shared" ref="E1362:E1425" si="191">IF(C1362="","",res_srv_p_tot/geo_area+res_srv_mx_tot/geo_ix*D1362+res_srv_my_tot/geo_iy*C1362)</f>
        <v>11.091252024888886</v>
      </c>
      <c r="F1362" s="12">
        <f t="shared" ref="F1362:F1425" si="192">IF(E1362="","",MAX(0,E1362))</f>
        <v>11.091252024888886</v>
      </c>
      <c r="G1362" s="12">
        <f t="shared" ref="G1362:G1425" si="193">IF(C1362="","",res_u_p_tot/geo_area+res_u_mx_tot/geo_ix*D1362+res_u_my_tot/geo_iy*C1362)</f>
        <v>14.531079253333331</v>
      </c>
      <c r="H1362" s="12">
        <f t="shared" ref="H1362:H1425" si="194">IF(G1362="","",MAX(0,G1362))</f>
        <v>14.531079253333331</v>
      </c>
      <c r="I1362" s="1" t="str">
        <f t="shared" ref="I1362:I1425" si="195">IF(C1362="","",IF(AND(C1362&gt;=inp_xc-inp_cx/2,C1362&lt;=inp_xc+inp_cx/2,D1362&gt;=inp_yc-inp_cy/2,D1362&lt;=inp_yc+inp_cy/2),"Si","No"))</f>
        <v>No</v>
      </c>
      <c r="J1362" s="1" t="str">
        <f t="shared" ref="J1362:J1425" si="196">IF(C1362="","","Si")</f>
        <v>Si</v>
      </c>
      <c r="K1362" s="1" t="str">
        <f t="shared" ref="K1362:K1425" si="197">IF(OR(E1362&lt;0,G1362&lt;0),"Presion negativa","")</f>
        <v/>
      </c>
    </row>
    <row r="1363" spans="1:11" x14ac:dyDescent="0.3">
      <c r="A1363" s="1">
        <v>26</v>
      </c>
      <c r="B1363" s="1">
        <v>19</v>
      </c>
      <c r="C1363" s="12">
        <f t="shared" si="189"/>
        <v>7.4999999999999956E-2</v>
      </c>
      <c r="D1363" s="12">
        <f t="shared" si="190"/>
        <v>-0.44999999999999996</v>
      </c>
      <c r="E1363" s="12">
        <f t="shared" si="191"/>
        <v>11.088763932444444</v>
      </c>
      <c r="F1363" s="12">
        <f t="shared" si="192"/>
        <v>11.088763932444444</v>
      </c>
      <c r="G1363" s="12">
        <f t="shared" si="193"/>
        <v>14.527574897777775</v>
      </c>
      <c r="H1363" s="12">
        <f t="shared" si="194"/>
        <v>14.527574897777775</v>
      </c>
      <c r="I1363" s="1" t="str">
        <f t="shared" si="195"/>
        <v>No</v>
      </c>
      <c r="J1363" s="1" t="str">
        <f t="shared" si="196"/>
        <v>Si</v>
      </c>
      <c r="K1363" s="1" t="str">
        <f t="shared" si="197"/>
        <v/>
      </c>
    </row>
    <row r="1364" spans="1:11" x14ac:dyDescent="0.3">
      <c r="A1364" s="1">
        <v>26</v>
      </c>
      <c r="B1364" s="1">
        <v>20</v>
      </c>
      <c r="C1364" s="12">
        <f t="shared" si="189"/>
        <v>7.4999999999999956E-2</v>
      </c>
      <c r="D1364" s="12">
        <f t="shared" si="190"/>
        <v>-0.375</v>
      </c>
      <c r="E1364" s="12">
        <f t="shared" si="191"/>
        <v>11.086275839999999</v>
      </c>
      <c r="F1364" s="12">
        <f t="shared" si="192"/>
        <v>11.086275839999999</v>
      </c>
      <c r="G1364" s="12">
        <f t="shared" si="193"/>
        <v>14.524070542222221</v>
      </c>
      <c r="H1364" s="12">
        <f t="shared" si="194"/>
        <v>14.524070542222221</v>
      </c>
      <c r="I1364" s="1" t="str">
        <f t="shared" si="195"/>
        <v>No</v>
      </c>
      <c r="J1364" s="1" t="str">
        <f t="shared" si="196"/>
        <v>Si</v>
      </c>
      <c r="K1364" s="1" t="str">
        <f t="shared" si="197"/>
        <v/>
      </c>
    </row>
    <row r="1365" spans="1:11" x14ac:dyDescent="0.3">
      <c r="A1365" s="1">
        <v>26</v>
      </c>
      <c r="B1365" s="1">
        <v>21</v>
      </c>
      <c r="C1365" s="12">
        <f t="shared" si="189"/>
        <v>7.4999999999999956E-2</v>
      </c>
      <c r="D1365" s="12">
        <f t="shared" si="190"/>
        <v>-0.30000000000000004</v>
      </c>
      <c r="E1365" s="12">
        <f t="shared" si="191"/>
        <v>11.083787747555554</v>
      </c>
      <c r="F1365" s="12">
        <f t="shared" si="192"/>
        <v>11.083787747555554</v>
      </c>
      <c r="G1365" s="12">
        <f t="shared" si="193"/>
        <v>14.520566186666665</v>
      </c>
      <c r="H1365" s="12">
        <f t="shared" si="194"/>
        <v>14.520566186666665</v>
      </c>
      <c r="I1365" s="1" t="str">
        <f t="shared" si="195"/>
        <v>No</v>
      </c>
      <c r="J1365" s="1" t="str">
        <f t="shared" si="196"/>
        <v>Si</v>
      </c>
      <c r="K1365" s="1" t="str">
        <f t="shared" si="197"/>
        <v/>
      </c>
    </row>
    <row r="1366" spans="1:11" x14ac:dyDescent="0.3">
      <c r="A1366" s="1">
        <v>26</v>
      </c>
      <c r="B1366" s="1">
        <v>22</v>
      </c>
      <c r="C1366" s="12">
        <f t="shared" si="189"/>
        <v>7.4999999999999956E-2</v>
      </c>
      <c r="D1366" s="12">
        <f t="shared" si="190"/>
        <v>-0.22500000000000009</v>
      </c>
      <c r="E1366" s="12">
        <f t="shared" si="191"/>
        <v>11.08129965511111</v>
      </c>
      <c r="F1366" s="12">
        <f t="shared" si="192"/>
        <v>11.08129965511111</v>
      </c>
      <c r="G1366" s="12">
        <f t="shared" si="193"/>
        <v>14.517061831111109</v>
      </c>
      <c r="H1366" s="12">
        <f t="shared" si="194"/>
        <v>14.517061831111109</v>
      </c>
      <c r="I1366" s="1" t="str">
        <f t="shared" si="195"/>
        <v>No</v>
      </c>
      <c r="J1366" s="1" t="str">
        <f t="shared" si="196"/>
        <v>Si</v>
      </c>
      <c r="K1366" s="1" t="str">
        <f t="shared" si="197"/>
        <v/>
      </c>
    </row>
    <row r="1367" spans="1:11" x14ac:dyDescent="0.3">
      <c r="A1367" s="1">
        <v>26</v>
      </c>
      <c r="B1367" s="1">
        <v>23</v>
      </c>
      <c r="C1367" s="12">
        <f t="shared" si="189"/>
        <v>7.4999999999999956E-2</v>
      </c>
      <c r="D1367" s="12">
        <f t="shared" si="190"/>
        <v>-0.14999999999999991</v>
      </c>
      <c r="E1367" s="12">
        <f t="shared" si="191"/>
        <v>11.078811562666665</v>
      </c>
      <c r="F1367" s="12">
        <f t="shared" si="192"/>
        <v>11.078811562666665</v>
      </c>
      <c r="G1367" s="12">
        <f t="shared" si="193"/>
        <v>14.513557475555553</v>
      </c>
      <c r="H1367" s="12">
        <f t="shared" si="194"/>
        <v>14.513557475555553</v>
      </c>
      <c r="I1367" s="1" t="str">
        <f t="shared" si="195"/>
        <v>Si</v>
      </c>
      <c r="J1367" s="1" t="str">
        <f t="shared" si="196"/>
        <v>Si</v>
      </c>
      <c r="K1367" s="1" t="str">
        <f t="shared" si="197"/>
        <v/>
      </c>
    </row>
    <row r="1368" spans="1:11" x14ac:dyDescent="0.3">
      <c r="A1368" s="1">
        <v>26</v>
      </c>
      <c r="B1368" s="1">
        <v>24</v>
      </c>
      <c r="C1368" s="12">
        <f t="shared" si="189"/>
        <v>7.4999999999999956E-2</v>
      </c>
      <c r="D1368" s="12">
        <f t="shared" si="190"/>
        <v>-7.4999999999999956E-2</v>
      </c>
      <c r="E1368" s="12">
        <f t="shared" si="191"/>
        <v>11.076323470222221</v>
      </c>
      <c r="F1368" s="12">
        <f t="shared" si="192"/>
        <v>11.076323470222221</v>
      </c>
      <c r="G1368" s="12">
        <f t="shared" si="193"/>
        <v>14.510053119999998</v>
      </c>
      <c r="H1368" s="12">
        <f t="shared" si="194"/>
        <v>14.510053119999998</v>
      </c>
      <c r="I1368" s="1" t="str">
        <f t="shared" si="195"/>
        <v>Si</v>
      </c>
      <c r="J1368" s="1" t="str">
        <f t="shared" si="196"/>
        <v>Si</v>
      </c>
      <c r="K1368" s="1" t="str">
        <f t="shared" si="197"/>
        <v/>
      </c>
    </row>
    <row r="1369" spans="1:11" x14ac:dyDescent="0.3">
      <c r="A1369" s="1">
        <v>26</v>
      </c>
      <c r="B1369" s="1">
        <v>25</v>
      </c>
      <c r="C1369" s="12">
        <f t="shared" si="189"/>
        <v>7.4999999999999956E-2</v>
      </c>
      <c r="D1369" s="12">
        <f t="shared" si="190"/>
        <v>0</v>
      </c>
      <c r="E1369" s="12">
        <f t="shared" si="191"/>
        <v>11.073835377777776</v>
      </c>
      <c r="F1369" s="12">
        <f t="shared" si="192"/>
        <v>11.073835377777776</v>
      </c>
      <c r="G1369" s="12">
        <f t="shared" si="193"/>
        <v>14.506548764444442</v>
      </c>
      <c r="H1369" s="12">
        <f t="shared" si="194"/>
        <v>14.506548764444442</v>
      </c>
      <c r="I1369" s="1" t="str">
        <f t="shared" si="195"/>
        <v>Si</v>
      </c>
      <c r="J1369" s="1" t="str">
        <f t="shared" si="196"/>
        <v>Si</v>
      </c>
      <c r="K1369" s="1" t="str">
        <f t="shared" si="197"/>
        <v/>
      </c>
    </row>
    <row r="1370" spans="1:11" x14ac:dyDescent="0.3">
      <c r="A1370" s="1">
        <v>26</v>
      </c>
      <c r="B1370" s="1">
        <v>26</v>
      </c>
      <c r="C1370" s="12">
        <f t="shared" si="189"/>
        <v>7.4999999999999956E-2</v>
      </c>
      <c r="D1370" s="12">
        <f t="shared" si="190"/>
        <v>7.4999999999999956E-2</v>
      </c>
      <c r="E1370" s="12">
        <f t="shared" si="191"/>
        <v>11.071347285333331</v>
      </c>
      <c r="F1370" s="12">
        <f t="shared" si="192"/>
        <v>11.071347285333331</v>
      </c>
      <c r="G1370" s="12">
        <f t="shared" si="193"/>
        <v>14.503044408888886</v>
      </c>
      <c r="H1370" s="12">
        <f t="shared" si="194"/>
        <v>14.503044408888886</v>
      </c>
      <c r="I1370" s="1" t="str">
        <f t="shared" si="195"/>
        <v>Si</v>
      </c>
      <c r="J1370" s="1" t="str">
        <f t="shared" si="196"/>
        <v>Si</v>
      </c>
      <c r="K1370" s="1" t="str">
        <f t="shared" si="197"/>
        <v/>
      </c>
    </row>
    <row r="1371" spans="1:11" x14ac:dyDescent="0.3">
      <c r="A1371" s="1">
        <v>26</v>
      </c>
      <c r="B1371" s="1">
        <v>27</v>
      </c>
      <c r="C1371" s="12">
        <f t="shared" si="189"/>
        <v>7.4999999999999956E-2</v>
      </c>
      <c r="D1371" s="12">
        <f t="shared" si="190"/>
        <v>0.14999999999999991</v>
      </c>
      <c r="E1371" s="12">
        <f t="shared" si="191"/>
        <v>11.068859192888887</v>
      </c>
      <c r="F1371" s="12">
        <f t="shared" si="192"/>
        <v>11.068859192888887</v>
      </c>
      <c r="G1371" s="12">
        <f t="shared" si="193"/>
        <v>14.499540053333332</v>
      </c>
      <c r="H1371" s="12">
        <f t="shared" si="194"/>
        <v>14.499540053333332</v>
      </c>
      <c r="I1371" s="1" t="str">
        <f t="shared" si="195"/>
        <v>Si</v>
      </c>
      <c r="J1371" s="1" t="str">
        <f t="shared" si="196"/>
        <v>Si</v>
      </c>
      <c r="K1371" s="1" t="str">
        <f t="shared" si="197"/>
        <v/>
      </c>
    </row>
    <row r="1372" spans="1:11" x14ac:dyDescent="0.3">
      <c r="A1372" s="1">
        <v>26</v>
      </c>
      <c r="B1372" s="1">
        <v>28</v>
      </c>
      <c r="C1372" s="12">
        <f t="shared" si="189"/>
        <v>7.4999999999999956E-2</v>
      </c>
      <c r="D1372" s="12">
        <f t="shared" si="190"/>
        <v>0.22500000000000009</v>
      </c>
      <c r="E1372" s="12">
        <f t="shared" si="191"/>
        <v>11.066371100444442</v>
      </c>
      <c r="F1372" s="12">
        <f t="shared" si="192"/>
        <v>11.066371100444442</v>
      </c>
      <c r="G1372" s="12">
        <f t="shared" si="193"/>
        <v>14.496035697777776</v>
      </c>
      <c r="H1372" s="12">
        <f t="shared" si="194"/>
        <v>14.496035697777776</v>
      </c>
      <c r="I1372" s="1" t="str">
        <f t="shared" si="195"/>
        <v>No</v>
      </c>
      <c r="J1372" s="1" t="str">
        <f t="shared" si="196"/>
        <v>Si</v>
      </c>
      <c r="K1372" s="1" t="str">
        <f t="shared" si="197"/>
        <v/>
      </c>
    </row>
    <row r="1373" spans="1:11" x14ac:dyDescent="0.3">
      <c r="A1373" s="1">
        <v>26</v>
      </c>
      <c r="B1373" s="1">
        <v>29</v>
      </c>
      <c r="C1373" s="12">
        <f t="shared" si="189"/>
        <v>7.4999999999999956E-2</v>
      </c>
      <c r="D1373" s="12">
        <f t="shared" si="190"/>
        <v>0.29999999999999982</v>
      </c>
      <c r="E1373" s="12">
        <f t="shared" si="191"/>
        <v>11.063883007999998</v>
      </c>
      <c r="F1373" s="12">
        <f t="shared" si="192"/>
        <v>11.063883007999998</v>
      </c>
      <c r="G1373" s="12">
        <f t="shared" si="193"/>
        <v>14.49253134222222</v>
      </c>
      <c r="H1373" s="12">
        <f t="shared" si="194"/>
        <v>14.49253134222222</v>
      </c>
      <c r="I1373" s="1" t="str">
        <f t="shared" si="195"/>
        <v>No</v>
      </c>
      <c r="J1373" s="1" t="str">
        <f t="shared" si="196"/>
        <v>Si</v>
      </c>
      <c r="K1373" s="1" t="str">
        <f t="shared" si="197"/>
        <v/>
      </c>
    </row>
    <row r="1374" spans="1:11" x14ac:dyDescent="0.3">
      <c r="A1374" s="1">
        <v>26</v>
      </c>
      <c r="B1374" s="1">
        <v>30</v>
      </c>
      <c r="C1374" s="12">
        <f t="shared" si="189"/>
        <v>7.4999999999999956E-2</v>
      </c>
      <c r="D1374" s="12">
        <f t="shared" si="190"/>
        <v>0.375</v>
      </c>
      <c r="E1374" s="12">
        <f t="shared" si="191"/>
        <v>11.061394915555553</v>
      </c>
      <c r="F1374" s="12">
        <f t="shared" si="192"/>
        <v>11.061394915555553</v>
      </c>
      <c r="G1374" s="12">
        <f t="shared" si="193"/>
        <v>14.489026986666664</v>
      </c>
      <c r="H1374" s="12">
        <f t="shared" si="194"/>
        <v>14.489026986666664</v>
      </c>
      <c r="I1374" s="1" t="str">
        <f t="shared" si="195"/>
        <v>No</v>
      </c>
      <c r="J1374" s="1" t="str">
        <f t="shared" si="196"/>
        <v>Si</v>
      </c>
      <c r="K1374" s="1" t="str">
        <f t="shared" si="197"/>
        <v/>
      </c>
    </row>
    <row r="1375" spans="1:11" x14ac:dyDescent="0.3">
      <c r="A1375" s="1">
        <v>26</v>
      </c>
      <c r="B1375" s="1">
        <v>31</v>
      </c>
      <c r="C1375" s="12">
        <f t="shared" si="189"/>
        <v>7.4999999999999956E-2</v>
      </c>
      <c r="D1375" s="12">
        <f t="shared" si="190"/>
        <v>0.45000000000000018</v>
      </c>
      <c r="E1375" s="12">
        <f t="shared" si="191"/>
        <v>11.058906823111109</v>
      </c>
      <c r="F1375" s="12">
        <f t="shared" si="192"/>
        <v>11.058906823111109</v>
      </c>
      <c r="G1375" s="12">
        <f t="shared" si="193"/>
        <v>14.48552263111111</v>
      </c>
      <c r="H1375" s="12">
        <f t="shared" si="194"/>
        <v>14.48552263111111</v>
      </c>
      <c r="I1375" s="1" t="str">
        <f t="shared" si="195"/>
        <v>No</v>
      </c>
      <c r="J1375" s="1" t="str">
        <f t="shared" si="196"/>
        <v>Si</v>
      </c>
      <c r="K1375" s="1" t="str">
        <f t="shared" si="197"/>
        <v/>
      </c>
    </row>
    <row r="1376" spans="1:11" x14ac:dyDescent="0.3">
      <c r="A1376" s="1">
        <v>26</v>
      </c>
      <c r="B1376" s="1">
        <v>32</v>
      </c>
      <c r="C1376" s="12">
        <f t="shared" si="189"/>
        <v>7.4999999999999956E-2</v>
      </c>
      <c r="D1376" s="12">
        <f t="shared" si="190"/>
        <v>0.52499999999999991</v>
      </c>
      <c r="E1376" s="12">
        <f t="shared" si="191"/>
        <v>11.056418730666666</v>
      </c>
      <c r="F1376" s="12">
        <f t="shared" si="192"/>
        <v>11.056418730666666</v>
      </c>
      <c r="G1376" s="12">
        <f t="shared" si="193"/>
        <v>14.482018275555554</v>
      </c>
      <c r="H1376" s="12">
        <f t="shared" si="194"/>
        <v>14.482018275555554</v>
      </c>
      <c r="I1376" s="1" t="str">
        <f t="shared" si="195"/>
        <v>No</v>
      </c>
      <c r="J1376" s="1" t="str">
        <f t="shared" si="196"/>
        <v>Si</v>
      </c>
      <c r="K1376" s="1" t="str">
        <f t="shared" si="197"/>
        <v/>
      </c>
    </row>
    <row r="1377" spans="1:11" x14ac:dyDescent="0.3">
      <c r="A1377" s="1">
        <v>26</v>
      </c>
      <c r="B1377" s="1">
        <v>33</v>
      </c>
      <c r="C1377" s="12">
        <f t="shared" si="189"/>
        <v>7.4999999999999956E-2</v>
      </c>
      <c r="D1377" s="12">
        <f t="shared" si="190"/>
        <v>0.60000000000000009</v>
      </c>
      <c r="E1377" s="12">
        <f t="shared" si="191"/>
        <v>11.053930638222221</v>
      </c>
      <c r="F1377" s="12">
        <f t="shared" si="192"/>
        <v>11.053930638222221</v>
      </c>
      <c r="G1377" s="12">
        <f t="shared" si="193"/>
        <v>14.478513919999997</v>
      </c>
      <c r="H1377" s="12">
        <f t="shared" si="194"/>
        <v>14.478513919999997</v>
      </c>
      <c r="I1377" s="1" t="str">
        <f t="shared" si="195"/>
        <v>No</v>
      </c>
      <c r="J1377" s="1" t="str">
        <f t="shared" si="196"/>
        <v>Si</v>
      </c>
      <c r="K1377" s="1" t="str">
        <f t="shared" si="197"/>
        <v/>
      </c>
    </row>
    <row r="1378" spans="1:11" x14ac:dyDescent="0.3">
      <c r="A1378" s="1">
        <v>26</v>
      </c>
      <c r="B1378" s="1">
        <v>34</v>
      </c>
      <c r="C1378" s="12">
        <f t="shared" si="189"/>
        <v>7.4999999999999956E-2</v>
      </c>
      <c r="D1378" s="12">
        <f t="shared" si="190"/>
        <v>0.67499999999999982</v>
      </c>
      <c r="E1378" s="12">
        <f t="shared" si="191"/>
        <v>11.051442545777777</v>
      </c>
      <c r="F1378" s="12">
        <f t="shared" si="192"/>
        <v>11.051442545777777</v>
      </c>
      <c r="G1378" s="12">
        <f t="shared" si="193"/>
        <v>14.475009564444443</v>
      </c>
      <c r="H1378" s="12">
        <f t="shared" si="194"/>
        <v>14.475009564444443</v>
      </c>
      <c r="I1378" s="1" t="str">
        <f t="shared" si="195"/>
        <v>No</v>
      </c>
      <c r="J1378" s="1" t="str">
        <f t="shared" si="196"/>
        <v>Si</v>
      </c>
      <c r="K1378" s="1" t="str">
        <f t="shared" si="197"/>
        <v/>
      </c>
    </row>
    <row r="1379" spans="1:11" x14ac:dyDescent="0.3">
      <c r="A1379" s="1">
        <v>26</v>
      </c>
      <c r="B1379" s="1">
        <v>35</v>
      </c>
      <c r="C1379" s="12">
        <f t="shared" si="189"/>
        <v>7.4999999999999956E-2</v>
      </c>
      <c r="D1379" s="12">
        <f t="shared" si="190"/>
        <v>0.75</v>
      </c>
      <c r="E1379" s="12">
        <f t="shared" si="191"/>
        <v>11.048954453333332</v>
      </c>
      <c r="F1379" s="12">
        <f t="shared" si="192"/>
        <v>11.048954453333332</v>
      </c>
      <c r="G1379" s="12">
        <f t="shared" si="193"/>
        <v>14.471505208888887</v>
      </c>
      <c r="H1379" s="12">
        <f t="shared" si="194"/>
        <v>14.471505208888887</v>
      </c>
      <c r="I1379" s="1" t="str">
        <f t="shared" si="195"/>
        <v>No</v>
      </c>
      <c r="J1379" s="1" t="str">
        <f t="shared" si="196"/>
        <v>Si</v>
      </c>
      <c r="K1379" s="1" t="str">
        <f t="shared" si="197"/>
        <v/>
      </c>
    </row>
    <row r="1380" spans="1:11" x14ac:dyDescent="0.3">
      <c r="A1380" s="1">
        <v>26</v>
      </c>
      <c r="B1380" s="1">
        <v>36</v>
      </c>
      <c r="C1380" s="12">
        <f t="shared" si="189"/>
        <v>7.4999999999999956E-2</v>
      </c>
      <c r="D1380" s="12">
        <f t="shared" si="190"/>
        <v>0.82500000000000018</v>
      </c>
      <c r="E1380" s="12">
        <f t="shared" si="191"/>
        <v>11.046466360888887</v>
      </c>
      <c r="F1380" s="12">
        <f t="shared" si="192"/>
        <v>11.046466360888887</v>
      </c>
      <c r="G1380" s="12">
        <f t="shared" si="193"/>
        <v>14.468000853333331</v>
      </c>
      <c r="H1380" s="12">
        <f t="shared" si="194"/>
        <v>14.468000853333331</v>
      </c>
      <c r="I1380" s="1" t="str">
        <f t="shared" si="195"/>
        <v>No</v>
      </c>
      <c r="J1380" s="1" t="str">
        <f t="shared" si="196"/>
        <v>Si</v>
      </c>
      <c r="K1380" s="1" t="str">
        <f t="shared" si="197"/>
        <v/>
      </c>
    </row>
    <row r="1381" spans="1:11" x14ac:dyDescent="0.3">
      <c r="A1381" s="1">
        <v>26</v>
      </c>
      <c r="B1381" s="1">
        <v>37</v>
      </c>
      <c r="C1381" s="12">
        <f t="shared" si="189"/>
        <v>7.4999999999999956E-2</v>
      </c>
      <c r="D1381" s="12">
        <f t="shared" si="190"/>
        <v>0.89999999999999991</v>
      </c>
      <c r="E1381" s="12">
        <f t="shared" si="191"/>
        <v>11.043978268444443</v>
      </c>
      <c r="F1381" s="12">
        <f t="shared" si="192"/>
        <v>11.043978268444443</v>
      </c>
      <c r="G1381" s="12">
        <f t="shared" si="193"/>
        <v>14.464496497777775</v>
      </c>
      <c r="H1381" s="12">
        <f t="shared" si="194"/>
        <v>14.464496497777775</v>
      </c>
      <c r="I1381" s="1" t="str">
        <f t="shared" si="195"/>
        <v>No</v>
      </c>
      <c r="J1381" s="1" t="str">
        <f t="shared" si="196"/>
        <v>Si</v>
      </c>
      <c r="K1381" s="1" t="str">
        <f t="shared" si="197"/>
        <v/>
      </c>
    </row>
    <row r="1382" spans="1:11" x14ac:dyDescent="0.3">
      <c r="A1382" s="1">
        <v>26</v>
      </c>
      <c r="B1382" s="1">
        <v>38</v>
      </c>
      <c r="C1382" s="12">
        <f t="shared" si="189"/>
        <v>7.4999999999999956E-2</v>
      </c>
      <c r="D1382" s="12">
        <f t="shared" si="190"/>
        <v>0.97500000000000009</v>
      </c>
      <c r="E1382" s="12">
        <f t="shared" si="191"/>
        <v>11.041490175999998</v>
      </c>
      <c r="F1382" s="12">
        <f t="shared" si="192"/>
        <v>11.041490175999998</v>
      </c>
      <c r="G1382" s="12">
        <f t="shared" si="193"/>
        <v>14.460992142222221</v>
      </c>
      <c r="H1382" s="12">
        <f t="shared" si="194"/>
        <v>14.460992142222221</v>
      </c>
      <c r="I1382" s="1" t="str">
        <f t="shared" si="195"/>
        <v>No</v>
      </c>
      <c r="J1382" s="1" t="str">
        <f t="shared" si="196"/>
        <v>Si</v>
      </c>
      <c r="K1382" s="1" t="str">
        <f t="shared" si="197"/>
        <v/>
      </c>
    </row>
    <row r="1383" spans="1:11" x14ac:dyDescent="0.3">
      <c r="A1383" s="1">
        <v>26</v>
      </c>
      <c r="B1383" s="1">
        <v>39</v>
      </c>
      <c r="C1383" s="12">
        <f t="shared" si="189"/>
        <v>7.4999999999999956E-2</v>
      </c>
      <c r="D1383" s="12">
        <f t="shared" si="190"/>
        <v>1.0499999999999998</v>
      </c>
      <c r="E1383" s="12">
        <f t="shared" si="191"/>
        <v>11.039002083555554</v>
      </c>
      <c r="F1383" s="12">
        <f t="shared" si="192"/>
        <v>11.039002083555554</v>
      </c>
      <c r="G1383" s="12">
        <f t="shared" si="193"/>
        <v>14.457487786666665</v>
      </c>
      <c r="H1383" s="12">
        <f t="shared" si="194"/>
        <v>14.457487786666665</v>
      </c>
      <c r="I1383" s="1" t="str">
        <f t="shared" si="195"/>
        <v>No</v>
      </c>
      <c r="J1383" s="1" t="str">
        <f t="shared" si="196"/>
        <v>Si</v>
      </c>
      <c r="K1383" s="1" t="str">
        <f t="shared" si="197"/>
        <v/>
      </c>
    </row>
    <row r="1384" spans="1:11" x14ac:dyDescent="0.3">
      <c r="A1384" s="1">
        <v>26</v>
      </c>
      <c r="B1384" s="1">
        <v>40</v>
      </c>
      <c r="C1384" s="12">
        <f t="shared" si="189"/>
        <v>7.4999999999999956E-2</v>
      </c>
      <c r="D1384" s="12">
        <f t="shared" si="190"/>
        <v>1.125</v>
      </c>
      <c r="E1384" s="12">
        <f t="shared" si="191"/>
        <v>11.036513991111109</v>
      </c>
      <c r="F1384" s="12">
        <f t="shared" si="192"/>
        <v>11.036513991111109</v>
      </c>
      <c r="G1384" s="12">
        <f t="shared" si="193"/>
        <v>14.453983431111109</v>
      </c>
      <c r="H1384" s="12">
        <f t="shared" si="194"/>
        <v>14.453983431111109</v>
      </c>
      <c r="I1384" s="1" t="str">
        <f t="shared" si="195"/>
        <v>No</v>
      </c>
      <c r="J1384" s="1" t="str">
        <f t="shared" si="196"/>
        <v>Si</v>
      </c>
      <c r="K1384" s="1" t="str">
        <f t="shared" si="197"/>
        <v/>
      </c>
    </row>
    <row r="1385" spans="1:11" x14ac:dyDescent="0.3">
      <c r="A1385" s="1">
        <v>26</v>
      </c>
      <c r="B1385" s="1">
        <v>41</v>
      </c>
      <c r="C1385" s="12">
        <f t="shared" si="189"/>
        <v>7.4999999999999956E-2</v>
      </c>
      <c r="D1385" s="12">
        <f t="shared" si="190"/>
        <v>1.2000000000000002</v>
      </c>
      <c r="E1385" s="12">
        <f t="shared" si="191"/>
        <v>11.034025898666664</v>
      </c>
      <c r="F1385" s="12">
        <f t="shared" si="192"/>
        <v>11.034025898666664</v>
      </c>
      <c r="G1385" s="12">
        <f t="shared" si="193"/>
        <v>14.450479075555554</v>
      </c>
      <c r="H1385" s="12">
        <f t="shared" si="194"/>
        <v>14.450479075555554</v>
      </c>
      <c r="I1385" s="1" t="str">
        <f t="shared" si="195"/>
        <v>No</v>
      </c>
      <c r="J1385" s="1" t="str">
        <f t="shared" si="196"/>
        <v>Si</v>
      </c>
      <c r="K1385" s="1" t="str">
        <f t="shared" si="197"/>
        <v/>
      </c>
    </row>
    <row r="1386" spans="1:11" x14ac:dyDescent="0.3">
      <c r="A1386" s="1">
        <v>26</v>
      </c>
      <c r="B1386" s="1">
        <v>42</v>
      </c>
      <c r="C1386" s="12">
        <f t="shared" si="189"/>
        <v>7.4999999999999956E-2</v>
      </c>
      <c r="D1386" s="12">
        <f t="shared" si="190"/>
        <v>1.2749999999999999</v>
      </c>
      <c r="E1386" s="12">
        <f t="shared" si="191"/>
        <v>11.03153780622222</v>
      </c>
      <c r="F1386" s="12">
        <f t="shared" si="192"/>
        <v>11.03153780622222</v>
      </c>
      <c r="G1386" s="12">
        <f t="shared" si="193"/>
        <v>14.446974719999998</v>
      </c>
      <c r="H1386" s="12">
        <f t="shared" si="194"/>
        <v>14.446974719999998</v>
      </c>
      <c r="I1386" s="1" t="str">
        <f t="shared" si="195"/>
        <v>No</v>
      </c>
      <c r="J1386" s="1" t="str">
        <f t="shared" si="196"/>
        <v>Si</v>
      </c>
      <c r="K1386" s="1" t="str">
        <f t="shared" si="197"/>
        <v/>
      </c>
    </row>
    <row r="1387" spans="1:11" x14ac:dyDescent="0.3">
      <c r="A1387" s="1">
        <v>26</v>
      </c>
      <c r="B1387" s="1">
        <v>43</v>
      </c>
      <c r="C1387" s="12">
        <f t="shared" si="189"/>
        <v>7.4999999999999956E-2</v>
      </c>
      <c r="D1387" s="12">
        <f t="shared" si="190"/>
        <v>1.35</v>
      </c>
      <c r="E1387" s="12">
        <f t="shared" si="191"/>
        <v>11.029049713777775</v>
      </c>
      <c r="F1387" s="12">
        <f t="shared" si="192"/>
        <v>11.029049713777775</v>
      </c>
      <c r="G1387" s="12">
        <f t="shared" si="193"/>
        <v>14.443470364444442</v>
      </c>
      <c r="H1387" s="12">
        <f t="shared" si="194"/>
        <v>14.443470364444442</v>
      </c>
      <c r="I1387" s="1" t="str">
        <f t="shared" si="195"/>
        <v>No</v>
      </c>
      <c r="J1387" s="1" t="str">
        <f t="shared" si="196"/>
        <v>Si</v>
      </c>
      <c r="K1387" s="1" t="str">
        <f t="shared" si="197"/>
        <v/>
      </c>
    </row>
    <row r="1388" spans="1:11" x14ac:dyDescent="0.3">
      <c r="A1388" s="1">
        <v>26</v>
      </c>
      <c r="B1388" s="1">
        <v>44</v>
      </c>
      <c r="C1388" s="12">
        <f t="shared" si="189"/>
        <v>7.4999999999999956E-2</v>
      </c>
      <c r="D1388" s="12">
        <f t="shared" si="190"/>
        <v>1.4249999999999998</v>
      </c>
      <c r="E1388" s="12">
        <f t="shared" si="191"/>
        <v>11.026561621333332</v>
      </c>
      <c r="F1388" s="12">
        <f t="shared" si="192"/>
        <v>11.026561621333332</v>
      </c>
      <c r="G1388" s="12">
        <f t="shared" si="193"/>
        <v>14.439966008888886</v>
      </c>
      <c r="H1388" s="12">
        <f t="shared" si="194"/>
        <v>14.439966008888886</v>
      </c>
      <c r="I1388" s="1" t="str">
        <f t="shared" si="195"/>
        <v>No</v>
      </c>
      <c r="J1388" s="1" t="str">
        <f t="shared" si="196"/>
        <v>Si</v>
      </c>
      <c r="K1388" s="1" t="str">
        <f t="shared" si="197"/>
        <v/>
      </c>
    </row>
    <row r="1389" spans="1:11" x14ac:dyDescent="0.3">
      <c r="A1389" s="1">
        <v>26</v>
      </c>
      <c r="B1389" s="1">
        <v>45</v>
      </c>
      <c r="C1389" s="12">
        <f t="shared" si="189"/>
        <v>7.4999999999999956E-2</v>
      </c>
      <c r="D1389" s="12">
        <f t="shared" si="190"/>
        <v>1.5</v>
      </c>
      <c r="E1389" s="12">
        <f t="shared" si="191"/>
        <v>11.024073528888888</v>
      </c>
      <c r="F1389" s="12">
        <f t="shared" si="192"/>
        <v>11.024073528888888</v>
      </c>
      <c r="G1389" s="12">
        <f t="shared" si="193"/>
        <v>14.436461653333332</v>
      </c>
      <c r="H1389" s="12">
        <f t="shared" si="194"/>
        <v>14.436461653333332</v>
      </c>
      <c r="I1389" s="1" t="str">
        <f t="shared" si="195"/>
        <v>No</v>
      </c>
      <c r="J1389" s="1" t="str">
        <f t="shared" si="196"/>
        <v>Si</v>
      </c>
      <c r="K1389" s="1" t="str">
        <f t="shared" si="197"/>
        <v/>
      </c>
    </row>
    <row r="1390" spans="1:11" x14ac:dyDescent="0.3">
      <c r="A1390" s="1">
        <v>26</v>
      </c>
      <c r="B1390" s="1">
        <v>46</v>
      </c>
      <c r="C1390" s="12">
        <f t="shared" si="189"/>
        <v>7.4999999999999956E-2</v>
      </c>
      <c r="D1390" s="12">
        <f t="shared" si="190"/>
        <v>1.5750000000000002</v>
      </c>
      <c r="E1390" s="12">
        <f t="shared" si="191"/>
        <v>11.021585436444443</v>
      </c>
      <c r="F1390" s="12">
        <f t="shared" si="192"/>
        <v>11.021585436444443</v>
      </c>
      <c r="G1390" s="12">
        <f t="shared" si="193"/>
        <v>14.432957297777776</v>
      </c>
      <c r="H1390" s="12">
        <f t="shared" si="194"/>
        <v>14.432957297777776</v>
      </c>
      <c r="I1390" s="1" t="str">
        <f t="shared" si="195"/>
        <v>No</v>
      </c>
      <c r="J1390" s="1" t="str">
        <f t="shared" si="196"/>
        <v>Si</v>
      </c>
      <c r="K1390" s="1" t="str">
        <f t="shared" si="197"/>
        <v/>
      </c>
    </row>
    <row r="1391" spans="1:11" x14ac:dyDescent="0.3">
      <c r="A1391" s="1">
        <v>26</v>
      </c>
      <c r="B1391" s="1">
        <v>47</v>
      </c>
      <c r="C1391" s="12">
        <f t="shared" si="189"/>
        <v>7.4999999999999956E-2</v>
      </c>
      <c r="D1391" s="12">
        <f t="shared" si="190"/>
        <v>1.65</v>
      </c>
      <c r="E1391" s="12">
        <f t="shared" si="191"/>
        <v>11.019097343999999</v>
      </c>
      <c r="F1391" s="12">
        <f t="shared" si="192"/>
        <v>11.019097343999999</v>
      </c>
      <c r="G1391" s="12">
        <f t="shared" si="193"/>
        <v>14.42945294222222</v>
      </c>
      <c r="H1391" s="12">
        <f t="shared" si="194"/>
        <v>14.42945294222222</v>
      </c>
      <c r="I1391" s="1" t="str">
        <f t="shared" si="195"/>
        <v>No</v>
      </c>
      <c r="J1391" s="1" t="str">
        <f t="shared" si="196"/>
        <v>Si</v>
      </c>
      <c r="K1391" s="1" t="str">
        <f t="shared" si="197"/>
        <v/>
      </c>
    </row>
    <row r="1392" spans="1:11" x14ac:dyDescent="0.3">
      <c r="A1392" s="1">
        <v>26</v>
      </c>
      <c r="B1392" s="1">
        <v>48</v>
      </c>
      <c r="C1392" s="12">
        <f t="shared" si="189"/>
        <v>7.4999999999999956E-2</v>
      </c>
      <c r="D1392" s="12">
        <f t="shared" si="190"/>
        <v>1.7250000000000001</v>
      </c>
      <c r="E1392" s="12">
        <f t="shared" si="191"/>
        <v>11.016609251555554</v>
      </c>
      <c r="F1392" s="12">
        <f t="shared" si="192"/>
        <v>11.016609251555554</v>
      </c>
      <c r="G1392" s="12">
        <f t="shared" si="193"/>
        <v>14.425948586666665</v>
      </c>
      <c r="H1392" s="12">
        <f t="shared" si="194"/>
        <v>14.425948586666665</v>
      </c>
      <c r="I1392" s="1" t="str">
        <f t="shared" si="195"/>
        <v>No</v>
      </c>
      <c r="J1392" s="1" t="str">
        <f t="shared" si="196"/>
        <v>Si</v>
      </c>
      <c r="K1392" s="1" t="str">
        <f t="shared" si="197"/>
        <v/>
      </c>
    </row>
    <row r="1393" spans="1:11" x14ac:dyDescent="0.3">
      <c r="A1393" s="1">
        <v>26</v>
      </c>
      <c r="B1393" s="1">
        <v>49</v>
      </c>
      <c r="C1393" s="12">
        <f t="shared" si="189"/>
        <v>7.4999999999999956E-2</v>
      </c>
      <c r="D1393" s="12">
        <f t="shared" si="190"/>
        <v>1.7999999999999998</v>
      </c>
      <c r="E1393" s="12">
        <f t="shared" si="191"/>
        <v>11.014121159111109</v>
      </c>
      <c r="F1393" s="12">
        <f t="shared" si="192"/>
        <v>11.014121159111109</v>
      </c>
      <c r="G1393" s="12">
        <f t="shared" si="193"/>
        <v>14.422444231111109</v>
      </c>
      <c r="H1393" s="12">
        <f t="shared" si="194"/>
        <v>14.422444231111109</v>
      </c>
      <c r="I1393" s="1" t="str">
        <f t="shared" si="195"/>
        <v>No</v>
      </c>
      <c r="J1393" s="1" t="str">
        <f t="shared" si="196"/>
        <v>Si</v>
      </c>
      <c r="K1393" s="1" t="str">
        <f t="shared" si="197"/>
        <v/>
      </c>
    </row>
    <row r="1394" spans="1:11" x14ac:dyDescent="0.3">
      <c r="A1394" s="1">
        <v>26</v>
      </c>
      <c r="B1394" s="1">
        <v>50</v>
      </c>
      <c r="C1394" s="12">
        <f t="shared" si="189"/>
        <v>7.4999999999999956E-2</v>
      </c>
      <c r="D1394" s="12">
        <f t="shared" si="190"/>
        <v>1.875</v>
      </c>
      <c r="E1394" s="12">
        <f t="shared" si="191"/>
        <v>11.011633066666665</v>
      </c>
      <c r="F1394" s="12">
        <f t="shared" si="192"/>
        <v>11.011633066666665</v>
      </c>
      <c r="G1394" s="12">
        <f t="shared" si="193"/>
        <v>14.418939875555553</v>
      </c>
      <c r="H1394" s="12">
        <f t="shared" si="194"/>
        <v>14.418939875555553</v>
      </c>
      <c r="I1394" s="1" t="str">
        <f t="shared" si="195"/>
        <v>No</v>
      </c>
      <c r="J1394" s="1" t="str">
        <f t="shared" si="196"/>
        <v>Si</v>
      </c>
      <c r="K1394" s="1" t="str">
        <f t="shared" si="197"/>
        <v/>
      </c>
    </row>
    <row r="1395" spans="1:11" x14ac:dyDescent="0.3">
      <c r="A1395" s="1">
        <v>27</v>
      </c>
      <c r="B1395" s="1">
        <v>0</v>
      </c>
      <c r="C1395" s="12">
        <f t="shared" si="189"/>
        <v>0.14999999999999991</v>
      </c>
      <c r="D1395" s="12">
        <f t="shared" si="190"/>
        <v>-1.875</v>
      </c>
      <c r="E1395" s="12">
        <f t="shared" si="191"/>
        <v>11.136731733333333</v>
      </c>
      <c r="F1395" s="12">
        <f t="shared" si="192"/>
        <v>11.136731733333333</v>
      </c>
      <c r="G1395" s="12">
        <f t="shared" si="193"/>
        <v>14.595195306666666</v>
      </c>
      <c r="H1395" s="12">
        <f t="shared" si="194"/>
        <v>14.595195306666666</v>
      </c>
      <c r="I1395" s="1" t="str">
        <f t="shared" si="195"/>
        <v>No</v>
      </c>
      <c r="J1395" s="1" t="str">
        <f t="shared" si="196"/>
        <v>Si</v>
      </c>
      <c r="K1395" s="1" t="str">
        <f t="shared" si="197"/>
        <v/>
      </c>
    </row>
    <row r="1396" spans="1:11" x14ac:dyDescent="0.3">
      <c r="A1396" s="1">
        <v>27</v>
      </c>
      <c r="B1396" s="1">
        <v>1</v>
      </c>
      <c r="C1396" s="12">
        <f t="shared" si="189"/>
        <v>0.14999999999999991</v>
      </c>
      <c r="D1396" s="12">
        <f t="shared" si="190"/>
        <v>-1.8</v>
      </c>
      <c r="E1396" s="12">
        <f t="shared" si="191"/>
        <v>11.134243640888888</v>
      </c>
      <c r="F1396" s="12">
        <f t="shared" si="192"/>
        <v>11.134243640888888</v>
      </c>
      <c r="G1396" s="12">
        <f t="shared" si="193"/>
        <v>14.59169095111111</v>
      </c>
      <c r="H1396" s="12">
        <f t="shared" si="194"/>
        <v>14.59169095111111</v>
      </c>
      <c r="I1396" s="1" t="str">
        <f t="shared" si="195"/>
        <v>No</v>
      </c>
      <c r="J1396" s="1" t="str">
        <f t="shared" si="196"/>
        <v>Si</v>
      </c>
      <c r="K1396" s="1" t="str">
        <f t="shared" si="197"/>
        <v/>
      </c>
    </row>
    <row r="1397" spans="1:11" x14ac:dyDescent="0.3">
      <c r="A1397" s="1">
        <v>27</v>
      </c>
      <c r="B1397" s="1">
        <v>2</v>
      </c>
      <c r="C1397" s="12">
        <f t="shared" si="189"/>
        <v>0.14999999999999991</v>
      </c>
      <c r="D1397" s="12">
        <f t="shared" si="190"/>
        <v>-1.7250000000000001</v>
      </c>
      <c r="E1397" s="12">
        <f t="shared" si="191"/>
        <v>11.131755548444444</v>
      </c>
      <c r="F1397" s="12">
        <f t="shared" si="192"/>
        <v>11.131755548444444</v>
      </c>
      <c r="G1397" s="12">
        <f t="shared" si="193"/>
        <v>14.588186595555554</v>
      </c>
      <c r="H1397" s="12">
        <f t="shared" si="194"/>
        <v>14.588186595555554</v>
      </c>
      <c r="I1397" s="1" t="str">
        <f t="shared" si="195"/>
        <v>No</v>
      </c>
      <c r="J1397" s="1" t="str">
        <f t="shared" si="196"/>
        <v>Si</v>
      </c>
      <c r="K1397" s="1" t="str">
        <f t="shared" si="197"/>
        <v/>
      </c>
    </row>
    <row r="1398" spans="1:11" x14ac:dyDescent="0.3">
      <c r="A1398" s="1">
        <v>27</v>
      </c>
      <c r="B1398" s="1">
        <v>3</v>
      </c>
      <c r="C1398" s="12">
        <f t="shared" si="189"/>
        <v>0.14999999999999991</v>
      </c>
      <c r="D1398" s="12">
        <f t="shared" si="190"/>
        <v>-1.65</v>
      </c>
      <c r="E1398" s="12">
        <f t="shared" si="191"/>
        <v>11.129267455999999</v>
      </c>
      <c r="F1398" s="12">
        <f t="shared" si="192"/>
        <v>11.129267455999999</v>
      </c>
      <c r="G1398" s="12">
        <f t="shared" si="193"/>
        <v>14.584682239999999</v>
      </c>
      <c r="H1398" s="12">
        <f t="shared" si="194"/>
        <v>14.584682239999999</v>
      </c>
      <c r="I1398" s="1" t="str">
        <f t="shared" si="195"/>
        <v>No</v>
      </c>
      <c r="J1398" s="1" t="str">
        <f t="shared" si="196"/>
        <v>Si</v>
      </c>
      <c r="K1398" s="1" t="str">
        <f t="shared" si="197"/>
        <v/>
      </c>
    </row>
    <row r="1399" spans="1:11" x14ac:dyDescent="0.3">
      <c r="A1399" s="1">
        <v>27</v>
      </c>
      <c r="B1399" s="1">
        <v>4</v>
      </c>
      <c r="C1399" s="12">
        <f t="shared" si="189"/>
        <v>0.14999999999999991</v>
      </c>
      <c r="D1399" s="12">
        <f t="shared" si="190"/>
        <v>-1.575</v>
      </c>
      <c r="E1399" s="12">
        <f t="shared" si="191"/>
        <v>11.126779363555555</v>
      </c>
      <c r="F1399" s="12">
        <f t="shared" si="192"/>
        <v>11.126779363555555</v>
      </c>
      <c r="G1399" s="12">
        <f t="shared" si="193"/>
        <v>14.581177884444443</v>
      </c>
      <c r="H1399" s="12">
        <f t="shared" si="194"/>
        <v>14.581177884444443</v>
      </c>
      <c r="I1399" s="1" t="str">
        <f t="shared" si="195"/>
        <v>No</v>
      </c>
      <c r="J1399" s="1" t="str">
        <f t="shared" si="196"/>
        <v>Si</v>
      </c>
      <c r="K1399" s="1" t="str">
        <f t="shared" si="197"/>
        <v/>
      </c>
    </row>
    <row r="1400" spans="1:11" x14ac:dyDescent="0.3">
      <c r="A1400" s="1">
        <v>27</v>
      </c>
      <c r="B1400" s="1">
        <v>5</v>
      </c>
      <c r="C1400" s="12">
        <f t="shared" si="189"/>
        <v>0.14999999999999991</v>
      </c>
      <c r="D1400" s="12">
        <f t="shared" si="190"/>
        <v>-1.5</v>
      </c>
      <c r="E1400" s="12">
        <f t="shared" si="191"/>
        <v>11.12429127111111</v>
      </c>
      <c r="F1400" s="12">
        <f t="shared" si="192"/>
        <v>11.12429127111111</v>
      </c>
      <c r="G1400" s="12">
        <f t="shared" si="193"/>
        <v>14.577673528888887</v>
      </c>
      <c r="H1400" s="12">
        <f t="shared" si="194"/>
        <v>14.577673528888887</v>
      </c>
      <c r="I1400" s="1" t="str">
        <f t="shared" si="195"/>
        <v>No</v>
      </c>
      <c r="J1400" s="1" t="str">
        <f t="shared" si="196"/>
        <v>Si</v>
      </c>
      <c r="K1400" s="1" t="str">
        <f t="shared" si="197"/>
        <v/>
      </c>
    </row>
    <row r="1401" spans="1:11" x14ac:dyDescent="0.3">
      <c r="A1401" s="1">
        <v>27</v>
      </c>
      <c r="B1401" s="1">
        <v>6</v>
      </c>
      <c r="C1401" s="12">
        <f t="shared" si="189"/>
        <v>0.14999999999999991</v>
      </c>
      <c r="D1401" s="12">
        <f t="shared" si="190"/>
        <v>-1.425</v>
      </c>
      <c r="E1401" s="12">
        <f t="shared" si="191"/>
        <v>11.121803178666665</v>
      </c>
      <c r="F1401" s="12">
        <f t="shared" si="192"/>
        <v>11.121803178666665</v>
      </c>
      <c r="G1401" s="12">
        <f t="shared" si="193"/>
        <v>14.574169173333333</v>
      </c>
      <c r="H1401" s="12">
        <f t="shared" si="194"/>
        <v>14.574169173333333</v>
      </c>
      <c r="I1401" s="1" t="str">
        <f t="shared" si="195"/>
        <v>No</v>
      </c>
      <c r="J1401" s="1" t="str">
        <f t="shared" si="196"/>
        <v>Si</v>
      </c>
      <c r="K1401" s="1" t="str">
        <f t="shared" si="197"/>
        <v/>
      </c>
    </row>
    <row r="1402" spans="1:11" x14ac:dyDescent="0.3">
      <c r="A1402" s="1">
        <v>27</v>
      </c>
      <c r="B1402" s="1">
        <v>7</v>
      </c>
      <c r="C1402" s="12">
        <f t="shared" si="189"/>
        <v>0.14999999999999991</v>
      </c>
      <c r="D1402" s="12">
        <f t="shared" si="190"/>
        <v>-1.35</v>
      </c>
      <c r="E1402" s="12">
        <f t="shared" si="191"/>
        <v>11.119315086222223</v>
      </c>
      <c r="F1402" s="12">
        <f t="shared" si="192"/>
        <v>11.119315086222223</v>
      </c>
      <c r="G1402" s="12">
        <f t="shared" si="193"/>
        <v>14.570664817777777</v>
      </c>
      <c r="H1402" s="12">
        <f t="shared" si="194"/>
        <v>14.570664817777777</v>
      </c>
      <c r="I1402" s="1" t="str">
        <f t="shared" si="195"/>
        <v>No</v>
      </c>
      <c r="J1402" s="1" t="str">
        <f t="shared" si="196"/>
        <v>Si</v>
      </c>
      <c r="K1402" s="1" t="str">
        <f t="shared" si="197"/>
        <v/>
      </c>
    </row>
    <row r="1403" spans="1:11" x14ac:dyDescent="0.3">
      <c r="A1403" s="1">
        <v>27</v>
      </c>
      <c r="B1403" s="1">
        <v>8</v>
      </c>
      <c r="C1403" s="12">
        <f t="shared" si="189"/>
        <v>0.14999999999999991</v>
      </c>
      <c r="D1403" s="12">
        <f t="shared" si="190"/>
        <v>-1.2749999999999999</v>
      </c>
      <c r="E1403" s="12">
        <f t="shared" si="191"/>
        <v>11.116826993777778</v>
      </c>
      <c r="F1403" s="12">
        <f t="shared" si="192"/>
        <v>11.116826993777778</v>
      </c>
      <c r="G1403" s="12">
        <f t="shared" si="193"/>
        <v>14.567160462222221</v>
      </c>
      <c r="H1403" s="12">
        <f t="shared" si="194"/>
        <v>14.567160462222221</v>
      </c>
      <c r="I1403" s="1" t="str">
        <f t="shared" si="195"/>
        <v>No</v>
      </c>
      <c r="J1403" s="1" t="str">
        <f t="shared" si="196"/>
        <v>Si</v>
      </c>
      <c r="K1403" s="1" t="str">
        <f t="shared" si="197"/>
        <v/>
      </c>
    </row>
    <row r="1404" spans="1:11" x14ac:dyDescent="0.3">
      <c r="A1404" s="1">
        <v>27</v>
      </c>
      <c r="B1404" s="1">
        <v>9</v>
      </c>
      <c r="C1404" s="12">
        <f t="shared" si="189"/>
        <v>0.14999999999999991</v>
      </c>
      <c r="D1404" s="12">
        <f t="shared" si="190"/>
        <v>-1.2</v>
      </c>
      <c r="E1404" s="12">
        <f t="shared" si="191"/>
        <v>11.114338901333333</v>
      </c>
      <c r="F1404" s="12">
        <f t="shared" si="192"/>
        <v>11.114338901333333</v>
      </c>
      <c r="G1404" s="12">
        <f t="shared" si="193"/>
        <v>14.563656106666665</v>
      </c>
      <c r="H1404" s="12">
        <f t="shared" si="194"/>
        <v>14.563656106666665</v>
      </c>
      <c r="I1404" s="1" t="str">
        <f t="shared" si="195"/>
        <v>No</v>
      </c>
      <c r="J1404" s="1" t="str">
        <f t="shared" si="196"/>
        <v>Si</v>
      </c>
      <c r="K1404" s="1" t="str">
        <f t="shared" si="197"/>
        <v/>
      </c>
    </row>
    <row r="1405" spans="1:11" x14ac:dyDescent="0.3">
      <c r="A1405" s="1">
        <v>27</v>
      </c>
      <c r="B1405" s="1">
        <v>10</v>
      </c>
      <c r="C1405" s="12">
        <f t="shared" si="189"/>
        <v>0.14999999999999991</v>
      </c>
      <c r="D1405" s="12">
        <f t="shared" si="190"/>
        <v>-1.125</v>
      </c>
      <c r="E1405" s="12">
        <f t="shared" si="191"/>
        <v>11.111850808888889</v>
      </c>
      <c r="F1405" s="12">
        <f t="shared" si="192"/>
        <v>11.111850808888889</v>
      </c>
      <c r="G1405" s="12">
        <f t="shared" si="193"/>
        <v>14.56015175111111</v>
      </c>
      <c r="H1405" s="12">
        <f t="shared" si="194"/>
        <v>14.56015175111111</v>
      </c>
      <c r="I1405" s="1" t="str">
        <f t="shared" si="195"/>
        <v>No</v>
      </c>
      <c r="J1405" s="1" t="str">
        <f t="shared" si="196"/>
        <v>Si</v>
      </c>
      <c r="K1405" s="1" t="str">
        <f t="shared" si="197"/>
        <v/>
      </c>
    </row>
    <row r="1406" spans="1:11" x14ac:dyDescent="0.3">
      <c r="A1406" s="1">
        <v>27</v>
      </c>
      <c r="B1406" s="1">
        <v>11</v>
      </c>
      <c r="C1406" s="12">
        <f t="shared" si="189"/>
        <v>0.14999999999999991</v>
      </c>
      <c r="D1406" s="12">
        <f t="shared" si="190"/>
        <v>-1.05</v>
      </c>
      <c r="E1406" s="12">
        <f t="shared" si="191"/>
        <v>11.109362716444444</v>
      </c>
      <c r="F1406" s="12">
        <f t="shared" si="192"/>
        <v>11.109362716444444</v>
      </c>
      <c r="G1406" s="12">
        <f t="shared" si="193"/>
        <v>14.556647395555554</v>
      </c>
      <c r="H1406" s="12">
        <f t="shared" si="194"/>
        <v>14.556647395555554</v>
      </c>
      <c r="I1406" s="1" t="str">
        <f t="shared" si="195"/>
        <v>No</v>
      </c>
      <c r="J1406" s="1" t="str">
        <f t="shared" si="196"/>
        <v>Si</v>
      </c>
      <c r="K1406" s="1" t="str">
        <f t="shared" si="197"/>
        <v/>
      </c>
    </row>
    <row r="1407" spans="1:11" x14ac:dyDescent="0.3">
      <c r="A1407" s="1">
        <v>27</v>
      </c>
      <c r="B1407" s="1">
        <v>12</v>
      </c>
      <c r="C1407" s="12">
        <f t="shared" si="189"/>
        <v>0.14999999999999991</v>
      </c>
      <c r="D1407" s="12">
        <f t="shared" si="190"/>
        <v>-0.97499999999999998</v>
      </c>
      <c r="E1407" s="12">
        <f t="shared" si="191"/>
        <v>11.106874624</v>
      </c>
      <c r="F1407" s="12">
        <f t="shared" si="192"/>
        <v>11.106874624</v>
      </c>
      <c r="G1407" s="12">
        <f t="shared" si="193"/>
        <v>14.553143039999998</v>
      </c>
      <c r="H1407" s="12">
        <f t="shared" si="194"/>
        <v>14.553143039999998</v>
      </c>
      <c r="I1407" s="1" t="str">
        <f t="shared" si="195"/>
        <v>No</v>
      </c>
      <c r="J1407" s="1" t="str">
        <f t="shared" si="196"/>
        <v>Si</v>
      </c>
      <c r="K1407" s="1" t="str">
        <f t="shared" si="197"/>
        <v/>
      </c>
    </row>
    <row r="1408" spans="1:11" x14ac:dyDescent="0.3">
      <c r="A1408" s="1">
        <v>27</v>
      </c>
      <c r="B1408" s="1">
        <v>13</v>
      </c>
      <c r="C1408" s="12">
        <f t="shared" si="189"/>
        <v>0.14999999999999991</v>
      </c>
      <c r="D1408" s="12">
        <f t="shared" si="190"/>
        <v>-0.9</v>
      </c>
      <c r="E1408" s="12">
        <f t="shared" si="191"/>
        <v>11.104386531555555</v>
      </c>
      <c r="F1408" s="12">
        <f t="shared" si="192"/>
        <v>11.104386531555555</v>
      </c>
      <c r="G1408" s="12">
        <f t="shared" si="193"/>
        <v>14.549638684444444</v>
      </c>
      <c r="H1408" s="12">
        <f t="shared" si="194"/>
        <v>14.549638684444444</v>
      </c>
      <c r="I1408" s="1" t="str">
        <f t="shared" si="195"/>
        <v>No</v>
      </c>
      <c r="J1408" s="1" t="str">
        <f t="shared" si="196"/>
        <v>Si</v>
      </c>
      <c r="K1408" s="1" t="str">
        <f t="shared" si="197"/>
        <v/>
      </c>
    </row>
    <row r="1409" spans="1:11" x14ac:dyDescent="0.3">
      <c r="A1409" s="1">
        <v>27</v>
      </c>
      <c r="B1409" s="1">
        <v>14</v>
      </c>
      <c r="C1409" s="12">
        <f t="shared" si="189"/>
        <v>0.14999999999999991</v>
      </c>
      <c r="D1409" s="12">
        <f t="shared" si="190"/>
        <v>-0.82499999999999996</v>
      </c>
      <c r="E1409" s="12">
        <f t="shared" si="191"/>
        <v>11.10189843911111</v>
      </c>
      <c r="F1409" s="12">
        <f t="shared" si="192"/>
        <v>11.10189843911111</v>
      </c>
      <c r="G1409" s="12">
        <f t="shared" si="193"/>
        <v>14.546134328888888</v>
      </c>
      <c r="H1409" s="12">
        <f t="shared" si="194"/>
        <v>14.546134328888888</v>
      </c>
      <c r="I1409" s="1" t="str">
        <f t="shared" si="195"/>
        <v>No</v>
      </c>
      <c r="J1409" s="1" t="str">
        <f t="shared" si="196"/>
        <v>Si</v>
      </c>
      <c r="K1409" s="1" t="str">
        <f t="shared" si="197"/>
        <v/>
      </c>
    </row>
    <row r="1410" spans="1:11" x14ac:dyDescent="0.3">
      <c r="A1410" s="1">
        <v>27</v>
      </c>
      <c r="B1410" s="1">
        <v>15</v>
      </c>
      <c r="C1410" s="12">
        <f t="shared" si="189"/>
        <v>0.14999999999999991</v>
      </c>
      <c r="D1410" s="12">
        <f t="shared" si="190"/>
        <v>-0.75</v>
      </c>
      <c r="E1410" s="12">
        <f t="shared" si="191"/>
        <v>11.099410346666666</v>
      </c>
      <c r="F1410" s="12">
        <f t="shared" si="192"/>
        <v>11.099410346666666</v>
      </c>
      <c r="G1410" s="12">
        <f t="shared" si="193"/>
        <v>14.542629973333332</v>
      </c>
      <c r="H1410" s="12">
        <f t="shared" si="194"/>
        <v>14.542629973333332</v>
      </c>
      <c r="I1410" s="1" t="str">
        <f t="shared" si="195"/>
        <v>No</v>
      </c>
      <c r="J1410" s="1" t="str">
        <f t="shared" si="196"/>
        <v>Si</v>
      </c>
      <c r="K1410" s="1" t="str">
        <f t="shared" si="197"/>
        <v/>
      </c>
    </row>
    <row r="1411" spans="1:11" x14ac:dyDescent="0.3">
      <c r="A1411" s="1">
        <v>27</v>
      </c>
      <c r="B1411" s="1">
        <v>16</v>
      </c>
      <c r="C1411" s="12">
        <f t="shared" si="189"/>
        <v>0.14999999999999991</v>
      </c>
      <c r="D1411" s="12">
        <f t="shared" si="190"/>
        <v>-0.67500000000000004</v>
      </c>
      <c r="E1411" s="12">
        <f t="shared" si="191"/>
        <v>11.096922254222221</v>
      </c>
      <c r="F1411" s="12">
        <f t="shared" si="192"/>
        <v>11.096922254222221</v>
      </c>
      <c r="G1411" s="12">
        <f t="shared" si="193"/>
        <v>14.539125617777776</v>
      </c>
      <c r="H1411" s="12">
        <f t="shared" si="194"/>
        <v>14.539125617777776</v>
      </c>
      <c r="I1411" s="1" t="str">
        <f t="shared" si="195"/>
        <v>No</v>
      </c>
      <c r="J1411" s="1" t="str">
        <f t="shared" si="196"/>
        <v>Si</v>
      </c>
      <c r="K1411" s="1" t="str">
        <f t="shared" si="197"/>
        <v/>
      </c>
    </row>
    <row r="1412" spans="1:11" x14ac:dyDescent="0.3">
      <c r="A1412" s="1">
        <v>27</v>
      </c>
      <c r="B1412" s="1">
        <v>17</v>
      </c>
      <c r="C1412" s="12">
        <f t="shared" si="189"/>
        <v>0.14999999999999991</v>
      </c>
      <c r="D1412" s="12">
        <f t="shared" si="190"/>
        <v>-0.60000000000000009</v>
      </c>
      <c r="E1412" s="12">
        <f t="shared" si="191"/>
        <v>11.094434161777777</v>
      </c>
      <c r="F1412" s="12">
        <f t="shared" si="192"/>
        <v>11.094434161777777</v>
      </c>
      <c r="G1412" s="12">
        <f t="shared" si="193"/>
        <v>14.535621262222222</v>
      </c>
      <c r="H1412" s="12">
        <f t="shared" si="194"/>
        <v>14.535621262222222</v>
      </c>
      <c r="I1412" s="1" t="str">
        <f t="shared" si="195"/>
        <v>No</v>
      </c>
      <c r="J1412" s="1" t="str">
        <f t="shared" si="196"/>
        <v>Si</v>
      </c>
      <c r="K1412" s="1" t="str">
        <f t="shared" si="197"/>
        <v/>
      </c>
    </row>
    <row r="1413" spans="1:11" x14ac:dyDescent="0.3">
      <c r="A1413" s="1">
        <v>27</v>
      </c>
      <c r="B1413" s="1">
        <v>18</v>
      </c>
      <c r="C1413" s="12">
        <f t="shared" si="189"/>
        <v>0.14999999999999991</v>
      </c>
      <c r="D1413" s="12">
        <f t="shared" si="190"/>
        <v>-0.52499999999999991</v>
      </c>
      <c r="E1413" s="12">
        <f t="shared" si="191"/>
        <v>11.091946069333332</v>
      </c>
      <c r="F1413" s="12">
        <f t="shared" si="192"/>
        <v>11.091946069333332</v>
      </c>
      <c r="G1413" s="12">
        <f t="shared" si="193"/>
        <v>14.532116906666666</v>
      </c>
      <c r="H1413" s="12">
        <f t="shared" si="194"/>
        <v>14.532116906666666</v>
      </c>
      <c r="I1413" s="1" t="str">
        <f t="shared" si="195"/>
        <v>No</v>
      </c>
      <c r="J1413" s="1" t="str">
        <f t="shared" si="196"/>
        <v>Si</v>
      </c>
      <c r="K1413" s="1" t="str">
        <f t="shared" si="197"/>
        <v/>
      </c>
    </row>
    <row r="1414" spans="1:11" x14ac:dyDescent="0.3">
      <c r="A1414" s="1">
        <v>27</v>
      </c>
      <c r="B1414" s="1">
        <v>19</v>
      </c>
      <c r="C1414" s="12">
        <f t="shared" si="189"/>
        <v>0.14999999999999991</v>
      </c>
      <c r="D1414" s="12">
        <f t="shared" si="190"/>
        <v>-0.44999999999999996</v>
      </c>
      <c r="E1414" s="12">
        <f t="shared" si="191"/>
        <v>11.089457976888889</v>
      </c>
      <c r="F1414" s="12">
        <f t="shared" si="192"/>
        <v>11.089457976888889</v>
      </c>
      <c r="G1414" s="12">
        <f t="shared" si="193"/>
        <v>14.528612551111109</v>
      </c>
      <c r="H1414" s="12">
        <f t="shared" si="194"/>
        <v>14.528612551111109</v>
      </c>
      <c r="I1414" s="1" t="str">
        <f t="shared" si="195"/>
        <v>No</v>
      </c>
      <c r="J1414" s="1" t="str">
        <f t="shared" si="196"/>
        <v>Si</v>
      </c>
      <c r="K1414" s="1" t="str">
        <f t="shared" si="197"/>
        <v/>
      </c>
    </row>
    <row r="1415" spans="1:11" x14ac:dyDescent="0.3">
      <c r="A1415" s="1">
        <v>27</v>
      </c>
      <c r="B1415" s="1">
        <v>20</v>
      </c>
      <c r="C1415" s="12">
        <f t="shared" si="189"/>
        <v>0.14999999999999991</v>
      </c>
      <c r="D1415" s="12">
        <f t="shared" si="190"/>
        <v>-0.375</v>
      </c>
      <c r="E1415" s="12">
        <f t="shared" si="191"/>
        <v>11.086969884444445</v>
      </c>
      <c r="F1415" s="12">
        <f t="shared" si="192"/>
        <v>11.086969884444445</v>
      </c>
      <c r="G1415" s="12">
        <f t="shared" si="193"/>
        <v>14.525108195555555</v>
      </c>
      <c r="H1415" s="12">
        <f t="shared" si="194"/>
        <v>14.525108195555555</v>
      </c>
      <c r="I1415" s="1" t="str">
        <f t="shared" si="195"/>
        <v>No</v>
      </c>
      <c r="J1415" s="1" t="str">
        <f t="shared" si="196"/>
        <v>Si</v>
      </c>
      <c r="K1415" s="1" t="str">
        <f t="shared" si="197"/>
        <v/>
      </c>
    </row>
    <row r="1416" spans="1:11" x14ac:dyDescent="0.3">
      <c r="A1416" s="1">
        <v>27</v>
      </c>
      <c r="B1416" s="1">
        <v>21</v>
      </c>
      <c r="C1416" s="12">
        <f t="shared" si="189"/>
        <v>0.14999999999999991</v>
      </c>
      <c r="D1416" s="12">
        <f t="shared" si="190"/>
        <v>-0.30000000000000004</v>
      </c>
      <c r="E1416" s="12">
        <f t="shared" si="191"/>
        <v>11.084481792</v>
      </c>
      <c r="F1416" s="12">
        <f t="shared" si="192"/>
        <v>11.084481792</v>
      </c>
      <c r="G1416" s="12">
        <f t="shared" si="193"/>
        <v>14.521603839999999</v>
      </c>
      <c r="H1416" s="12">
        <f t="shared" si="194"/>
        <v>14.521603839999999</v>
      </c>
      <c r="I1416" s="1" t="str">
        <f t="shared" si="195"/>
        <v>No</v>
      </c>
      <c r="J1416" s="1" t="str">
        <f t="shared" si="196"/>
        <v>Si</v>
      </c>
      <c r="K1416" s="1" t="str">
        <f t="shared" si="197"/>
        <v/>
      </c>
    </row>
    <row r="1417" spans="1:11" x14ac:dyDescent="0.3">
      <c r="A1417" s="1">
        <v>27</v>
      </c>
      <c r="B1417" s="1">
        <v>22</v>
      </c>
      <c r="C1417" s="12">
        <f t="shared" si="189"/>
        <v>0.14999999999999991</v>
      </c>
      <c r="D1417" s="12">
        <f t="shared" si="190"/>
        <v>-0.22500000000000009</v>
      </c>
      <c r="E1417" s="12">
        <f t="shared" si="191"/>
        <v>11.081993699555555</v>
      </c>
      <c r="F1417" s="12">
        <f t="shared" si="192"/>
        <v>11.081993699555555</v>
      </c>
      <c r="G1417" s="12">
        <f t="shared" si="193"/>
        <v>14.518099484444443</v>
      </c>
      <c r="H1417" s="12">
        <f t="shared" si="194"/>
        <v>14.518099484444443</v>
      </c>
      <c r="I1417" s="1" t="str">
        <f t="shared" si="195"/>
        <v>No</v>
      </c>
      <c r="J1417" s="1" t="str">
        <f t="shared" si="196"/>
        <v>Si</v>
      </c>
      <c r="K1417" s="1" t="str">
        <f t="shared" si="197"/>
        <v/>
      </c>
    </row>
    <row r="1418" spans="1:11" x14ac:dyDescent="0.3">
      <c r="A1418" s="1">
        <v>27</v>
      </c>
      <c r="B1418" s="1">
        <v>23</v>
      </c>
      <c r="C1418" s="12">
        <f t="shared" si="189"/>
        <v>0.14999999999999991</v>
      </c>
      <c r="D1418" s="12">
        <f t="shared" si="190"/>
        <v>-0.14999999999999991</v>
      </c>
      <c r="E1418" s="12">
        <f t="shared" si="191"/>
        <v>11.079505607111111</v>
      </c>
      <c r="F1418" s="12">
        <f t="shared" si="192"/>
        <v>11.079505607111111</v>
      </c>
      <c r="G1418" s="12">
        <f t="shared" si="193"/>
        <v>14.514595128888887</v>
      </c>
      <c r="H1418" s="12">
        <f t="shared" si="194"/>
        <v>14.514595128888887</v>
      </c>
      <c r="I1418" s="1" t="str">
        <f t="shared" si="195"/>
        <v>Si</v>
      </c>
      <c r="J1418" s="1" t="str">
        <f t="shared" si="196"/>
        <v>Si</v>
      </c>
      <c r="K1418" s="1" t="str">
        <f t="shared" si="197"/>
        <v/>
      </c>
    </row>
    <row r="1419" spans="1:11" x14ac:dyDescent="0.3">
      <c r="A1419" s="1">
        <v>27</v>
      </c>
      <c r="B1419" s="1">
        <v>24</v>
      </c>
      <c r="C1419" s="12">
        <f t="shared" si="189"/>
        <v>0.14999999999999991</v>
      </c>
      <c r="D1419" s="12">
        <f t="shared" si="190"/>
        <v>-7.4999999999999956E-2</v>
      </c>
      <c r="E1419" s="12">
        <f t="shared" si="191"/>
        <v>11.077017514666666</v>
      </c>
      <c r="F1419" s="12">
        <f t="shared" si="192"/>
        <v>11.077017514666666</v>
      </c>
      <c r="G1419" s="12">
        <f t="shared" si="193"/>
        <v>14.511090773333333</v>
      </c>
      <c r="H1419" s="12">
        <f t="shared" si="194"/>
        <v>14.511090773333333</v>
      </c>
      <c r="I1419" s="1" t="str">
        <f t="shared" si="195"/>
        <v>Si</v>
      </c>
      <c r="J1419" s="1" t="str">
        <f t="shared" si="196"/>
        <v>Si</v>
      </c>
      <c r="K1419" s="1" t="str">
        <f t="shared" si="197"/>
        <v/>
      </c>
    </row>
    <row r="1420" spans="1:11" x14ac:dyDescent="0.3">
      <c r="A1420" s="1">
        <v>27</v>
      </c>
      <c r="B1420" s="1">
        <v>25</v>
      </c>
      <c r="C1420" s="12">
        <f t="shared" si="189"/>
        <v>0.14999999999999991</v>
      </c>
      <c r="D1420" s="12">
        <f t="shared" si="190"/>
        <v>0</v>
      </c>
      <c r="E1420" s="12">
        <f t="shared" si="191"/>
        <v>11.074529422222222</v>
      </c>
      <c r="F1420" s="12">
        <f t="shared" si="192"/>
        <v>11.074529422222222</v>
      </c>
      <c r="G1420" s="12">
        <f t="shared" si="193"/>
        <v>14.507586417777777</v>
      </c>
      <c r="H1420" s="12">
        <f t="shared" si="194"/>
        <v>14.507586417777777</v>
      </c>
      <c r="I1420" s="1" t="str">
        <f t="shared" si="195"/>
        <v>Si</v>
      </c>
      <c r="J1420" s="1" t="str">
        <f t="shared" si="196"/>
        <v>Si</v>
      </c>
      <c r="K1420" s="1" t="str">
        <f t="shared" si="197"/>
        <v/>
      </c>
    </row>
    <row r="1421" spans="1:11" x14ac:dyDescent="0.3">
      <c r="A1421" s="1">
        <v>27</v>
      </c>
      <c r="B1421" s="1">
        <v>26</v>
      </c>
      <c r="C1421" s="12">
        <f t="shared" si="189"/>
        <v>0.14999999999999991</v>
      </c>
      <c r="D1421" s="12">
        <f t="shared" si="190"/>
        <v>7.4999999999999956E-2</v>
      </c>
      <c r="E1421" s="12">
        <f t="shared" si="191"/>
        <v>11.072041329777777</v>
      </c>
      <c r="F1421" s="12">
        <f t="shared" si="192"/>
        <v>11.072041329777777</v>
      </c>
      <c r="G1421" s="12">
        <f t="shared" si="193"/>
        <v>14.504082062222221</v>
      </c>
      <c r="H1421" s="12">
        <f t="shared" si="194"/>
        <v>14.504082062222221</v>
      </c>
      <c r="I1421" s="1" t="str">
        <f t="shared" si="195"/>
        <v>Si</v>
      </c>
      <c r="J1421" s="1" t="str">
        <f t="shared" si="196"/>
        <v>Si</v>
      </c>
      <c r="K1421" s="1" t="str">
        <f t="shared" si="197"/>
        <v/>
      </c>
    </row>
    <row r="1422" spans="1:11" x14ac:dyDescent="0.3">
      <c r="A1422" s="1">
        <v>27</v>
      </c>
      <c r="B1422" s="1">
        <v>27</v>
      </c>
      <c r="C1422" s="12">
        <f t="shared" si="189"/>
        <v>0.14999999999999991</v>
      </c>
      <c r="D1422" s="12">
        <f t="shared" si="190"/>
        <v>0.14999999999999991</v>
      </c>
      <c r="E1422" s="12">
        <f t="shared" si="191"/>
        <v>11.069553237333333</v>
      </c>
      <c r="F1422" s="12">
        <f t="shared" si="192"/>
        <v>11.069553237333333</v>
      </c>
      <c r="G1422" s="12">
        <f t="shared" si="193"/>
        <v>14.500577706666666</v>
      </c>
      <c r="H1422" s="12">
        <f t="shared" si="194"/>
        <v>14.500577706666666</v>
      </c>
      <c r="I1422" s="1" t="str">
        <f t="shared" si="195"/>
        <v>Si</v>
      </c>
      <c r="J1422" s="1" t="str">
        <f t="shared" si="196"/>
        <v>Si</v>
      </c>
      <c r="K1422" s="1" t="str">
        <f t="shared" si="197"/>
        <v/>
      </c>
    </row>
    <row r="1423" spans="1:11" x14ac:dyDescent="0.3">
      <c r="A1423" s="1">
        <v>27</v>
      </c>
      <c r="B1423" s="1">
        <v>28</v>
      </c>
      <c r="C1423" s="12">
        <f t="shared" si="189"/>
        <v>0.14999999999999991</v>
      </c>
      <c r="D1423" s="12">
        <f t="shared" si="190"/>
        <v>0.22500000000000009</v>
      </c>
      <c r="E1423" s="12">
        <f t="shared" si="191"/>
        <v>11.067065144888888</v>
      </c>
      <c r="F1423" s="12">
        <f t="shared" si="192"/>
        <v>11.067065144888888</v>
      </c>
      <c r="G1423" s="12">
        <f t="shared" si="193"/>
        <v>14.49707335111111</v>
      </c>
      <c r="H1423" s="12">
        <f t="shared" si="194"/>
        <v>14.49707335111111</v>
      </c>
      <c r="I1423" s="1" t="str">
        <f t="shared" si="195"/>
        <v>No</v>
      </c>
      <c r="J1423" s="1" t="str">
        <f t="shared" si="196"/>
        <v>Si</v>
      </c>
      <c r="K1423" s="1" t="str">
        <f t="shared" si="197"/>
        <v/>
      </c>
    </row>
    <row r="1424" spans="1:11" x14ac:dyDescent="0.3">
      <c r="A1424" s="1">
        <v>27</v>
      </c>
      <c r="B1424" s="1">
        <v>29</v>
      </c>
      <c r="C1424" s="12">
        <f t="shared" si="189"/>
        <v>0.14999999999999991</v>
      </c>
      <c r="D1424" s="12">
        <f t="shared" si="190"/>
        <v>0.29999999999999982</v>
      </c>
      <c r="E1424" s="12">
        <f t="shared" si="191"/>
        <v>11.064577052444443</v>
      </c>
      <c r="F1424" s="12">
        <f t="shared" si="192"/>
        <v>11.064577052444443</v>
      </c>
      <c r="G1424" s="12">
        <f t="shared" si="193"/>
        <v>14.493568995555554</v>
      </c>
      <c r="H1424" s="12">
        <f t="shared" si="194"/>
        <v>14.493568995555554</v>
      </c>
      <c r="I1424" s="1" t="str">
        <f t="shared" si="195"/>
        <v>No</v>
      </c>
      <c r="J1424" s="1" t="str">
        <f t="shared" si="196"/>
        <v>Si</v>
      </c>
      <c r="K1424" s="1" t="str">
        <f t="shared" si="197"/>
        <v/>
      </c>
    </row>
    <row r="1425" spans="1:11" x14ac:dyDescent="0.3">
      <c r="A1425" s="1">
        <v>27</v>
      </c>
      <c r="B1425" s="1">
        <v>30</v>
      </c>
      <c r="C1425" s="12">
        <f t="shared" si="189"/>
        <v>0.14999999999999991</v>
      </c>
      <c r="D1425" s="12">
        <f t="shared" si="190"/>
        <v>0.375</v>
      </c>
      <c r="E1425" s="12">
        <f t="shared" si="191"/>
        <v>11.062088959999999</v>
      </c>
      <c r="F1425" s="12">
        <f t="shared" si="192"/>
        <v>11.062088959999999</v>
      </c>
      <c r="G1425" s="12">
        <f t="shared" si="193"/>
        <v>14.490064639999998</v>
      </c>
      <c r="H1425" s="12">
        <f t="shared" si="194"/>
        <v>14.490064639999998</v>
      </c>
      <c r="I1425" s="1" t="str">
        <f t="shared" si="195"/>
        <v>No</v>
      </c>
      <c r="J1425" s="1" t="str">
        <f t="shared" si="196"/>
        <v>Si</v>
      </c>
      <c r="K1425" s="1" t="str">
        <f t="shared" si="197"/>
        <v/>
      </c>
    </row>
    <row r="1426" spans="1:11" x14ac:dyDescent="0.3">
      <c r="A1426" s="1">
        <v>27</v>
      </c>
      <c r="B1426" s="1">
        <v>31</v>
      </c>
      <c r="C1426" s="12">
        <f t="shared" ref="C1426:C1489" si="198">IF(OR(A1426&gt;inp_n_div_x,B1426&gt;inp_n_div_y),"",-inp_bx/2+A1426*inp_bx/inp_n_div_x)</f>
        <v>0.14999999999999991</v>
      </c>
      <c r="D1426" s="12">
        <f t="shared" ref="D1426:D1489" si="199">IF(C1426="","",-inp_by/2+B1426*inp_by/inp_n_div_y)</f>
        <v>0.45000000000000018</v>
      </c>
      <c r="E1426" s="12">
        <f t="shared" ref="E1426:E1489" si="200">IF(C1426="","",res_srv_p_tot/geo_area+res_srv_mx_tot/geo_ix*D1426+res_srv_my_tot/geo_iy*C1426)</f>
        <v>11.059600867555554</v>
      </c>
      <c r="F1426" s="12">
        <f t="shared" ref="F1426:F1489" si="201">IF(E1426="","",MAX(0,E1426))</f>
        <v>11.059600867555554</v>
      </c>
      <c r="G1426" s="12">
        <f t="shared" ref="G1426:G1489" si="202">IF(C1426="","",res_u_p_tot/geo_area+res_u_mx_tot/geo_ix*D1426+res_u_my_tot/geo_iy*C1426)</f>
        <v>14.486560284444444</v>
      </c>
      <c r="H1426" s="12">
        <f t="shared" ref="H1426:H1489" si="203">IF(G1426="","",MAX(0,G1426))</f>
        <v>14.486560284444444</v>
      </c>
      <c r="I1426" s="1" t="str">
        <f t="shared" ref="I1426:I1489" si="204">IF(C1426="","",IF(AND(C1426&gt;=inp_xc-inp_cx/2,C1426&lt;=inp_xc+inp_cx/2,D1426&gt;=inp_yc-inp_cy/2,D1426&lt;=inp_yc+inp_cy/2),"Si","No"))</f>
        <v>No</v>
      </c>
      <c r="J1426" s="1" t="str">
        <f t="shared" ref="J1426:J1489" si="205">IF(C1426="","","Si")</f>
        <v>Si</v>
      </c>
      <c r="K1426" s="1" t="str">
        <f t="shared" ref="K1426:K1489" si="206">IF(OR(E1426&lt;0,G1426&lt;0),"Presion negativa","")</f>
        <v/>
      </c>
    </row>
    <row r="1427" spans="1:11" x14ac:dyDescent="0.3">
      <c r="A1427" s="1">
        <v>27</v>
      </c>
      <c r="B1427" s="1">
        <v>32</v>
      </c>
      <c r="C1427" s="12">
        <f t="shared" si="198"/>
        <v>0.14999999999999991</v>
      </c>
      <c r="D1427" s="12">
        <f t="shared" si="199"/>
        <v>0.52499999999999991</v>
      </c>
      <c r="E1427" s="12">
        <f t="shared" si="200"/>
        <v>11.057112775111111</v>
      </c>
      <c r="F1427" s="12">
        <f t="shared" si="201"/>
        <v>11.057112775111111</v>
      </c>
      <c r="G1427" s="12">
        <f t="shared" si="202"/>
        <v>14.483055928888888</v>
      </c>
      <c r="H1427" s="12">
        <f t="shared" si="203"/>
        <v>14.483055928888888</v>
      </c>
      <c r="I1427" s="1" t="str">
        <f t="shared" si="204"/>
        <v>No</v>
      </c>
      <c r="J1427" s="1" t="str">
        <f t="shared" si="205"/>
        <v>Si</v>
      </c>
      <c r="K1427" s="1" t="str">
        <f t="shared" si="206"/>
        <v/>
      </c>
    </row>
    <row r="1428" spans="1:11" x14ac:dyDescent="0.3">
      <c r="A1428" s="1">
        <v>27</v>
      </c>
      <c r="B1428" s="1">
        <v>33</v>
      </c>
      <c r="C1428" s="12">
        <f t="shared" si="198"/>
        <v>0.14999999999999991</v>
      </c>
      <c r="D1428" s="12">
        <f t="shared" si="199"/>
        <v>0.60000000000000009</v>
      </c>
      <c r="E1428" s="12">
        <f t="shared" si="200"/>
        <v>11.054624682666667</v>
      </c>
      <c r="F1428" s="12">
        <f t="shared" si="201"/>
        <v>11.054624682666667</v>
      </c>
      <c r="G1428" s="12">
        <f t="shared" si="202"/>
        <v>14.479551573333332</v>
      </c>
      <c r="H1428" s="12">
        <f t="shared" si="203"/>
        <v>14.479551573333332</v>
      </c>
      <c r="I1428" s="1" t="str">
        <f t="shared" si="204"/>
        <v>No</v>
      </c>
      <c r="J1428" s="1" t="str">
        <f t="shared" si="205"/>
        <v>Si</v>
      </c>
      <c r="K1428" s="1" t="str">
        <f t="shared" si="206"/>
        <v/>
      </c>
    </row>
    <row r="1429" spans="1:11" x14ac:dyDescent="0.3">
      <c r="A1429" s="1">
        <v>27</v>
      </c>
      <c r="B1429" s="1">
        <v>34</v>
      </c>
      <c r="C1429" s="12">
        <f t="shared" si="198"/>
        <v>0.14999999999999991</v>
      </c>
      <c r="D1429" s="12">
        <f t="shared" si="199"/>
        <v>0.67499999999999982</v>
      </c>
      <c r="E1429" s="12">
        <f t="shared" si="200"/>
        <v>11.052136590222222</v>
      </c>
      <c r="F1429" s="12">
        <f t="shared" si="201"/>
        <v>11.052136590222222</v>
      </c>
      <c r="G1429" s="12">
        <f t="shared" si="202"/>
        <v>14.476047217777777</v>
      </c>
      <c r="H1429" s="12">
        <f t="shared" si="203"/>
        <v>14.476047217777777</v>
      </c>
      <c r="I1429" s="1" t="str">
        <f t="shared" si="204"/>
        <v>No</v>
      </c>
      <c r="J1429" s="1" t="str">
        <f t="shared" si="205"/>
        <v>Si</v>
      </c>
      <c r="K1429" s="1" t="str">
        <f t="shared" si="206"/>
        <v/>
      </c>
    </row>
    <row r="1430" spans="1:11" x14ac:dyDescent="0.3">
      <c r="A1430" s="1">
        <v>27</v>
      </c>
      <c r="B1430" s="1">
        <v>35</v>
      </c>
      <c r="C1430" s="12">
        <f t="shared" si="198"/>
        <v>0.14999999999999991</v>
      </c>
      <c r="D1430" s="12">
        <f t="shared" si="199"/>
        <v>0.75</v>
      </c>
      <c r="E1430" s="12">
        <f t="shared" si="200"/>
        <v>11.049648497777778</v>
      </c>
      <c r="F1430" s="12">
        <f t="shared" si="201"/>
        <v>11.049648497777778</v>
      </c>
      <c r="G1430" s="12">
        <f t="shared" si="202"/>
        <v>14.472542862222221</v>
      </c>
      <c r="H1430" s="12">
        <f t="shared" si="203"/>
        <v>14.472542862222221</v>
      </c>
      <c r="I1430" s="1" t="str">
        <f t="shared" si="204"/>
        <v>No</v>
      </c>
      <c r="J1430" s="1" t="str">
        <f t="shared" si="205"/>
        <v>Si</v>
      </c>
      <c r="K1430" s="1" t="str">
        <f t="shared" si="206"/>
        <v/>
      </c>
    </row>
    <row r="1431" spans="1:11" x14ac:dyDescent="0.3">
      <c r="A1431" s="1">
        <v>27</v>
      </c>
      <c r="B1431" s="1">
        <v>36</v>
      </c>
      <c r="C1431" s="12">
        <f t="shared" si="198"/>
        <v>0.14999999999999991</v>
      </c>
      <c r="D1431" s="12">
        <f t="shared" si="199"/>
        <v>0.82500000000000018</v>
      </c>
      <c r="E1431" s="12">
        <f t="shared" si="200"/>
        <v>11.047160405333333</v>
      </c>
      <c r="F1431" s="12">
        <f t="shared" si="201"/>
        <v>11.047160405333333</v>
      </c>
      <c r="G1431" s="12">
        <f t="shared" si="202"/>
        <v>14.469038506666665</v>
      </c>
      <c r="H1431" s="12">
        <f t="shared" si="203"/>
        <v>14.469038506666665</v>
      </c>
      <c r="I1431" s="1" t="str">
        <f t="shared" si="204"/>
        <v>No</v>
      </c>
      <c r="J1431" s="1" t="str">
        <f t="shared" si="205"/>
        <v>Si</v>
      </c>
      <c r="K1431" s="1" t="str">
        <f t="shared" si="206"/>
        <v/>
      </c>
    </row>
    <row r="1432" spans="1:11" x14ac:dyDescent="0.3">
      <c r="A1432" s="1">
        <v>27</v>
      </c>
      <c r="B1432" s="1">
        <v>37</v>
      </c>
      <c r="C1432" s="12">
        <f t="shared" si="198"/>
        <v>0.14999999999999991</v>
      </c>
      <c r="D1432" s="12">
        <f t="shared" si="199"/>
        <v>0.89999999999999991</v>
      </c>
      <c r="E1432" s="12">
        <f t="shared" si="200"/>
        <v>11.044672312888888</v>
      </c>
      <c r="F1432" s="12">
        <f t="shared" si="201"/>
        <v>11.044672312888888</v>
      </c>
      <c r="G1432" s="12">
        <f t="shared" si="202"/>
        <v>14.465534151111109</v>
      </c>
      <c r="H1432" s="12">
        <f t="shared" si="203"/>
        <v>14.465534151111109</v>
      </c>
      <c r="I1432" s="1" t="str">
        <f t="shared" si="204"/>
        <v>No</v>
      </c>
      <c r="J1432" s="1" t="str">
        <f t="shared" si="205"/>
        <v>Si</v>
      </c>
      <c r="K1432" s="1" t="str">
        <f t="shared" si="206"/>
        <v/>
      </c>
    </row>
    <row r="1433" spans="1:11" x14ac:dyDescent="0.3">
      <c r="A1433" s="1">
        <v>27</v>
      </c>
      <c r="B1433" s="1">
        <v>38</v>
      </c>
      <c r="C1433" s="12">
        <f t="shared" si="198"/>
        <v>0.14999999999999991</v>
      </c>
      <c r="D1433" s="12">
        <f t="shared" si="199"/>
        <v>0.97500000000000009</v>
      </c>
      <c r="E1433" s="12">
        <f t="shared" si="200"/>
        <v>11.042184220444444</v>
      </c>
      <c r="F1433" s="12">
        <f t="shared" si="201"/>
        <v>11.042184220444444</v>
      </c>
      <c r="G1433" s="12">
        <f t="shared" si="202"/>
        <v>14.462029795555555</v>
      </c>
      <c r="H1433" s="12">
        <f t="shared" si="203"/>
        <v>14.462029795555555</v>
      </c>
      <c r="I1433" s="1" t="str">
        <f t="shared" si="204"/>
        <v>No</v>
      </c>
      <c r="J1433" s="1" t="str">
        <f t="shared" si="205"/>
        <v>Si</v>
      </c>
      <c r="K1433" s="1" t="str">
        <f t="shared" si="206"/>
        <v/>
      </c>
    </row>
    <row r="1434" spans="1:11" x14ac:dyDescent="0.3">
      <c r="A1434" s="1">
        <v>27</v>
      </c>
      <c r="B1434" s="1">
        <v>39</v>
      </c>
      <c r="C1434" s="12">
        <f t="shared" si="198"/>
        <v>0.14999999999999991</v>
      </c>
      <c r="D1434" s="12">
        <f t="shared" si="199"/>
        <v>1.0499999999999998</v>
      </c>
      <c r="E1434" s="12">
        <f t="shared" si="200"/>
        <v>11.039696127999999</v>
      </c>
      <c r="F1434" s="12">
        <f t="shared" si="201"/>
        <v>11.039696127999999</v>
      </c>
      <c r="G1434" s="12">
        <f t="shared" si="202"/>
        <v>14.458525439999999</v>
      </c>
      <c r="H1434" s="12">
        <f t="shared" si="203"/>
        <v>14.458525439999999</v>
      </c>
      <c r="I1434" s="1" t="str">
        <f t="shared" si="204"/>
        <v>No</v>
      </c>
      <c r="J1434" s="1" t="str">
        <f t="shared" si="205"/>
        <v>Si</v>
      </c>
      <c r="K1434" s="1" t="str">
        <f t="shared" si="206"/>
        <v/>
      </c>
    </row>
    <row r="1435" spans="1:11" x14ac:dyDescent="0.3">
      <c r="A1435" s="1">
        <v>27</v>
      </c>
      <c r="B1435" s="1">
        <v>40</v>
      </c>
      <c r="C1435" s="12">
        <f t="shared" si="198"/>
        <v>0.14999999999999991</v>
      </c>
      <c r="D1435" s="12">
        <f t="shared" si="199"/>
        <v>1.125</v>
      </c>
      <c r="E1435" s="12">
        <f t="shared" si="200"/>
        <v>11.037208035555555</v>
      </c>
      <c r="F1435" s="12">
        <f t="shared" si="201"/>
        <v>11.037208035555555</v>
      </c>
      <c r="G1435" s="12">
        <f t="shared" si="202"/>
        <v>14.455021084444443</v>
      </c>
      <c r="H1435" s="12">
        <f t="shared" si="203"/>
        <v>14.455021084444443</v>
      </c>
      <c r="I1435" s="1" t="str">
        <f t="shared" si="204"/>
        <v>No</v>
      </c>
      <c r="J1435" s="1" t="str">
        <f t="shared" si="205"/>
        <v>Si</v>
      </c>
      <c r="K1435" s="1" t="str">
        <f t="shared" si="206"/>
        <v/>
      </c>
    </row>
    <row r="1436" spans="1:11" x14ac:dyDescent="0.3">
      <c r="A1436" s="1">
        <v>27</v>
      </c>
      <c r="B1436" s="1">
        <v>41</v>
      </c>
      <c r="C1436" s="12">
        <f t="shared" si="198"/>
        <v>0.14999999999999991</v>
      </c>
      <c r="D1436" s="12">
        <f t="shared" si="199"/>
        <v>1.2000000000000002</v>
      </c>
      <c r="E1436" s="12">
        <f t="shared" si="200"/>
        <v>11.03471994311111</v>
      </c>
      <c r="F1436" s="12">
        <f t="shared" si="201"/>
        <v>11.03471994311111</v>
      </c>
      <c r="G1436" s="12">
        <f t="shared" si="202"/>
        <v>14.451516728888889</v>
      </c>
      <c r="H1436" s="12">
        <f t="shared" si="203"/>
        <v>14.451516728888889</v>
      </c>
      <c r="I1436" s="1" t="str">
        <f t="shared" si="204"/>
        <v>No</v>
      </c>
      <c r="J1436" s="1" t="str">
        <f t="shared" si="205"/>
        <v>Si</v>
      </c>
      <c r="K1436" s="1" t="str">
        <f t="shared" si="206"/>
        <v/>
      </c>
    </row>
    <row r="1437" spans="1:11" x14ac:dyDescent="0.3">
      <c r="A1437" s="1">
        <v>27</v>
      </c>
      <c r="B1437" s="1">
        <v>42</v>
      </c>
      <c r="C1437" s="12">
        <f t="shared" si="198"/>
        <v>0.14999999999999991</v>
      </c>
      <c r="D1437" s="12">
        <f t="shared" si="199"/>
        <v>1.2749999999999999</v>
      </c>
      <c r="E1437" s="12">
        <f t="shared" si="200"/>
        <v>11.032231850666665</v>
      </c>
      <c r="F1437" s="12">
        <f t="shared" si="201"/>
        <v>11.032231850666665</v>
      </c>
      <c r="G1437" s="12">
        <f t="shared" si="202"/>
        <v>14.448012373333333</v>
      </c>
      <c r="H1437" s="12">
        <f t="shared" si="203"/>
        <v>14.448012373333333</v>
      </c>
      <c r="I1437" s="1" t="str">
        <f t="shared" si="204"/>
        <v>No</v>
      </c>
      <c r="J1437" s="1" t="str">
        <f t="shared" si="205"/>
        <v>Si</v>
      </c>
      <c r="K1437" s="1" t="str">
        <f t="shared" si="206"/>
        <v/>
      </c>
    </row>
    <row r="1438" spans="1:11" x14ac:dyDescent="0.3">
      <c r="A1438" s="1">
        <v>27</v>
      </c>
      <c r="B1438" s="1">
        <v>43</v>
      </c>
      <c r="C1438" s="12">
        <f t="shared" si="198"/>
        <v>0.14999999999999991</v>
      </c>
      <c r="D1438" s="12">
        <f t="shared" si="199"/>
        <v>1.35</v>
      </c>
      <c r="E1438" s="12">
        <f t="shared" si="200"/>
        <v>11.029743758222221</v>
      </c>
      <c r="F1438" s="12">
        <f t="shared" si="201"/>
        <v>11.029743758222221</v>
      </c>
      <c r="G1438" s="12">
        <f t="shared" si="202"/>
        <v>14.444508017777776</v>
      </c>
      <c r="H1438" s="12">
        <f t="shared" si="203"/>
        <v>14.444508017777776</v>
      </c>
      <c r="I1438" s="1" t="str">
        <f t="shared" si="204"/>
        <v>No</v>
      </c>
      <c r="J1438" s="1" t="str">
        <f t="shared" si="205"/>
        <v>Si</v>
      </c>
      <c r="K1438" s="1" t="str">
        <f t="shared" si="206"/>
        <v/>
      </c>
    </row>
    <row r="1439" spans="1:11" x14ac:dyDescent="0.3">
      <c r="A1439" s="1">
        <v>27</v>
      </c>
      <c r="B1439" s="1">
        <v>44</v>
      </c>
      <c r="C1439" s="12">
        <f t="shared" si="198"/>
        <v>0.14999999999999991</v>
      </c>
      <c r="D1439" s="12">
        <f t="shared" si="199"/>
        <v>1.4249999999999998</v>
      </c>
      <c r="E1439" s="12">
        <f t="shared" si="200"/>
        <v>11.027255665777778</v>
      </c>
      <c r="F1439" s="12">
        <f t="shared" si="201"/>
        <v>11.027255665777778</v>
      </c>
      <c r="G1439" s="12">
        <f t="shared" si="202"/>
        <v>14.44100366222222</v>
      </c>
      <c r="H1439" s="12">
        <f t="shared" si="203"/>
        <v>14.44100366222222</v>
      </c>
      <c r="I1439" s="1" t="str">
        <f t="shared" si="204"/>
        <v>No</v>
      </c>
      <c r="J1439" s="1" t="str">
        <f t="shared" si="205"/>
        <v>Si</v>
      </c>
      <c r="K1439" s="1" t="str">
        <f t="shared" si="206"/>
        <v/>
      </c>
    </row>
    <row r="1440" spans="1:11" x14ac:dyDescent="0.3">
      <c r="A1440" s="1">
        <v>27</v>
      </c>
      <c r="B1440" s="1">
        <v>45</v>
      </c>
      <c r="C1440" s="12">
        <f t="shared" si="198"/>
        <v>0.14999999999999991</v>
      </c>
      <c r="D1440" s="12">
        <f t="shared" si="199"/>
        <v>1.5</v>
      </c>
      <c r="E1440" s="12">
        <f t="shared" si="200"/>
        <v>11.024767573333333</v>
      </c>
      <c r="F1440" s="12">
        <f t="shared" si="201"/>
        <v>11.024767573333333</v>
      </c>
      <c r="G1440" s="12">
        <f t="shared" si="202"/>
        <v>14.437499306666666</v>
      </c>
      <c r="H1440" s="12">
        <f t="shared" si="203"/>
        <v>14.437499306666666</v>
      </c>
      <c r="I1440" s="1" t="str">
        <f t="shared" si="204"/>
        <v>No</v>
      </c>
      <c r="J1440" s="1" t="str">
        <f t="shared" si="205"/>
        <v>Si</v>
      </c>
      <c r="K1440" s="1" t="str">
        <f t="shared" si="206"/>
        <v/>
      </c>
    </row>
    <row r="1441" spans="1:11" x14ac:dyDescent="0.3">
      <c r="A1441" s="1">
        <v>27</v>
      </c>
      <c r="B1441" s="1">
        <v>46</v>
      </c>
      <c r="C1441" s="12">
        <f t="shared" si="198"/>
        <v>0.14999999999999991</v>
      </c>
      <c r="D1441" s="12">
        <f t="shared" si="199"/>
        <v>1.5750000000000002</v>
      </c>
      <c r="E1441" s="12">
        <f t="shared" si="200"/>
        <v>11.022279480888889</v>
      </c>
      <c r="F1441" s="12">
        <f t="shared" si="201"/>
        <v>11.022279480888889</v>
      </c>
      <c r="G1441" s="12">
        <f t="shared" si="202"/>
        <v>14.43399495111111</v>
      </c>
      <c r="H1441" s="12">
        <f t="shared" si="203"/>
        <v>14.43399495111111</v>
      </c>
      <c r="I1441" s="1" t="str">
        <f t="shared" si="204"/>
        <v>No</v>
      </c>
      <c r="J1441" s="1" t="str">
        <f t="shared" si="205"/>
        <v>Si</v>
      </c>
      <c r="K1441" s="1" t="str">
        <f t="shared" si="206"/>
        <v/>
      </c>
    </row>
    <row r="1442" spans="1:11" x14ac:dyDescent="0.3">
      <c r="A1442" s="1">
        <v>27</v>
      </c>
      <c r="B1442" s="1">
        <v>47</v>
      </c>
      <c r="C1442" s="12">
        <f t="shared" si="198"/>
        <v>0.14999999999999991</v>
      </c>
      <c r="D1442" s="12">
        <f t="shared" si="199"/>
        <v>1.65</v>
      </c>
      <c r="E1442" s="12">
        <f t="shared" si="200"/>
        <v>11.019791388444444</v>
      </c>
      <c r="F1442" s="12">
        <f t="shared" si="201"/>
        <v>11.019791388444444</v>
      </c>
      <c r="G1442" s="12">
        <f t="shared" si="202"/>
        <v>14.430490595555554</v>
      </c>
      <c r="H1442" s="12">
        <f t="shared" si="203"/>
        <v>14.430490595555554</v>
      </c>
      <c r="I1442" s="1" t="str">
        <f t="shared" si="204"/>
        <v>No</v>
      </c>
      <c r="J1442" s="1" t="str">
        <f t="shared" si="205"/>
        <v>Si</v>
      </c>
      <c r="K1442" s="1" t="str">
        <f t="shared" si="206"/>
        <v/>
      </c>
    </row>
    <row r="1443" spans="1:11" x14ac:dyDescent="0.3">
      <c r="A1443" s="1">
        <v>27</v>
      </c>
      <c r="B1443" s="1">
        <v>48</v>
      </c>
      <c r="C1443" s="12">
        <f t="shared" si="198"/>
        <v>0.14999999999999991</v>
      </c>
      <c r="D1443" s="12">
        <f t="shared" si="199"/>
        <v>1.7250000000000001</v>
      </c>
      <c r="E1443" s="12">
        <f t="shared" si="200"/>
        <v>11.017303296</v>
      </c>
      <c r="F1443" s="12">
        <f t="shared" si="201"/>
        <v>11.017303296</v>
      </c>
      <c r="G1443" s="12">
        <f t="shared" si="202"/>
        <v>14.42698624</v>
      </c>
      <c r="H1443" s="12">
        <f t="shared" si="203"/>
        <v>14.42698624</v>
      </c>
      <c r="I1443" s="1" t="str">
        <f t="shared" si="204"/>
        <v>No</v>
      </c>
      <c r="J1443" s="1" t="str">
        <f t="shared" si="205"/>
        <v>Si</v>
      </c>
      <c r="K1443" s="1" t="str">
        <f t="shared" si="206"/>
        <v/>
      </c>
    </row>
    <row r="1444" spans="1:11" x14ac:dyDescent="0.3">
      <c r="A1444" s="1">
        <v>27</v>
      </c>
      <c r="B1444" s="1">
        <v>49</v>
      </c>
      <c r="C1444" s="12">
        <f t="shared" si="198"/>
        <v>0.14999999999999991</v>
      </c>
      <c r="D1444" s="12">
        <f t="shared" si="199"/>
        <v>1.7999999999999998</v>
      </c>
      <c r="E1444" s="12">
        <f t="shared" si="200"/>
        <v>11.014815203555555</v>
      </c>
      <c r="F1444" s="12">
        <f t="shared" si="201"/>
        <v>11.014815203555555</v>
      </c>
      <c r="G1444" s="12">
        <f t="shared" si="202"/>
        <v>14.423481884444444</v>
      </c>
      <c r="H1444" s="12">
        <f t="shared" si="203"/>
        <v>14.423481884444444</v>
      </c>
      <c r="I1444" s="1" t="str">
        <f t="shared" si="204"/>
        <v>No</v>
      </c>
      <c r="J1444" s="1" t="str">
        <f t="shared" si="205"/>
        <v>Si</v>
      </c>
      <c r="K1444" s="1" t="str">
        <f t="shared" si="206"/>
        <v/>
      </c>
    </row>
    <row r="1445" spans="1:11" x14ac:dyDescent="0.3">
      <c r="A1445" s="1">
        <v>27</v>
      </c>
      <c r="B1445" s="1">
        <v>50</v>
      </c>
      <c r="C1445" s="12">
        <f t="shared" si="198"/>
        <v>0.14999999999999991</v>
      </c>
      <c r="D1445" s="12">
        <f t="shared" si="199"/>
        <v>1.875</v>
      </c>
      <c r="E1445" s="12">
        <f t="shared" si="200"/>
        <v>11.012327111111111</v>
      </c>
      <c r="F1445" s="12">
        <f t="shared" si="201"/>
        <v>11.012327111111111</v>
      </c>
      <c r="G1445" s="12">
        <f t="shared" si="202"/>
        <v>14.419977528888888</v>
      </c>
      <c r="H1445" s="12">
        <f t="shared" si="203"/>
        <v>14.419977528888888</v>
      </c>
      <c r="I1445" s="1" t="str">
        <f t="shared" si="204"/>
        <v>No</v>
      </c>
      <c r="J1445" s="1" t="str">
        <f t="shared" si="205"/>
        <v>Si</v>
      </c>
      <c r="K1445" s="1" t="str">
        <f t="shared" si="206"/>
        <v/>
      </c>
    </row>
    <row r="1446" spans="1:11" x14ac:dyDescent="0.3">
      <c r="A1446" s="1">
        <v>28</v>
      </c>
      <c r="B1446" s="1">
        <v>0</v>
      </c>
      <c r="C1446" s="12">
        <f t="shared" si="198"/>
        <v>0.22500000000000009</v>
      </c>
      <c r="D1446" s="12">
        <f t="shared" si="199"/>
        <v>-1.875</v>
      </c>
      <c r="E1446" s="12">
        <f t="shared" si="200"/>
        <v>11.137425777777777</v>
      </c>
      <c r="F1446" s="12">
        <f t="shared" si="201"/>
        <v>11.137425777777777</v>
      </c>
      <c r="G1446" s="12">
        <f t="shared" si="202"/>
        <v>14.596232959999998</v>
      </c>
      <c r="H1446" s="12">
        <f t="shared" si="203"/>
        <v>14.596232959999998</v>
      </c>
      <c r="I1446" s="1" t="str">
        <f t="shared" si="204"/>
        <v>No</v>
      </c>
      <c r="J1446" s="1" t="str">
        <f t="shared" si="205"/>
        <v>Si</v>
      </c>
      <c r="K1446" s="1" t="str">
        <f t="shared" si="206"/>
        <v/>
      </c>
    </row>
    <row r="1447" spans="1:11" x14ac:dyDescent="0.3">
      <c r="A1447" s="1">
        <v>28</v>
      </c>
      <c r="B1447" s="1">
        <v>1</v>
      </c>
      <c r="C1447" s="12">
        <f t="shared" si="198"/>
        <v>0.22500000000000009</v>
      </c>
      <c r="D1447" s="12">
        <f t="shared" si="199"/>
        <v>-1.8</v>
      </c>
      <c r="E1447" s="12">
        <f t="shared" si="200"/>
        <v>11.134937685333332</v>
      </c>
      <c r="F1447" s="12">
        <f t="shared" si="201"/>
        <v>11.134937685333332</v>
      </c>
      <c r="G1447" s="12">
        <f t="shared" si="202"/>
        <v>14.592728604444442</v>
      </c>
      <c r="H1447" s="12">
        <f t="shared" si="203"/>
        <v>14.592728604444442</v>
      </c>
      <c r="I1447" s="1" t="str">
        <f t="shared" si="204"/>
        <v>No</v>
      </c>
      <c r="J1447" s="1" t="str">
        <f t="shared" si="205"/>
        <v>Si</v>
      </c>
      <c r="K1447" s="1" t="str">
        <f t="shared" si="206"/>
        <v/>
      </c>
    </row>
    <row r="1448" spans="1:11" x14ac:dyDescent="0.3">
      <c r="A1448" s="1">
        <v>28</v>
      </c>
      <c r="B1448" s="1">
        <v>2</v>
      </c>
      <c r="C1448" s="12">
        <f t="shared" si="198"/>
        <v>0.22500000000000009</v>
      </c>
      <c r="D1448" s="12">
        <f t="shared" si="199"/>
        <v>-1.7250000000000001</v>
      </c>
      <c r="E1448" s="12">
        <f t="shared" si="200"/>
        <v>11.132449592888888</v>
      </c>
      <c r="F1448" s="12">
        <f t="shared" si="201"/>
        <v>11.132449592888888</v>
      </c>
      <c r="G1448" s="12">
        <f t="shared" si="202"/>
        <v>14.589224248888886</v>
      </c>
      <c r="H1448" s="12">
        <f t="shared" si="203"/>
        <v>14.589224248888886</v>
      </c>
      <c r="I1448" s="1" t="str">
        <f t="shared" si="204"/>
        <v>No</v>
      </c>
      <c r="J1448" s="1" t="str">
        <f t="shared" si="205"/>
        <v>Si</v>
      </c>
      <c r="K1448" s="1" t="str">
        <f t="shared" si="206"/>
        <v/>
      </c>
    </row>
    <row r="1449" spans="1:11" x14ac:dyDescent="0.3">
      <c r="A1449" s="1">
        <v>28</v>
      </c>
      <c r="B1449" s="1">
        <v>3</v>
      </c>
      <c r="C1449" s="12">
        <f t="shared" si="198"/>
        <v>0.22500000000000009</v>
      </c>
      <c r="D1449" s="12">
        <f t="shared" si="199"/>
        <v>-1.65</v>
      </c>
      <c r="E1449" s="12">
        <f t="shared" si="200"/>
        <v>11.129961500444443</v>
      </c>
      <c r="F1449" s="12">
        <f t="shared" si="201"/>
        <v>11.129961500444443</v>
      </c>
      <c r="G1449" s="12">
        <f t="shared" si="202"/>
        <v>14.585719893333332</v>
      </c>
      <c r="H1449" s="12">
        <f t="shared" si="203"/>
        <v>14.585719893333332</v>
      </c>
      <c r="I1449" s="1" t="str">
        <f t="shared" si="204"/>
        <v>No</v>
      </c>
      <c r="J1449" s="1" t="str">
        <f t="shared" si="205"/>
        <v>Si</v>
      </c>
      <c r="K1449" s="1" t="str">
        <f t="shared" si="206"/>
        <v/>
      </c>
    </row>
    <row r="1450" spans="1:11" x14ac:dyDescent="0.3">
      <c r="A1450" s="1">
        <v>28</v>
      </c>
      <c r="B1450" s="1">
        <v>4</v>
      </c>
      <c r="C1450" s="12">
        <f t="shared" si="198"/>
        <v>0.22500000000000009</v>
      </c>
      <c r="D1450" s="12">
        <f t="shared" si="199"/>
        <v>-1.575</v>
      </c>
      <c r="E1450" s="12">
        <f t="shared" si="200"/>
        <v>11.127473407999998</v>
      </c>
      <c r="F1450" s="12">
        <f t="shared" si="201"/>
        <v>11.127473407999998</v>
      </c>
      <c r="G1450" s="12">
        <f t="shared" si="202"/>
        <v>14.582215537777776</v>
      </c>
      <c r="H1450" s="12">
        <f t="shared" si="203"/>
        <v>14.582215537777776</v>
      </c>
      <c r="I1450" s="1" t="str">
        <f t="shared" si="204"/>
        <v>No</v>
      </c>
      <c r="J1450" s="1" t="str">
        <f t="shared" si="205"/>
        <v>Si</v>
      </c>
      <c r="K1450" s="1" t="str">
        <f t="shared" si="206"/>
        <v/>
      </c>
    </row>
    <row r="1451" spans="1:11" x14ac:dyDescent="0.3">
      <c r="A1451" s="1">
        <v>28</v>
      </c>
      <c r="B1451" s="1">
        <v>5</v>
      </c>
      <c r="C1451" s="12">
        <f t="shared" si="198"/>
        <v>0.22500000000000009</v>
      </c>
      <c r="D1451" s="12">
        <f t="shared" si="199"/>
        <v>-1.5</v>
      </c>
      <c r="E1451" s="12">
        <f t="shared" si="200"/>
        <v>11.124985315555554</v>
      </c>
      <c r="F1451" s="12">
        <f t="shared" si="201"/>
        <v>11.124985315555554</v>
      </c>
      <c r="G1451" s="12">
        <f t="shared" si="202"/>
        <v>14.57871118222222</v>
      </c>
      <c r="H1451" s="12">
        <f t="shared" si="203"/>
        <v>14.57871118222222</v>
      </c>
      <c r="I1451" s="1" t="str">
        <f t="shared" si="204"/>
        <v>No</v>
      </c>
      <c r="J1451" s="1" t="str">
        <f t="shared" si="205"/>
        <v>Si</v>
      </c>
      <c r="K1451" s="1" t="str">
        <f t="shared" si="206"/>
        <v/>
      </c>
    </row>
    <row r="1452" spans="1:11" x14ac:dyDescent="0.3">
      <c r="A1452" s="1">
        <v>28</v>
      </c>
      <c r="B1452" s="1">
        <v>6</v>
      </c>
      <c r="C1452" s="12">
        <f t="shared" si="198"/>
        <v>0.22500000000000009</v>
      </c>
      <c r="D1452" s="12">
        <f t="shared" si="199"/>
        <v>-1.425</v>
      </c>
      <c r="E1452" s="12">
        <f t="shared" si="200"/>
        <v>11.122497223111109</v>
      </c>
      <c r="F1452" s="12">
        <f t="shared" si="201"/>
        <v>11.122497223111109</v>
      </c>
      <c r="G1452" s="12">
        <f t="shared" si="202"/>
        <v>14.575206826666665</v>
      </c>
      <c r="H1452" s="12">
        <f t="shared" si="203"/>
        <v>14.575206826666665</v>
      </c>
      <c r="I1452" s="1" t="str">
        <f t="shared" si="204"/>
        <v>No</v>
      </c>
      <c r="J1452" s="1" t="str">
        <f t="shared" si="205"/>
        <v>Si</v>
      </c>
      <c r="K1452" s="1" t="str">
        <f t="shared" si="206"/>
        <v/>
      </c>
    </row>
    <row r="1453" spans="1:11" x14ac:dyDescent="0.3">
      <c r="A1453" s="1">
        <v>28</v>
      </c>
      <c r="B1453" s="1">
        <v>7</v>
      </c>
      <c r="C1453" s="12">
        <f t="shared" si="198"/>
        <v>0.22500000000000009</v>
      </c>
      <c r="D1453" s="12">
        <f t="shared" si="199"/>
        <v>-1.35</v>
      </c>
      <c r="E1453" s="12">
        <f t="shared" si="200"/>
        <v>11.120009130666666</v>
      </c>
      <c r="F1453" s="12">
        <f t="shared" si="201"/>
        <v>11.120009130666666</v>
      </c>
      <c r="G1453" s="12">
        <f t="shared" si="202"/>
        <v>14.571702471111109</v>
      </c>
      <c r="H1453" s="12">
        <f t="shared" si="203"/>
        <v>14.571702471111109</v>
      </c>
      <c r="I1453" s="1" t="str">
        <f t="shared" si="204"/>
        <v>No</v>
      </c>
      <c r="J1453" s="1" t="str">
        <f t="shared" si="205"/>
        <v>Si</v>
      </c>
      <c r="K1453" s="1" t="str">
        <f t="shared" si="206"/>
        <v/>
      </c>
    </row>
    <row r="1454" spans="1:11" x14ac:dyDescent="0.3">
      <c r="A1454" s="1">
        <v>28</v>
      </c>
      <c r="B1454" s="1">
        <v>8</v>
      </c>
      <c r="C1454" s="12">
        <f t="shared" si="198"/>
        <v>0.22500000000000009</v>
      </c>
      <c r="D1454" s="12">
        <f t="shared" si="199"/>
        <v>-1.2749999999999999</v>
      </c>
      <c r="E1454" s="12">
        <f t="shared" si="200"/>
        <v>11.117521038222222</v>
      </c>
      <c r="F1454" s="12">
        <f t="shared" si="201"/>
        <v>11.117521038222222</v>
      </c>
      <c r="G1454" s="12">
        <f t="shared" si="202"/>
        <v>14.568198115555553</v>
      </c>
      <c r="H1454" s="12">
        <f t="shared" si="203"/>
        <v>14.568198115555553</v>
      </c>
      <c r="I1454" s="1" t="str">
        <f t="shared" si="204"/>
        <v>No</v>
      </c>
      <c r="J1454" s="1" t="str">
        <f t="shared" si="205"/>
        <v>Si</v>
      </c>
      <c r="K1454" s="1" t="str">
        <f t="shared" si="206"/>
        <v/>
      </c>
    </row>
    <row r="1455" spans="1:11" x14ac:dyDescent="0.3">
      <c r="A1455" s="1">
        <v>28</v>
      </c>
      <c r="B1455" s="1">
        <v>9</v>
      </c>
      <c r="C1455" s="12">
        <f t="shared" si="198"/>
        <v>0.22500000000000009</v>
      </c>
      <c r="D1455" s="12">
        <f t="shared" si="199"/>
        <v>-1.2</v>
      </c>
      <c r="E1455" s="12">
        <f t="shared" si="200"/>
        <v>11.115032945777777</v>
      </c>
      <c r="F1455" s="12">
        <f t="shared" si="201"/>
        <v>11.115032945777777</v>
      </c>
      <c r="G1455" s="12">
        <f t="shared" si="202"/>
        <v>14.564693759999997</v>
      </c>
      <c r="H1455" s="12">
        <f t="shared" si="203"/>
        <v>14.564693759999997</v>
      </c>
      <c r="I1455" s="1" t="str">
        <f t="shared" si="204"/>
        <v>No</v>
      </c>
      <c r="J1455" s="1" t="str">
        <f t="shared" si="205"/>
        <v>Si</v>
      </c>
      <c r="K1455" s="1" t="str">
        <f t="shared" si="206"/>
        <v/>
      </c>
    </row>
    <row r="1456" spans="1:11" x14ac:dyDescent="0.3">
      <c r="A1456" s="1">
        <v>28</v>
      </c>
      <c r="B1456" s="1">
        <v>10</v>
      </c>
      <c r="C1456" s="12">
        <f t="shared" si="198"/>
        <v>0.22500000000000009</v>
      </c>
      <c r="D1456" s="12">
        <f t="shared" si="199"/>
        <v>-1.125</v>
      </c>
      <c r="E1456" s="12">
        <f t="shared" si="200"/>
        <v>11.112544853333333</v>
      </c>
      <c r="F1456" s="12">
        <f t="shared" si="201"/>
        <v>11.112544853333333</v>
      </c>
      <c r="G1456" s="12">
        <f t="shared" si="202"/>
        <v>14.561189404444443</v>
      </c>
      <c r="H1456" s="12">
        <f t="shared" si="203"/>
        <v>14.561189404444443</v>
      </c>
      <c r="I1456" s="1" t="str">
        <f t="shared" si="204"/>
        <v>No</v>
      </c>
      <c r="J1456" s="1" t="str">
        <f t="shared" si="205"/>
        <v>Si</v>
      </c>
      <c r="K1456" s="1" t="str">
        <f t="shared" si="206"/>
        <v/>
      </c>
    </row>
    <row r="1457" spans="1:11" x14ac:dyDescent="0.3">
      <c r="A1457" s="1">
        <v>28</v>
      </c>
      <c r="B1457" s="1">
        <v>11</v>
      </c>
      <c r="C1457" s="12">
        <f t="shared" si="198"/>
        <v>0.22500000000000009</v>
      </c>
      <c r="D1457" s="12">
        <f t="shared" si="199"/>
        <v>-1.05</v>
      </c>
      <c r="E1457" s="12">
        <f t="shared" si="200"/>
        <v>11.110056760888888</v>
      </c>
      <c r="F1457" s="12">
        <f t="shared" si="201"/>
        <v>11.110056760888888</v>
      </c>
      <c r="G1457" s="12">
        <f t="shared" si="202"/>
        <v>14.557685048888887</v>
      </c>
      <c r="H1457" s="12">
        <f t="shared" si="203"/>
        <v>14.557685048888887</v>
      </c>
      <c r="I1457" s="1" t="str">
        <f t="shared" si="204"/>
        <v>No</v>
      </c>
      <c r="J1457" s="1" t="str">
        <f t="shared" si="205"/>
        <v>Si</v>
      </c>
      <c r="K1457" s="1" t="str">
        <f t="shared" si="206"/>
        <v/>
      </c>
    </row>
    <row r="1458" spans="1:11" x14ac:dyDescent="0.3">
      <c r="A1458" s="1">
        <v>28</v>
      </c>
      <c r="B1458" s="1">
        <v>12</v>
      </c>
      <c r="C1458" s="12">
        <f t="shared" si="198"/>
        <v>0.22500000000000009</v>
      </c>
      <c r="D1458" s="12">
        <f t="shared" si="199"/>
        <v>-0.97499999999999998</v>
      </c>
      <c r="E1458" s="12">
        <f t="shared" si="200"/>
        <v>11.107568668444443</v>
      </c>
      <c r="F1458" s="12">
        <f t="shared" si="201"/>
        <v>11.107568668444443</v>
      </c>
      <c r="G1458" s="12">
        <f t="shared" si="202"/>
        <v>14.554180693333331</v>
      </c>
      <c r="H1458" s="12">
        <f t="shared" si="203"/>
        <v>14.554180693333331</v>
      </c>
      <c r="I1458" s="1" t="str">
        <f t="shared" si="204"/>
        <v>No</v>
      </c>
      <c r="J1458" s="1" t="str">
        <f t="shared" si="205"/>
        <v>Si</v>
      </c>
      <c r="K1458" s="1" t="str">
        <f t="shared" si="206"/>
        <v/>
      </c>
    </row>
    <row r="1459" spans="1:11" x14ac:dyDescent="0.3">
      <c r="A1459" s="1">
        <v>28</v>
      </c>
      <c r="B1459" s="1">
        <v>13</v>
      </c>
      <c r="C1459" s="12">
        <f t="shared" si="198"/>
        <v>0.22500000000000009</v>
      </c>
      <c r="D1459" s="12">
        <f t="shared" si="199"/>
        <v>-0.9</v>
      </c>
      <c r="E1459" s="12">
        <f t="shared" si="200"/>
        <v>11.105080575999999</v>
      </c>
      <c r="F1459" s="12">
        <f t="shared" si="201"/>
        <v>11.105080575999999</v>
      </c>
      <c r="G1459" s="12">
        <f t="shared" si="202"/>
        <v>14.550676337777777</v>
      </c>
      <c r="H1459" s="12">
        <f t="shared" si="203"/>
        <v>14.550676337777777</v>
      </c>
      <c r="I1459" s="1" t="str">
        <f t="shared" si="204"/>
        <v>No</v>
      </c>
      <c r="J1459" s="1" t="str">
        <f t="shared" si="205"/>
        <v>Si</v>
      </c>
      <c r="K1459" s="1" t="str">
        <f t="shared" si="206"/>
        <v/>
      </c>
    </row>
    <row r="1460" spans="1:11" x14ac:dyDescent="0.3">
      <c r="A1460" s="1">
        <v>28</v>
      </c>
      <c r="B1460" s="1">
        <v>14</v>
      </c>
      <c r="C1460" s="12">
        <f t="shared" si="198"/>
        <v>0.22500000000000009</v>
      </c>
      <c r="D1460" s="12">
        <f t="shared" si="199"/>
        <v>-0.82499999999999996</v>
      </c>
      <c r="E1460" s="12">
        <f t="shared" si="200"/>
        <v>11.102592483555554</v>
      </c>
      <c r="F1460" s="12">
        <f t="shared" si="201"/>
        <v>11.102592483555554</v>
      </c>
      <c r="G1460" s="12">
        <f t="shared" si="202"/>
        <v>14.547171982222221</v>
      </c>
      <c r="H1460" s="12">
        <f t="shared" si="203"/>
        <v>14.547171982222221</v>
      </c>
      <c r="I1460" s="1" t="str">
        <f t="shared" si="204"/>
        <v>No</v>
      </c>
      <c r="J1460" s="1" t="str">
        <f t="shared" si="205"/>
        <v>Si</v>
      </c>
      <c r="K1460" s="1" t="str">
        <f t="shared" si="206"/>
        <v/>
      </c>
    </row>
    <row r="1461" spans="1:11" x14ac:dyDescent="0.3">
      <c r="A1461" s="1">
        <v>28</v>
      </c>
      <c r="B1461" s="1">
        <v>15</v>
      </c>
      <c r="C1461" s="12">
        <f t="shared" si="198"/>
        <v>0.22500000000000009</v>
      </c>
      <c r="D1461" s="12">
        <f t="shared" si="199"/>
        <v>-0.75</v>
      </c>
      <c r="E1461" s="12">
        <f t="shared" si="200"/>
        <v>11.10010439111111</v>
      </c>
      <c r="F1461" s="12">
        <f t="shared" si="201"/>
        <v>11.10010439111111</v>
      </c>
      <c r="G1461" s="12">
        <f t="shared" si="202"/>
        <v>14.543667626666664</v>
      </c>
      <c r="H1461" s="12">
        <f t="shared" si="203"/>
        <v>14.543667626666664</v>
      </c>
      <c r="I1461" s="1" t="str">
        <f t="shared" si="204"/>
        <v>No</v>
      </c>
      <c r="J1461" s="1" t="str">
        <f t="shared" si="205"/>
        <v>Si</v>
      </c>
      <c r="K1461" s="1" t="str">
        <f t="shared" si="206"/>
        <v/>
      </c>
    </row>
    <row r="1462" spans="1:11" x14ac:dyDescent="0.3">
      <c r="A1462" s="1">
        <v>28</v>
      </c>
      <c r="B1462" s="1">
        <v>16</v>
      </c>
      <c r="C1462" s="12">
        <f t="shared" si="198"/>
        <v>0.22500000000000009</v>
      </c>
      <c r="D1462" s="12">
        <f t="shared" si="199"/>
        <v>-0.67500000000000004</v>
      </c>
      <c r="E1462" s="12">
        <f t="shared" si="200"/>
        <v>11.097616298666665</v>
      </c>
      <c r="F1462" s="12">
        <f t="shared" si="201"/>
        <v>11.097616298666665</v>
      </c>
      <c r="G1462" s="12">
        <f t="shared" si="202"/>
        <v>14.540163271111108</v>
      </c>
      <c r="H1462" s="12">
        <f t="shared" si="203"/>
        <v>14.540163271111108</v>
      </c>
      <c r="I1462" s="1" t="str">
        <f t="shared" si="204"/>
        <v>No</v>
      </c>
      <c r="J1462" s="1" t="str">
        <f t="shared" si="205"/>
        <v>Si</v>
      </c>
      <c r="K1462" s="1" t="str">
        <f t="shared" si="206"/>
        <v/>
      </c>
    </row>
    <row r="1463" spans="1:11" x14ac:dyDescent="0.3">
      <c r="A1463" s="1">
        <v>28</v>
      </c>
      <c r="B1463" s="1">
        <v>17</v>
      </c>
      <c r="C1463" s="12">
        <f t="shared" si="198"/>
        <v>0.22500000000000009</v>
      </c>
      <c r="D1463" s="12">
        <f t="shared" si="199"/>
        <v>-0.60000000000000009</v>
      </c>
      <c r="E1463" s="12">
        <f t="shared" si="200"/>
        <v>11.095128206222221</v>
      </c>
      <c r="F1463" s="12">
        <f t="shared" si="201"/>
        <v>11.095128206222221</v>
      </c>
      <c r="G1463" s="12">
        <f t="shared" si="202"/>
        <v>14.536658915555554</v>
      </c>
      <c r="H1463" s="12">
        <f t="shared" si="203"/>
        <v>14.536658915555554</v>
      </c>
      <c r="I1463" s="1" t="str">
        <f t="shared" si="204"/>
        <v>No</v>
      </c>
      <c r="J1463" s="1" t="str">
        <f t="shared" si="205"/>
        <v>Si</v>
      </c>
      <c r="K1463" s="1" t="str">
        <f t="shared" si="206"/>
        <v/>
      </c>
    </row>
    <row r="1464" spans="1:11" x14ac:dyDescent="0.3">
      <c r="A1464" s="1">
        <v>28</v>
      </c>
      <c r="B1464" s="1">
        <v>18</v>
      </c>
      <c r="C1464" s="12">
        <f t="shared" si="198"/>
        <v>0.22500000000000009</v>
      </c>
      <c r="D1464" s="12">
        <f t="shared" si="199"/>
        <v>-0.52499999999999991</v>
      </c>
      <c r="E1464" s="12">
        <f t="shared" si="200"/>
        <v>11.092640113777776</v>
      </c>
      <c r="F1464" s="12">
        <f t="shared" si="201"/>
        <v>11.092640113777776</v>
      </c>
      <c r="G1464" s="12">
        <f t="shared" si="202"/>
        <v>14.533154559999998</v>
      </c>
      <c r="H1464" s="12">
        <f t="shared" si="203"/>
        <v>14.533154559999998</v>
      </c>
      <c r="I1464" s="1" t="str">
        <f t="shared" si="204"/>
        <v>No</v>
      </c>
      <c r="J1464" s="1" t="str">
        <f t="shared" si="205"/>
        <v>Si</v>
      </c>
      <c r="K1464" s="1" t="str">
        <f t="shared" si="206"/>
        <v/>
      </c>
    </row>
    <row r="1465" spans="1:11" x14ac:dyDescent="0.3">
      <c r="A1465" s="1">
        <v>28</v>
      </c>
      <c r="B1465" s="1">
        <v>19</v>
      </c>
      <c r="C1465" s="12">
        <f t="shared" si="198"/>
        <v>0.22500000000000009</v>
      </c>
      <c r="D1465" s="12">
        <f t="shared" si="199"/>
        <v>-0.44999999999999996</v>
      </c>
      <c r="E1465" s="12">
        <f t="shared" si="200"/>
        <v>11.090152021333333</v>
      </c>
      <c r="F1465" s="12">
        <f t="shared" si="201"/>
        <v>11.090152021333333</v>
      </c>
      <c r="G1465" s="12">
        <f t="shared" si="202"/>
        <v>14.529650204444442</v>
      </c>
      <c r="H1465" s="12">
        <f t="shared" si="203"/>
        <v>14.529650204444442</v>
      </c>
      <c r="I1465" s="1" t="str">
        <f t="shared" si="204"/>
        <v>No</v>
      </c>
      <c r="J1465" s="1" t="str">
        <f t="shared" si="205"/>
        <v>Si</v>
      </c>
      <c r="K1465" s="1" t="str">
        <f t="shared" si="206"/>
        <v/>
      </c>
    </row>
    <row r="1466" spans="1:11" x14ac:dyDescent="0.3">
      <c r="A1466" s="1">
        <v>28</v>
      </c>
      <c r="B1466" s="1">
        <v>20</v>
      </c>
      <c r="C1466" s="12">
        <f t="shared" si="198"/>
        <v>0.22500000000000009</v>
      </c>
      <c r="D1466" s="12">
        <f t="shared" si="199"/>
        <v>-0.375</v>
      </c>
      <c r="E1466" s="12">
        <f t="shared" si="200"/>
        <v>11.087663928888889</v>
      </c>
      <c r="F1466" s="12">
        <f t="shared" si="201"/>
        <v>11.087663928888889</v>
      </c>
      <c r="G1466" s="12">
        <f t="shared" si="202"/>
        <v>14.526145848888888</v>
      </c>
      <c r="H1466" s="12">
        <f t="shared" si="203"/>
        <v>14.526145848888888</v>
      </c>
      <c r="I1466" s="1" t="str">
        <f t="shared" si="204"/>
        <v>No</v>
      </c>
      <c r="J1466" s="1" t="str">
        <f t="shared" si="205"/>
        <v>Si</v>
      </c>
      <c r="K1466" s="1" t="str">
        <f t="shared" si="206"/>
        <v/>
      </c>
    </row>
    <row r="1467" spans="1:11" x14ac:dyDescent="0.3">
      <c r="A1467" s="1">
        <v>28</v>
      </c>
      <c r="B1467" s="1">
        <v>21</v>
      </c>
      <c r="C1467" s="12">
        <f t="shared" si="198"/>
        <v>0.22500000000000009</v>
      </c>
      <c r="D1467" s="12">
        <f t="shared" si="199"/>
        <v>-0.30000000000000004</v>
      </c>
      <c r="E1467" s="12">
        <f t="shared" si="200"/>
        <v>11.085175836444444</v>
      </c>
      <c r="F1467" s="12">
        <f t="shared" si="201"/>
        <v>11.085175836444444</v>
      </c>
      <c r="G1467" s="12">
        <f t="shared" si="202"/>
        <v>14.522641493333332</v>
      </c>
      <c r="H1467" s="12">
        <f t="shared" si="203"/>
        <v>14.522641493333332</v>
      </c>
      <c r="I1467" s="1" t="str">
        <f t="shared" si="204"/>
        <v>No</v>
      </c>
      <c r="J1467" s="1" t="str">
        <f t="shared" si="205"/>
        <v>Si</v>
      </c>
      <c r="K1467" s="1" t="str">
        <f t="shared" si="206"/>
        <v/>
      </c>
    </row>
    <row r="1468" spans="1:11" x14ac:dyDescent="0.3">
      <c r="A1468" s="1">
        <v>28</v>
      </c>
      <c r="B1468" s="1">
        <v>22</v>
      </c>
      <c r="C1468" s="12">
        <f t="shared" si="198"/>
        <v>0.22500000000000009</v>
      </c>
      <c r="D1468" s="12">
        <f t="shared" si="199"/>
        <v>-0.22500000000000009</v>
      </c>
      <c r="E1468" s="12">
        <f t="shared" si="200"/>
        <v>11.082687743999999</v>
      </c>
      <c r="F1468" s="12">
        <f t="shared" si="201"/>
        <v>11.082687743999999</v>
      </c>
      <c r="G1468" s="12">
        <f t="shared" si="202"/>
        <v>14.519137137777776</v>
      </c>
      <c r="H1468" s="12">
        <f t="shared" si="203"/>
        <v>14.519137137777776</v>
      </c>
      <c r="I1468" s="1" t="str">
        <f t="shared" si="204"/>
        <v>No</v>
      </c>
      <c r="J1468" s="1" t="str">
        <f t="shared" si="205"/>
        <v>Si</v>
      </c>
      <c r="K1468" s="1" t="str">
        <f t="shared" si="206"/>
        <v/>
      </c>
    </row>
    <row r="1469" spans="1:11" x14ac:dyDescent="0.3">
      <c r="A1469" s="1">
        <v>28</v>
      </c>
      <c r="B1469" s="1">
        <v>23</v>
      </c>
      <c r="C1469" s="12">
        <f t="shared" si="198"/>
        <v>0.22500000000000009</v>
      </c>
      <c r="D1469" s="12">
        <f t="shared" si="199"/>
        <v>-0.14999999999999991</v>
      </c>
      <c r="E1469" s="12">
        <f t="shared" si="200"/>
        <v>11.080199651555555</v>
      </c>
      <c r="F1469" s="12">
        <f t="shared" si="201"/>
        <v>11.080199651555555</v>
      </c>
      <c r="G1469" s="12">
        <f t="shared" si="202"/>
        <v>14.51563278222222</v>
      </c>
      <c r="H1469" s="12">
        <f t="shared" si="203"/>
        <v>14.51563278222222</v>
      </c>
      <c r="I1469" s="1" t="str">
        <f t="shared" si="204"/>
        <v>No</v>
      </c>
      <c r="J1469" s="1" t="str">
        <f t="shared" si="205"/>
        <v>Si</v>
      </c>
      <c r="K1469" s="1" t="str">
        <f t="shared" si="206"/>
        <v/>
      </c>
    </row>
    <row r="1470" spans="1:11" x14ac:dyDescent="0.3">
      <c r="A1470" s="1">
        <v>28</v>
      </c>
      <c r="B1470" s="1">
        <v>24</v>
      </c>
      <c r="C1470" s="12">
        <f t="shared" si="198"/>
        <v>0.22500000000000009</v>
      </c>
      <c r="D1470" s="12">
        <f t="shared" si="199"/>
        <v>-7.4999999999999956E-2</v>
      </c>
      <c r="E1470" s="12">
        <f t="shared" si="200"/>
        <v>11.07771155911111</v>
      </c>
      <c r="F1470" s="12">
        <f t="shared" si="201"/>
        <v>11.07771155911111</v>
      </c>
      <c r="G1470" s="12">
        <f t="shared" si="202"/>
        <v>14.512128426666665</v>
      </c>
      <c r="H1470" s="12">
        <f t="shared" si="203"/>
        <v>14.512128426666665</v>
      </c>
      <c r="I1470" s="1" t="str">
        <f t="shared" si="204"/>
        <v>No</v>
      </c>
      <c r="J1470" s="1" t="str">
        <f t="shared" si="205"/>
        <v>Si</v>
      </c>
      <c r="K1470" s="1" t="str">
        <f t="shared" si="206"/>
        <v/>
      </c>
    </row>
    <row r="1471" spans="1:11" x14ac:dyDescent="0.3">
      <c r="A1471" s="1">
        <v>28</v>
      </c>
      <c r="B1471" s="1">
        <v>25</v>
      </c>
      <c r="C1471" s="12">
        <f t="shared" si="198"/>
        <v>0.22500000000000009</v>
      </c>
      <c r="D1471" s="12">
        <f t="shared" si="199"/>
        <v>0</v>
      </c>
      <c r="E1471" s="12">
        <f t="shared" si="200"/>
        <v>11.075223466666666</v>
      </c>
      <c r="F1471" s="12">
        <f t="shared" si="201"/>
        <v>11.075223466666666</v>
      </c>
      <c r="G1471" s="12">
        <f t="shared" si="202"/>
        <v>14.508624071111109</v>
      </c>
      <c r="H1471" s="12">
        <f t="shared" si="203"/>
        <v>14.508624071111109</v>
      </c>
      <c r="I1471" s="1" t="str">
        <f t="shared" si="204"/>
        <v>No</v>
      </c>
      <c r="J1471" s="1" t="str">
        <f t="shared" si="205"/>
        <v>Si</v>
      </c>
      <c r="K1471" s="1" t="str">
        <f t="shared" si="206"/>
        <v/>
      </c>
    </row>
    <row r="1472" spans="1:11" x14ac:dyDescent="0.3">
      <c r="A1472" s="1">
        <v>28</v>
      </c>
      <c r="B1472" s="1">
        <v>26</v>
      </c>
      <c r="C1472" s="12">
        <f t="shared" si="198"/>
        <v>0.22500000000000009</v>
      </c>
      <c r="D1472" s="12">
        <f t="shared" si="199"/>
        <v>7.4999999999999956E-2</v>
      </c>
      <c r="E1472" s="12">
        <f t="shared" si="200"/>
        <v>11.072735374222221</v>
      </c>
      <c r="F1472" s="12">
        <f t="shared" si="201"/>
        <v>11.072735374222221</v>
      </c>
      <c r="G1472" s="12">
        <f t="shared" si="202"/>
        <v>14.505119715555553</v>
      </c>
      <c r="H1472" s="12">
        <f t="shared" si="203"/>
        <v>14.505119715555553</v>
      </c>
      <c r="I1472" s="1" t="str">
        <f t="shared" si="204"/>
        <v>No</v>
      </c>
      <c r="J1472" s="1" t="str">
        <f t="shared" si="205"/>
        <v>Si</v>
      </c>
      <c r="K1472" s="1" t="str">
        <f t="shared" si="206"/>
        <v/>
      </c>
    </row>
    <row r="1473" spans="1:11" x14ac:dyDescent="0.3">
      <c r="A1473" s="1">
        <v>28</v>
      </c>
      <c r="B1473" s="1">
        <v>27</v>
      </c>
      <c r="C1473" s="12">
        <f t="shared" si="198"/>
        <v>0.22500000000000009</v>
      </c>
      <c r="D1473" s="12">
        <f t="shared" si="199"/>
        <v>0.14999999999999991</v>
      </c>
      <c r="E1473" s="12">
        <f t="shared" si="200"/>
        <v>11.070247281777776</v>
      </c>
      <c r="F1473" s="12">
        <f t="shared" si="201"/>
        <v>11.070247281777776</v>
      </c>
      <c r="G1473" s="12">
        <f t="shared" si="202"/>
        <v>14.501615359999999</v>
      </c>
      <c r="H1473" s="12">
        <f t="shared" si="203"/>
        <v>14.501615359999999</v>
      </c>
      <c r="I1473" s="1" t="str">
        <f t="shared" si="204"/>
        <v>No</v>
      </c>
      <c r="J1473" s="1" t="str">
        <f t="shared" si="205"/>
        <v>Si</v>
      </c>
      <c r="K1473" s="1" t="str">
        <f t="shared" si="206"/>
        <v/>
      </c>
    </row>
    <row r="1474" spans="1:11" x14ac:dyDescent="0.3">
      <c r="A1474" s="1">
        <v>28</v>
      </c>
      <c r="B1474" s="1">
        <v>28</v>
      </c>
      <c r="C1474" s="12">
        <f t="shared" si="198"/>
        <v>0.22500000000000009</v>
      </c>
      <c r="D1474" s="12">
        <f t="shared" si="199"/>
        <v>0.22500000000000009</v>
      </c>
      <c r="E1474" s="12">
        <f t="shared" si="200"/>
        <v>11.067759189333332</v>
      </c>
      <c r="F1474" s="12">
        <f t="shared" si="201"/>
        <v>11.067759189333332</v>
      </c>
      <c r="G1474" s="12">
        <f t="shared" si="202"/>
        <v>14.498111004444443</v>
      </c>
      <c r="H1474" s="12">
        <f t="shared" si="203"/>
        <v>14.498111004444443</v>
      </c>
      <c r="I1474" s="1" t="str">
        <f t="shared" si="204"/>
        <v>No</v>
      </c>
      <c r="J1474" s="1" t="str">
        <f t="shared" si="205"/>
        <v>Si</v>
      </c>
      <c r="K1474" s="1" t="str">
        <f t="shared" si="206"/>
        <v/>
      </c>
    </row>
    <row r="1475" spans="1:11" x14ac:dyDescent="0.3">
      <c r="A1475" s="1">
        <v>28</v>
      </c>
      <c r="B1475" s="1">
        <v>29</v>
      </c>
      <c r="C1475" s="12">
        <f t="shared" si="198"/>
        <v>0.22500000000000009</v>
      </c>
      <c r="D1475" s="12">
        <f t="shared" si="199"/>
        <v>0.29999999999999982</v>
      </c>
      <c r="E1475" s="12">
        <f t="shared" si="200"/>
        <v>11.065271096888887</v>
      </c>
      <c r="F1475" s="12">
        <f t="shared" si="201"/>
        <v>11.065271096888887</v>
      </c>
      <c r="G1475" s="12">
        <f t="shared" si="202"/>
        <v>14.494606648888887</v>
      </c>
      <c r="H1475" s="12">
        <f t="shared" si="203"/>
        <v>14.494606648888887</v>
      </c>
      <c r="I1475" s="1" t="str">
        <f t="shared" si="204"/>
        <v>No</v>
      </c>
      <c r="J1475" s="1" t="str">
        <f t="shared" si="205"/>
        <v>Si</v>
      </c>
      <c r="K1475" s="1" t="str">
        <f t="shared" si="206"/>
        <v/>
      </c>
    </row>
    <row r="1476" spans="1:11" x14ac:dyDescent="0.3">
      <c r="A1476" s="1">
        <v>28</v>
      </c>
      <c r="B1476" s="1">
        <v>30</v>
      </c>
      <c r="C1476" s="12">
        <f t="shared" si="198"/>
        <v>0.22500000000000009</v>
      </c>
      <c r="D1476" s="12">
        <f t="shared" si="199"/>
        <v>0.375</v>
      </c>
      <c r="E1476" s="12">
        <f t="shared" si="200"/>
        <v>11.062783004444443</v>
      </c>
      <c r="F1476" s="12">
        <f t="shared" si="201"/>
        <v>11.062783004444443</v>
      </c>
      <c r="G1476" s="12">
        <f t="shared" si="202"/>
        <v>14.491102293333331</v>
      </c>
      <c r="H1476" s="12">
        <f t="shared" si="203"/>
        <v>14.491102293333331</v>
      </c>
      <c r="I1476" s="1" t="str">
        <f t="shared" si="204"/>
        <v>No</v>
      </c>
      <c r="J1476" s="1" t="str">
        <f t="shared" si="205"/>
        <v>Si</v>
      </c>
      <c r="K1476" s="1" t="str">
        <f t="shared" si="206"/>
        <v/>
      </c>
    </row>
    <row r="1477" spans="1:11" x14ac:dyDescent="0.3">
      <c r="A1477" s="1">
        <v>28</v>
      </c>
      <c r="B1477" s="1">
        <v>31</v>
      </c>
      <c r="C1477" s="12">
        <f t="shared" si="198"/>
        <v>0.22500000000000009</v>
      </c>
      <c r="D1477" s="12">
        <f t="shared" si="199"/>
        <v>0.45000000000000018</v>
      </c>
      <c r="E1477" s="12">
        <f t="shared" si="200"/>
        <v>11.060294911999998</v>
      </c>
      <c r="F1477" s="12">
        <f t="shared" si="201"/>
        <v>11.060294911999998</v>
      </c>
      <c r="G1477" s="12">
        <f t="shared" si="202"/>
        <v>14.487597937777776</v>
      </c>
      <c r="H1477" s="12">
        <f t="shared" si="203"/>
        <v>14.487597937777776</v>
      </c>
      <c r="I1477" s="1" t="str">
        <f t="shared" si="204"/>
        <v>No</v>
      </c>
      <c r="J1477" s="1" t="str">
        <f t="shared" si="205"/>
        <v>Si</v>
      </c>
      <c r="K1477" s="1" t="str">
        <f t="shared" si="206"/>
        <v/>
      </c>
    </row>
    <row r="1478" spans="1:11" x14ac:dyDescent="0.3">
      <c r="A1478" s="1">
        <v>28</v>
      </c>
      <c r="B1478" s="1">
        <v>32</v>
      </c>
      <c r="C1478" s="12">
        <f t="shared" si="198"/>
        <v>0.22500000000000009</v>
      </c>
      <c r="D1478" s="12">
        <f t="shared" si="199"/>
        <v>0.52499999999999991</v>
      </c>
      <c r="E1478" s="12">
        <f t="shared" si="200"/>
        <v>11.057806819555555</v>
      </c>
      <c r="F1478" s="12">
        <f t="shared" si="201"/>
        <v>11.057806819555555</v>
      </c>
      <c r="G1478" s="12">
        <f t="shared" si="202"/>
        <v>14.48409358222222</v>
      </c>
      <c r="H1478" s="12">
        <f t="shared" si="203"/>
        <v>14.48409358222222</v>
      </c>
      <c r="I1478" s="1" t="str">
        <f t="shared" si="204"/>
        <v>No</v>
      </c>
      <c r="J1478" s="1" t="str">
        <f t="shared" si="205"/>
        <v>Si</v>
      </c>
      <c r="K1478" s="1" t="str">
        <f t="shared" si="206"/>
        <v/>
      </c>
    </row>
    <row r="1479" spans="1:11" x14ac:dyDescent="0.3">
      <c r="A1479" s="1">
        <v>28</v>
      </c>
      <c r="B1479" s="1">
        <v>33</v>
      </c>
      <c r="C1479" s="12">
        <f t="shared" si="198"/>
        <v>0.22500000000000009</v>
      </c>
      <c r="D1479" s="12">
        <f t="shared" si="199"/>
        <v>0.60000000000000009</v>
      </c>
      <c r="E1479" s="12">
        <f t="shared" si="200"/>
        <v>11.055318727111111</v>
      </c>
      <c r="F1479" s="12">
        <f t="shared" si="201"/>
        <v>11.055318727111111</v>
      </c>
      <c r="G1479" s="12">
        <f t="shared" si="202"/>
        <v>14.480589226666664</v>
      </c>
      <c r="H1479" s="12">
        <f t="shared" si="203"/>
        <v>14.480589226666664</v>
      </c>
      <c r="I1479" s="1" t="str">
        <f t="shared" si="204"/>
        <v>No</v>
      </c>
      <c r="J1479" s="1" t="str">
        <f t="shared" si="205"/>
        <v>Si</v>
      </c>
      <c r="K1479" s="1" t="str">
        <f t="shared" si="206"/>
        <v/>
      </c>
    </row>
    <row r="1480" spans="1:11" x14ac:dyDescent="0.3">
      <c r="A1480" s="1">
        <v>28</v>
      </c>
      <c r="B1480" s="1">
        <v>34</v>
      </c>
      <c r="C1480" s="12">
        <f t="shared" si="198"/>
        <v>0.22500000000000009</v>
      </c>
      <c r="D1480" s="12">
        <f t="shared" si="199"/>
        <v>0.67499999999999982</v>
      </c>
      <c r="E1480" s="12">
        <f t="shared" si="200"/>
        <v>11.052830634666666</v>
      </c>
      <c r="F1480" s="12">
        <f t="shared" si="201"/>
        <v>11.052830634666666</v>
      </c>
      <c r="G1480" s="12">
        <f t="shared" si="202"/>
        <v>14.47708487111111</v>
      </c>
      <c r="H1480" s="12">
        <f t="shared" si="203"/>
        <v>14.47708487111111</v>
      </c>
      <c r="I1480" s="1" t="str">
        <f t="shared" si="204"/>
        <v>No</v>
      </c>
      <c r="J1480" s="1" t="str">
        <f t="shared" si="205"/>
        <v>Si</v>
      </c>
      <c r="K1480" s="1" t="str">
        <f t="shared" si="206"/>
        <v/>
      </c>
    </row>
    <row r="1481" spans="1:11" x14ac:dyDescent="0.3">
      <c r="A1481" s="1">
        <v>28</v>
      </c>
      <c r="B1481" s="1">
        <v>35</v>
      </c>
      <c r="C1481" s="12">
        <f t="shared" si="198"/>
        <v>0.22500000000000009</v>
      </c>
      <c r="D1481" s="12">
        <f t="shared" si="199"/>
        <v>0.75</v>
      </c>
      <c r="E1481" s="12">
        <f t="shared" si="200"/>
        <v>11.050342542222221</v>
      </c>
      <c r="F1481" s="12">
        <f t="shared" si="201"/>
        <v>11.050342542222221</v>
      </c>
      <c r="G1481" s="12">
        <f t="shared" si="202"/>
        <v>14.473580515555554</v>
      </c>
      <c r="H1481" s="12">
        <f t="shared" si="203"/>
        <v>14.473580515555554</v>
      </c>
      <c r="I1481" s="1" t="str">
        <f t="shared" si="204"/>
        <v>No</v>
      </c>
      <c r="J1481" s="1" t="str">
        <f t="shared" si="205"/>
        <v>Si</v>
      </c>
      <c r="K1481" s="1" t="str">
        <f t="shared" si="206"/>
        <v/>
      </c>
    </row>
    <row r="1482" spans="1:11" x14ac:dyDescent="0.3">
      <c r="A1482" s="1">
        <v>28</v>
      </c>
      <c r="B1482" s="1">
        <v>36</v>
      </c>
      <c r="C1482" s="12">
        <f t="shared" si="198"/>
        <v>0.22500000000000009</v>
      </c>
      <c r="D1482" s="12">
        <f t="shared" si="199"/>
        <v>0.82500000000000018</v>
      </c>
      <c r="E1482" s="12">
        <f t="shared" si="200"/>
        <v>11.047854449777777</v>
      </c>
      <c r="F1482" s="12">
        <f t="shared" si="201"/>
        <v>11.047854449777777</v>
      </c>
      <c r="G1482" s="12">
        <f t="shared" si="202"/>
        <v>14.470076159999998</v>
      </c>
      <c r="H1482" s="12">
        <f t="shared" si="203"/>
        <v>14.470076159999998</v>
      </c>
      <c r="I1482" s="1" t="str">
        <f t="shared" si="204"/>
        <v>No</v>
      </c>
      <c r="J1482" s="1" t="str">
        <f t="shared" si="205"/>
        <v>Si</v>
      </c>
      <c r="K1482" s="1" t="str">
        <f t="shared" si="206"/>
        <v/>
      </c>
    </row>
    <row r="1483" spans="1:11" x14ac:dyDescent="0.3">
      <c r="A1483" s="1">
        <v>28</v>
      </c>
      <c r="B1483" s="1">
        <v>37</v>
      </c>
      <c r="C1483" s="12">
        <f t="shared" si="198"/>
        <v>0.22500000000000009</v>
      </c>
      <c r="D1483" s="12">
        <f t="shared" si="199"/>
        <v>0.89999999999999991</v>
      </c>
      <c r="E1483" s="12">
        <f t="shared" si="200"/>
        <v>11.045366357333332</v>
      </c>
      <c r="F1483" s="12">
        <f t="shared" si="201"/>
        <v>11.045366357333332</v>
      </c>
      <c r="G1483" s="12">
        <f t="shared" si="202"/>
        <v>14.466571804444442</v>
      </c>
      <c r="H1483" s="12">
        <f t="shared" si="203"/>
        <v>14.466571804444442</v>
      </c>
      <c r="I1483" s="1" t="str">
        <f t="shared" si="204"/>
        <v>No</v>
      </c>
      <c r="J1483" s="1" t="str">
        <f t="shared" si="205"/>
        <v>Si</v>
      </c>
      <c r="K1483" s="1" t="str">
        <f t="shared" si="206"/>
        <v/>
      </c>
    </row>
    <row r="1484" spans="1:11" x14ac:dyDescent="0.3">
      <c r="A1484" s="1">
        <v>28</v>
      </c>
      <c r="B1484" s="1">
        <v>38</v>
      </c>
      <c r="C1484" s="12">
        <f t="shared" si="198"/>
        <v>0.22500000000000009</v>
      </c>
      <c r="D1484" s="12">
        <f t="shared" si="199"/>
        <v>0.97500000000000009</v>
      </c>
      <c r="E1484" s="12">
        <f t="shared" si="200"/>
        <v>11.042878264888888</v>
      </c>
      <c r="F1484" s="12">
        <f t="shared" si="201"/>
        <v>11.042878264888888</v>
      </c>
      <c r="G1484" s="12">
        <f t="shared" si="202"/>
        <v>14.463067448888888</v>
      </c>
      <c r="H1484" s="12">
        <f t="shared" si="203"/>
        <v>14.463067448888888</v>
      </c>
      <c r="I1484" s="1" t="str">
        <f t="shared" si="204"/>
        <v>No</v>
      </c>
      <c r="J1484" s="1" t="str">
        <f t="shared" si="205"/>
        <v>Si</v>
      </c>
      <c r="K1484" s="1" t="str">
        <f t="shared" si="206"/>
        <v/>
      </c>
    </row>
    <row r="1485" spans="1:11" x14ac:dyDescent="0.3">
      <c r="A1485" s="1">
        <v>28</v>
      </c>
      <c r="B1485" s="1">
        <v>39</v>
      </c>
      <c r="C1485" s="12">
        <f t="shared" si="198"/>
        <v>0.22500000000000009</v>
      </c>
      <c r="D1485" s="12">
        <f t="shared" si="199"/>
        <v>1.0499999999999998</v>
      </c>
      <c r="E1485" s="12">
        <f t="shared" si="200"/>
        <v>11.040390172444443</v>
      </c>
      <c r="F1485" s="12">
        <f t="shared" si="201"/>
        <v>11.040390172444443</v>
      </c>
      <c r="G1485" s="12">
        <f t="shared" si="202"/>
        <v>14.459563093333331</v>
      </c>
      <c r="H1485" s="12">
        <f t="shared" si="203"/>
        <v>14.459563093333331</v>
      </c>
      <c r="I1485" s="1" t="str">
        <f t="shared" si="204"/>
        <v>No</v>
      </c>
      <c r="J1485" s="1" t="str">
        <f t="shared" si="205"/>
        <v>Si</v>
      </c>
      <c r="K1485" s="1" t="str">
        <f t="shared" si="206"/>
        <v/>
      </c>
    </row>
    <row r="1486" spans="1:11" x14ac:dyDescent="0.3">
      <c r="A1486" s="1">
        <v>28</v>
      </c>
      <c r="B1486" s="1">
        <v>40</v>
      </c>
      <c r="C1486" s="12">
        <f t="shared" si="198"/>
        <v>0.22500000000000009</v>
      </c>
      <c r="D1486" s="12">
        <f t="shared" si="199"/>
        <v>1.125</v>
      </c>
      <c r="E1486" s="12">
        <f t="shared" si="200"/>
        <v>11.037902079999999</v>
      </c>
      <c r="F1486" s="12">
        <f t="shared" si="201"/>
        <v>11.037902079999999</v>
      </c>
      <c r="G1486" s="12">
        <f t="shared" si="202"/>
        <v>14.456058737777775</v>
      </c>
      <c r="H1486" s="12">
        <f t="shared" si="203"/>
        <v>14.456058737777775</v>
      </c>
      <c r="I1486" s="1" t="str">
        <f t="shared" si="204"/>
        <v>No</v>
      </c>
      <c r="J1486" s="1" t="str">
        <f t="shared" si="205"/>
        <v>Si</v>
      </c>
      <c r="K1486" s="1" t="str">
        <f t="shared" si="206"/>
        <v/>
      </c>
    </row>
    <row r="1487" spans="1:11" x14ac:dyDescent="0.3">
      <c r="A1487" s="1">
        <v>28</v>
      </c>
      <c r="B1487" s="1">
        <v>41</v>
      </c>
      <c r="C1487" s="12">
        <f t="shared" si="198"/>
        <v>0.22500000000000009</v>
      </c>
      <c r="D1487" s="12">
        <f t="shared" si="199"/>
        <v>1.2000000000000002</v>
      </c>
      <c r="E1487" s="12">
        <f t="shared" si="200"/>
        <v>11.035413987555554</v>
      </c>
      <c r="F1487" s="12">
        <f t="shared" si="201"/>
        <v>11.035413987555554</v>
      </c>
      <c r="G1487" s="12">
        <f t="shared" si="202"/>
        <v>14.452554382222221</v>
      </c>
      <c r="H1487" s="12">
        <f t="shared" si="203"/>
        <v>14.452554382222221</v>
      </c>
      <c r="I1487" s="1" t="str">
        <f t="shared" si="204"/>
        <v>No</v>
      </c>
      <c r="J1487" s="1" t="str">
        <f t="shared" si="205"/>
        <v>Si</v>
      </c>
      <c r="K1487" s="1" t="str">
        <f t="shared" si="206"/>
        <v/>
      </c>
    </row>
    <row r="1488" spans="1:11" x14ac:dyDescent="0.3">
      <c r="A1488" s="1">
        <v>28</v>
      </c>
      <c r="B1488" s="1">
        <v>42</v>
      </c>
      <c r="C1488" s="12">
        <f t="shared" si="198"/>
        <v>0.22500000000000009</v>
      </c>
      <c r="D1488" s="12">
        <f t="shared" si="199"/>
        <v>1.2749999999999999</v>
      </c>
      <c r="E1488" s="12">
        <f t="shared" si="200"/>
        <v>11.032925895111109</v>
      </c>
      <c r="F1488" s="12">
        <f t="shared" si="201"/>
        <v>11.032925895111109</v>
      </c>
      <c r="G1488" s="12">
        <f t="shared" si="202"/>
        <v>14.449050026666665</v>
      </c>
      <c r="H1488" s="12">
        <f t="shared" si="203"/>
        <v>14.449050026666665</v>
      </c>
      <c r="I1488" s="1" t="str">
        <f t="shared" si="204"/>
        <v>No</v>
      </c>
      <c r="J1488" s="1" t="str">
        <f t="shared" si="205"/>
        <v>Si</v>
      </c>
      <c r="K1488" s="1" t="str">
        <f t="shared" si="206"/>
        <v/>
      </c>
    </row>
    <row r="1489" spans="1:11" x14ac:dyDescent="0.3">
      <c r="A1489" s="1">
        <v>28</v>
      </c>
      <c r="B1489" s="1">
        <v>43</v>
      </c>
      <c r="C1489" s="12">
        <f t="shared" si="198"/>
        <v>0.22500000000000009</v>
      </c>
      <c r="D1489" s="12">
        <f t="shared" si="199"/>
        <v>1.35</v>
      </c>
      <c r="E1489" s="12">
        <f t="shared" si="200"/>
        <v>11.030437802666665</v>
      </c>
      <c r="F1489" s="12">
        <f t="shared" si="201"/>
        <v>11.030437802666665</v>
      </c>
      <c r="G1489" s="12">
        <f t="shared" si="202"/>
        <v>14.445545671111109</v>
      </c>
      <c r="H1489" s="12">
        <f t="shared" si="203"/>
        <v>14.445545671111109</v>
      </c>
      <c r="I1489" s="1" t="str">
        <f t="shared" si="204"/>
        <v>No</v>
      </c>
      <c r="J1489" s="1" t="str">
        <f t="shared" si="205"/>
        <v>Si</v>
      </c>
      <c r="K1489" s="1" t="str">
        <f t="shared" si="206"/>
        <v/>
      </c>
    </row>
    <row r="1490" spans="1:11" x14ac:dyDescent="0.3">
      <c r="A1490" s="1">
        <v>28</v>
      </c>
      <c r="B1490" s="1">
        <v>44</v>
      </c>
      <c r="C1490" s="12">
        <f t="shared" ref="C1490:C1553" si="207">IF(OR(A1490&gt;inp_n_div_x,B1490&gt;inp_n_div_y),"",-inp_bx/2+A1490*inp_bx/inp_n_div_x)</f>
        <v>0.22500000000000009</v>
      </c>
      <c r="D1490" s="12">
        <f t="shared" ref="D1490:D1553" si="208">IF(C1490="","",-inp_by/2+B1490*inp_by/inp_n_div_y)</f>
        <v>1.4249999999999998</v>
      </c>
      <c r="E1490" s="12">
        <f t="shared" ref="E1490:E1553" si="209">IF(C1490="","",res_srv_p_tot/geo_area+res_srv_mx_tot/geo_ix*D1490+res_srv_my_tot/geo_iy*C1490)</f>
        <v>11.027949710222222</v>
      </c>
      <c r="F1490" s="12">
        <f t="shared" ref="F1490:F1553" si="210">IF(E1490="","",MAX(0,E1490))</f>
        <v>11.027949710222222</v>
      </c>
      <c r="G1490" s="12">
        <f t="shared" ref="G1490:G1553" si="211">IF(C1490="","",res_u_p_tot/geo_area+res_u_mx_tot/geo_ix*D1490+res_u_my_tot/geo_iy*C1490)</f>
        <v>14.442041315555553</v>
      </c>
      <c r="H1490" s="12">
        <f t="shared" ref="H1490:H1553" si="212">IF(G1490="","",MAX(0,G1490))</f>
        <v>14.442041315555553</v>
      </c>
      <c r="I1490" s="1" t="str">
        <f t="shared" ref="I1490:I1553" si="213">IF(C1490="","",IF(AND(C1490&gt;=inp_xc-inp_cx/2,C1490&lt;=inp_xc+inp_cx/2,D1490&gt;=inp_yc-inp_cy/2,D1490&lt;=inp_yc+inp_cy/2),"Si","No"))</f>
        <v>No</v>
      </c>
      <c r="J1490" s="1" t="str">
        <f t="shared" ref="J1490:J1553" si="214">IF(C1490="","","Si")</f>
        <v>Si</v>
      </c>
      <c r="K1490" s="1" t="str">
        <f t="shared" ref="K1490:K1553" si="215">IF(OR(E1490&lt;0,G1490&lt;0),"Presion negativa","")</f>
        <v/>
      </c>
    </row>
    <row r="1491" spans="1:11" x14ac:dyDescent="0.3">
      <c r="A1491" s="1">
        <v>28</v>
      </c>
      <c r="B1491" s="1">
        <v>45</v>
      </c>
      <c r="C1491" s="12">
        <f t="shared" si="207"/>
        <v>0.22500000000000009</v>
      </c>
      <c r="D1491" s="12">
        <f t="shared" si="208"/>
        <v>1.5</v>
      </c>
      <c r="E1491" s="12">
        <f t="shared" si="209"/>
        <v>11.025461617777777</v>
      </c>
      <c r="F1491" s="12">
        <f t="shared" si="210"/>
        <v>11.025461617777777</v>
      </c>
      <c r="G1491" s="12">
        <f t="shared" si="211"/>
        <v>14.438536959999999</v>
      </c>
      <c r="H1491" s="12">
        <f t="shared" si="212"/>
        <v>14.438536959999999</v>
      </c>
      <c r="I1491" s="1" t="str">
        <f t="shared" si="213"/>
        <v>No</v>
      </c>
      <c r="J1491" s="1" t="str">
        <f t="shared" si="214"/>
        <v>Si</v>
      </c>
      <c r="K1491" s="1" t="str">
        <f t="shared" si="215"/>
        <v/>
      </c>
    </row>
    <row r="1492" spans="1:11" x14ac:dyDescent="0.3">
      <c r="A1492" s="1">
        <v>28</v>
      </c>
      <c r="B1492" s="1">
        <v>46</v>
      </c>
      <c r="C1492" s="12">
        <f t="shared" si="207"/>
        <v>0.22500000000000009</v>
      </c>
      <c r="D1492" s="12">
        <f t="shared" si="208"/>
        <v>1.5750000000000002</v>
      </c>
      <c r="E1492" s="12">
        <f t="shared" si="209"/>
        <v>11.022973525333333</v>
      </c>
      <c r="F1492" s="12">
        <f t="shared" si="210"/>
        <v>11.022973525333333</v>
      </c>
      <c r="G1492" s="12">
        <f t="shared" si="211"/>
        <v>14.435032604444443</v>
      </c>
      <c r="H1492" s="12">
        <f t="shared" si="212"/>
        <v>14.435032604444443</v>
      </c>
      <c r="I1492" s="1" t="str">
        <f t="shared" si="213"/>
        <v>No</v>
      </c>
      <c r="J1492" s="1" t="str">
        <f t="shared" si="214"/>
        <v>Si</v>
      </c>
      <c r="K1492" s="1" t="str">
        <f t="shared" si="215"/>
        <v/>
      </c>
    </row>
    <row r="1493" spans="1:11" x14ac:dyDescent="0.3">
      <c r="A1493" s="1">
        <v>28</v>
      </c>
      <c r="B1493" s="1">
        <v>47</v>
      </c>
      <c r="C1493" s="12">
        <f t="shared" si="207"/>
        <v>0.22500000000000009</v>
      </c>
      <c r="D1493" s="12">
        <f t="shared" si="208"/>
        <v>1.65</v>
      </c>
      <c r="E1493" s="12">
        <f t="shared" si="209"/>
        <v>11.020485432888888</v>
      </c>
      <c r="F1493" s="12">
        <f t="shared" si="210"/>
        <v>11.020485432888888</v>
      </c>
      <c r="G1493" s="12">
        <f t="shared" si="211"/>
        <v>14.431528248888887</v>
      </c>
      <c r="H1493" s="12">
        <f t="shared" si="212"/>
        <v>14.431528248888887</v>
      </c>
      <c r="I1493" s="1" t="str">
        <f t="shared" si="213"/>
        <v>No</v>
      </c>
      <c r="J1493" s="1" t="str">
        <f t="shared" si="214"/>
        <v>Si</v>
      </c>
      <c r="K1493" s="1" t="str">
        <f t="shared" si="215"/>
        <v/>
      </c>
    </row>
    <row r="1494" spans="1:11" x14ac:dyDescent="0.3">
      <c r="A1494" s="1">
        <v>28</v>
      </c>
      <c r="B1494" s="1">
        <v>48</v>
      </c>
      <c r="C1494" s="12">
        <f t="shared" si="207"/>
        <v>0.22500000000000009</v>
      </c>
      <c r="D1494" s="12">
        <f t="shared" si="208"/>
        <v>1.7250000000000001</v>
      </c>
      <c r="E1494" s="12">
        <f t="shared" si="209"/>
        <v>11.017997340444444</v>
      </c>
      <c r="F1494" s="12">
        <f t="shared" si="210"/>
        <v>11.017997340444444</v>
      </c>
      <c r="G1494" s="12">
        <f t="shared" si="211"/>
        <v>14.428023893333332</v>
      </c>
      <c r="H1494" s="12">
        <f t="shared" si="212"/>
        <v>14.428023893333332</v>
      </c>
      <c r="I1494" s="1" t="str">
        <f t="shared" si="213"/>
        <v>No</v>
      </c>
      <c r="J1494" s="1" t="str">
        <f t="shared" si="214"/>
        <v>Si</v>
      </c>
      <c r="K1494" s="1" t="str">
        <f t="shared" si="215"/>
        <v/>
      </c>
    </row>
    <row r="1495" spans="1:11" x14ac:dyDescent="0.3">
      <c r="A1495" s="1">
        <v>28</v>
      </c>
      <c r="B1495" s="1">
        <v>49</v>
      </c>
      <c r="C1495" s="12">
        <f t="shared" si="207"/>
        <v>0.22500000000000009</v>
      </c>
      <c r="D1495" s="12">
        <f t="shared" si="208"/>
        <v>1.7999999999999998</v>
      </c>
      <c r="E1495" s="12">
        <f t="shared" si="209"/>
        <v>11.015509247999999</v>
      </c>
      <c r="F1495" s="12">
        <f t="shared" si="210"/>
        <v>11.015509247999999</v>
      </c>
      <c r="G1495" s="12">
        <f t="shared" si="211"/>
        <v>14.424519537777776</v>
      </c>
      <c r="H1495" s="12">
        <f t="shared" si="212"/>
        <v>14.424519537777776</v>
      </c>
      <c r="I1495" s="1" t="str">
        <f t="shared" si="213"/>
        <v>No</v>
      </c>
      <c r="J1495" s="1" t="str">
        <f t="shared" si="214"/>
        <v>Si</v>
      </c>
      <c r="K1495" s="1" t="str">
        <f t="shared" si="215"/>
        <v/>
      </c>
    </row>
    <row r="1496" spans="1:11" x14ac:dyDescent="0.3">
      <c r="A1496" s="1">
        <v>28</v>
      </c>
      <c r="B1496" s="1">
        <v>50</v>
      </c>
      <c r="C1496" s="12">
        <f t="shared" si="207"/>
        <v>0.22500000000000009</v>
      </c>
      <c r="D1496" s="12">
        <f t="shared" si="208"/>
        <v>1.875</v>
      </c>
      <c r="E1496" s="12">
        <f t="shared" si="209"/>
        <v>11.013021155555554</v>
      </c>
      <c r="F1496" s="12">
        <f t="shared" si="210"/>
        <v>11.013021155555554</v>
      </c>
      <c r="G1496" s="12">
        <f t="shared" si="211"/>
        <v>14.42101518222222</v>
      </c>
      <c r="H1496" s="12">
        <f t="shared" si="212"/>
        <v>14.42101518222222</v>
      </c>
      <c r="I1496" s="1" t="str">
        <f t="shared" si="213"/>
        <v>No</v>
      </c>
      <c r="J1496" s="1" t="str">
        <f t="shared" si="214"/>
        <v>Si</v>
      </c>
      <c r="K1496" s="1" t="str">
        <f t="shared" si="215"/>
        <v/>
      </c>
    </row>
    <row r="1497" spans="1:11" x14ac:dyDescent="0.3">
      <c r="A1497" s="1">
        <v>29</v>
      </c>
      <c r="B1497" s="1">
        <v>0</v>
      </c>
      <c r="C1497" s="12">
        <f t="shared" si="207"/>
        <v>0.29999999999999982</v>
      </c>
      <c r="D1497" s="12">
        <f t="shared" si="208"/>
        <v>-1.875</v>
      </c>
      <c r="E1497" s="12">
        <f t="shared" si="209"/>
        <v>11.138119822222221</v>
      </c>
      <c r="F1497" s="12">
        <f t="shared" si="210"/>
        <v>11.138119822222221</v>
      </c>
      <c r="G1497" s="12">
        <f t="shared" si="211"/>
        <v>14.597270613333333</v>
      </c>
      <c r="H1497" s="12">
        <f t="shared" si="212"/>
        <v>14.597270613333333</v>
      </c>
      <c r="I1497" s="1" t="str">
        <f t="shared" si="213"/>
        <v>No</v>
      </c>
      <c r="J1497" s="1" t="str">
        <f t="shared" si="214"/>
        <v>Si</v>
      </c>
      <c r="K1497" s="1" t="str">
        <f t="shared" si="215"/>
        <v/>
      </c>
    </row>
    <row r="1498" spans="1:11" x14ac:dyDescent="0.3">
      <c r="A1498" s="1">
        <v>29</v>
      </c>
      <c r="B1498" s="1">
        <v>1</v>
      </c>
      <c r="C1498" s="12">
        <f t="shared" si="207"/>
        <v>0.29999999999999982</v>
      </c>
      <c r="D1498" s="12">
        <f t="shared" si="208"/>
        <v>-1.8</v>
      </c>
      <c r="E1498" s="12">
        <f t="shared" si="209"/>
        <v>11.135631729777776</v>
      </c>
      <c r="F1498" s="12">
        <f t="shared" si="210"/>
        <v>11.135631729777776</v>
      </c>
      <c r="G1498" s="12">
        <f t="shared" si="211"/>
        <v>14.593766257777776</v>
      </c>
      <c r="H1498" s="12">
        <f t="shared" si="212"/>
        <v>14.593766257777776</v>
      </c>
      <c r="I1498" s="1" t="str">
        <f t="shared" si="213"/>
        <v>No</v>
      </c>
      <c r="J1498" s="1" t="str">
        <f t="shared" si="214"/>
        <v>Si</v>
      </c>
      <c r="K1498" s="1" t="str">
        <f t="shared" si="215"/>
        <v/>
      </c>
    </row>
    <row r="1499" spans="1:11" x14ac:dyDescent="0.3">
      <c r="A1499" s="1">
        <v>29</v>
      </c>
      <c r="B1499" s="1">
        <v>2</v>
      </c>
      <c r="C1499" s="12">
        <f t="shared" si="207"/>
        <v>0.29999999999999982</v>
      </c>
      <c r="D1499" s="12">
        <f t="shared" si="208"/>
        <v>-1.7250000000000001</v>
      </c>
      <c r="E1499" s="12">
        <f t="shared" si="209"/>
        <v>11.133143637333331</v>
      </c>
      <c r="F1499" s="12">
        <f t="shared" si="210"/>
        <v>11.133143637333331</v>
      </c>
      <c r="G1499" s="12">
        <f t="shared" si="211"/>
        <v>14.59026190222222</v>
      </c>
      <c r="H1499" s="12">
        <f t="shared" si="212"/>
        <v>14.59026190222222</v>
      </c>
      <c r="I1499" s="1" t="str">
        <f t="shared" si="213"/>
        <v>No</v>
      </c>
      <c r="J1499" s="1" t="str">
        <f t="shared" si="214"/>
        <v>Si</v>
      </c>
      <c r="K1499" s="1" t="str">
        <f t="shared" si="215"/>
        <v/>
      </c>
    </row>
    <row r="1500" spans="1:11" x14ac:dyDescent="0.3">
      <c r="A1500" s="1">
        <v>29</v>
      </c>
      <c r="B1500" s="1">
        <v>3</v>
      </c>
      <c r="C1500" s="12">
        <f t="shared" si="207"/>
        <v>0.29999999999999982</v>
      </c>
      <c r="D1500" s="12">
        <f t="shared" si="208"/>
        <v>-1.65</v>
      </c>
      <c r="E1500" s="12">
        <f t="shared" si="209"/>
        <v>11.130655544888887</v>
      </c>
      <c r="F1500" s="12">
        <f t="shared" si="210"/>
        <v>11.130655544888887</v>
      </c>
      <c r="G1500" s="12">
        <f t="shared" si="211"/>
        <v>14.586757546666666</v>
      </c>
      <c r="H1500" s="12">
        <f t="shared" si="212"/>
        <v>14.586757546666666</v>
      </c>
      <c r="I1500" s="1" t="str">
        <f t="shared" si="213"/>
        <v>No</v>
      </c>
      <c r="J1500" s="1" t="str">
        <f t="shared" si="214"/>
        <v>Si</v>
      </c>
      <c r="K1500" s="1" t="str">
        <f t="shared" si="215"/>
        <v/>
      </c>
    </row>
    <row r="1501" spans="1:11" x14ac:dyDescent="0.3">
      <c r="A1501" s="1">
        <v>29</v>
      </c>
      <c r="B1501" s="1">
        <v>4</v>
      </c>
      <c r="C1501" s="12">
        <f t="shared" si="207"/>
        <v>0.29999999999999982</v>
      </c>
      <c r="D1501" s="12">
        <f t="shared" si="208"/>
        <v>-1.575</v>
      </c>
      <c r="E1501" s="12">
        <f t="shared" si="209"/>
        <v>11.128167452444442</v>
      </c>
      <c r="F1501" s="12">
        <f t="shared" si="210"/>
        <v>11.128167452444442</v>
      </c>
      <c r="G1501" s="12">
        <f t="shared" si="211"/>
        <v>14.58325319111111</v>
      </c>
      <c r="H1501" s="12">
        <f t="shared" si="212"/>
        <v>14.58325319111111</v>
      </c>
      <c r="I1501" s="1" t="str">
        <f t="shared" si="213"/>
        <v>No</v>
      </c>
      <c r="J1501" s="1" t="str">
        <f t="shared" si="214"/>
        <v>Si</v>
      </c>
      <c r="K1501" s="1" t="str">
        <f t="shared" si="215"/>
        <v/>
      </c>
    </row>
    <row r="1502" spans="1:11" x14ac:dyDescent="0.3">
      <c r="A1502" s="1">
        <v>29</v>
      </c>
      <c r="B1502" s="1">
        <v>5</v>
      </c>
      <c r="C1502" s="12">
        <f t="shared" si="207"/>
        <v>0.29999999999999982</v>
      </c>
      <c r="D1502" s="12">
        <f t="shared" si="208"/>
        <v>-1.5</v>
      </c>
      <c r="E1502" s="12">
        <f t="shared" si="209"/>
        <v>11.125679359999998</v>
      </c>
      <c r="F1502" s="12">
        <f t="shared" si="210"/>
        <v>11.125679359999998</v>
      </c>
      <c r="G1502" s="12">
        <f t="shared" si="211"/>
        <v>14.579748835555554</v>
      </c>
      <c r="H1502" s="12">
        <f t="shared" si="212"/>
        <v>14.579748835555554</v>
      </c>
      <c r="I1502" s="1" t="str">
        <f t="shared" si="213"/>
        <v>No</v>
      </c>
      <c r="J1502" s="1" t="str">
        <f t="shared" si="214"/>
        <v>Si</v>
      </c>
      <c r="K1502" s="1" t="str">
        <f t="shared" si="215"/>
        <v/>
      </c>
    </row>
    <row r="1503" spans="1:11" x14ac:dyDescent="0.3">
      <c r="A1503" s="1">
        <v>29</v>
      </c>
      <c r="B1503" s="1">
        <v>6</v>
      </c>
      <c r="C1503" s="12">
        <f t="shared" si="207"/>
        <v>0.29999999999999982</v>
      </c>
      <c r="D1503" s="12">
        <f t="shared" si="208"/>
        <v>-1.425</v>
      </c>
      <c r="E1503" s="12">
        <f t="shared" si="209"/>
        <v>11.123191267555553</v>
      </c>
      <c r="F1503" s="12">
        <f t="shared" si="210"/>
        <v>11.123191267555553</v>
      </c>
      <c r="G1503" s="12">
        <f t="shared" si="211"/>
        <v>14.57624448</v>
      </c>
      <c r="H1503" s="12">
        <f t="shared" si="212"/>
        <v>14.57624448</v>
      </c>
      <c r="I1503" s="1" t="str">
        <f t="shared" si="213"/>
        <v>No</v>
      </c>
      <c r="J1503" s="1" t="str">
        <f t="shared" si="214"/>
        <v>Si</v>
      </c>
      <c r="K1503" s="1" t="str">
        <f t="shared" si="215"/>
        <v/>
      </c>
    </row>
    <row r="1504" spans="1:11" x14ac:dyDescent="0.3">
      <c r="A1504" s="1">
        <v>29</v>
      </c>
      <c r="B1504" s="1">
        <v>7</v>
      </c>
      <c r="C1504" s="12">
        <f t="shared" si="207"/>
        <v>0.29999999999999982</v>
      </c>
      <c r="D1504" s="12">
        <f t="shared" si="208"/>
        <v>-1.35</v>
      </c>
      <c r="E1504" s="12">
        <f t="shared" si="209"/>
        <v>11.12070317511111</v>
      </c>
      <c r="F1504" s="12">
        <f t="shared" si="210"/>
        <v>11.12070317511111</v>
      </c>
      <c r="G1504" s="12">
        <f t="shared" si="211"/>
        <v>14.572740124444444</v>
      </c>
      <c r="H1504" s="12">
        <f t="shared" si="212"/>
        <v>14.572740124444444</v>
      </c>
      <c r="I1504" s="1" t="str">
        <f t="shared" si="213"/>
        <v>No</v>
      </c>
      <c r="J1504" s="1" t="str">
        <f t="shared" si="214"/>
        <v>Si</v>
      </c>
      <c r="K1504" s="1" t="str">
        <f t="shared" si="215"/>
        <v/>
      </c>
    </row>
    <row r="1505" spans="1:11" x14ac:dyDescent="0.3">
      <c r="A1505" s="1">
        <v>29</v>
      </c>
      <c r="B1505" s="1">
        <v>8</v>
      </c>
      <c r="C1505" s="12">
        <f t="shared" si="207"/>
        <v>0.29999999999999982</v>
      </c>
      <c r="D1505" s="12">
        <f t="shared" si="208"/>
        <v>-1.2749999999999999</v>
      </c>
      <c r="E1505" s="12">
        <f t="shared" si="209"/>
        <v>11.118215082666666</v>
      </c>
      <c r="F1505" s="12">
        <f t="shared" si="210"/>
        <v>11.118215082666666</v>
      </c>
      <c r="G1505" s="12">
        <f t="shared" si="211"/>
        <v>14.569235768888888</v>
      </c>
      <c r="H1505" s="12">
        <f t="shared" si="212"/>
        <v>14.569235768888888</v>
      </c>
      <c r="I1505" s="1" t="str">
        <f t="shared" si="213"/>
        <v>No</v>
      </c>
      <c r="J1505" s="1" t="str">
        <f t="shared" si="214"/>
        <v>Si</v>
      </c>
      <c r="K1505" s="1" t="str">
        <f t="shared" si="215"/>
        <v/>
      </c>
    </row>
    <row r="1506" spans="1:11" x14ac:dyDescent="0.3">
      <c r="A1506" s="1">
        <v>29</v>
      </c>
      <c r="B1506" s="1">
        <v>9</v>
      </c>
      <c r="C1506" s="12">
        <f t="shared" si="207"/>
        <v>0.29999999999999982</v>
      </c>
      <c r="D1506" s="12">
        <f t="shared" si="208"/>
        <v>-1.2</v>
      </c>
      <c r="E1506" s="12">
        <f t="shared" si="209"/>
        <v>11.115726990222221</v>
      </c>
      <c r="F1506" s="12">
        <f t="shared" si="210"/>
        <v>11.115726990222221</v>
      </c>
      <c r="G1506" s="12">
        <f t="shared" si="211"/>
        <v>14.565731413333332</v>
      </c>
      <c r="H1506" s="12">
        <f t="shared" si="212"/>
        <v>14.565731413333332</v>
      </c>
      <c r="I1506" s="1" t="str">
        <f t="shared" si="213"/>
        <v>No</v>
      </c>
      <c r="J1506" s="1" t="str">
        <f t="shared" si="214"/>
        <v>Si</v>
      </c>
      <c r="K1506" s="1" t="str">
        <f t="shared" si="215"/>
        <v/>
      </c>
    </row>
    <row r="1507" spans="1:11" x14ac:dyDescent="0.3">
      <c r="A1507" s="1">
        <v>29</v>
      </c>
      <c r="B1507" s="1">
        <v>10</v>
      </c>
      <c r="C1507" s="12">
        <f t="shared" si="207"/>
        <v>0.29999999999999982</v>
      </c>
      <c r="D1507" s="12">
        <f t="shared" si="208"/>
        <v>-1.125</v>
      </c>
      <c r="E1507" s="12">
        <f t="shared" si="209"/>
        <v>11.113238897777777</v>
      </c>
      <c r="F1507" s="12">
        <f t="shared" si="210"/>
        <v>11.113238897777777</v>
      </c>
      <c r="G1507" s="12">
        <f t="shared" si="211"/>
        <v>14.562227057777777</v>
      </c>
      <c r="H1507" s="12">
        <f t="shared" si="212"/>
        <v>14.562227057777777</v>
      </c>
      <c r="I1507" s="1" t="str">
        <f t="shared" si="213"/>
        <v>No</v>
      </c>
      <c r="J1507" s="1" t="str">
        <f t="shared" si="214"/>
        <v>Si</v>
      </c>
      <c r="K1507" s="1" t="str">
        <f t="shared" si="215"/>
        <v/>
      </c>
    </row>
    <row r="1508" spans="1:11" x14ac:dyDescent="0.3">
      <c r="A1508" s="1">
        <v>29</v>
      </c>
      <c r="B1508" s="1">
        <v>11</v>
      </c>
      <c r="C1508" s="12">
        <f t="shared" si="207"/>
        <v>0.29999999999999982</v>
      </c>
      <c r="D1508" s="12">
        <f t="shared" si="208"/>
        <v>-1.05</v>
      </c>
      <c r="E1508" s="12">
        <f t="shared" si="209"/>
        <v>11.110750805333332</v>
      </c>
      <c r="F1508" s="12">
        <f t="shared" si="210"/>
        <v>11.110750805333332</v>
      </c>
      <c r="G1508" s="12">
        <f t="shared" si="211"/>
        <v>14.558722702222221</v>
      </c>
      <c r="H1508" s="12">
        <f t="shared" si="212"/>
        <v>14.558722702222221</v>
      </c>
      <c r="I1508" s="1" t="str">
        <f t="shared" si="213"/>
        <v>No</v>
      </c>
      <c r="J1508" s="1" t="str">
        <f t="shared" si="214"/>
        <v>Si</v>
      </c>
      <c r="K1508" s="1" t="str">
        <f t="shared" si="215"/>
        <v/>
      </c>
    </row>
    <row r="1509" spans="1:11" x14ac:dyDescent="0.3">
      <c r="A1509" s="1">
        <v>29</v>
      </c>
      <c r="B1509" s="1">
        <v>12</v>
      </c>
      <c r="C1509" s="12">
        <f t="shared" si="207"/>
        <v>0.29999999999999982</v>
      </c>
      <c r="D1509" s="12">
        <f t="shared" si="208"/>
        <v>-0.97499999999999998</v>
      </c>
      <c r="E1509" s="12">
        <f t="shared" si="209"/>
        <v>11.108262712888887</v>
      </c>
      <c r="F1509" s="12">
        <f t="shared" si="210"/>
        <v>11.108262712888887</v>
      </c>
      <c r="G1509" s="12">
        <f t="shared" si="211"/>
        <v>14.555218346666665</v>
      </c>
      <c r="H1509" s="12">
        <f t="shared" si="212"/>
        <v>14.555218346666665</v>
      </c>
      <c r="I1509" s="1" t="str">
        <f t="shared" si="213"/>
        <v>No</v>
      </c>
      <c r="J1509" s="1" t="str">
        <f t="shared" si="214"/>
        <v>Si</v>
      </c>
      <c r="K1509" s="1" t="str">
        <f t="shared" si="215"/>
        <v/>
      </c>
    </row>
    <row r="1510" spans="1:11" x14ac:dyDescent="0.3">
      <c r="A1510" s="1">
        <v>29</v>
      </c>
      <c r="B1510" s="1">
        <v>13</v>
      </c>
      <c r="C1510" s="12">
        <f t="shared" si="207"/>
        <v>0.29999999999999982</v>
      </c>
      <c r="D1510" s="12">
        <f t="shared" si="208"/>
        <v>-0.9</v>
      </c>
      <c r="E1510" s="12">
        <f t="shared" si="209"/>
        <v>11.105774620444443</v>
      </c>
      <c r="F1510" s="12">
        <f t="shared" si="210"/>
        <v>11.105774620444443</v>
      </c>
      <c r="G1510" s="12">
        <f t="shared" si="211"/>
        <v>14.551713991111111</v>
      </c>
      <c r="H1510" s="12">
        <f t="shared" si="212"/>
        <v>14.551713991111111</v>
      </c>
      <c r="I1510" s="1" t="str">
        <f t="shared" si="213"/>
        <v>No</v>
      </c>
      <c r="J1510" s="1" t="str">
        <f t="shared" si="214"/>
        <v>Si</v>
      </c>
      <c r="K1510" s="1" t="str">
        <f t="shared" si="215"/>
        <v/>
      </c>
    </row>
    <row r="1511" spans="1:11" x14ac:dyDescent="0.3">
      <c r="A1511" s="1">
        <v>29</v>
      </c>
      <c r="B1511" s="1">
        <v>14</v>
      </c>
      <c r="C1511" s="12">
        <f t="shared" si="207"/>
        <v>0.29999999999999982</v>
      </c>
      <c r="D1511" s="12">
        <f t="shared" si="208"/>
        <v>-0.82499999999999996</v>
      </c>
      <c r="E1511" s="12">
        <f t="shared" si="209"/>
        <v>11.103286527999998</v>
      </c>
      <c r="F1511" s="12">
        <f t="shared" si="210"/>
        <v>11.103286527999998</v>
      </c>
      <c r="G1511" s="12">
        <f t="shared" si="211"/>
        <v>14.548209635555555</v>
      </c>
      <c r="H1511" s="12">
        <f t="shared" si="212"/>
        <v>14.548209635555555</v>
      </c>
      <c r="I1511" s="1" t="str">
        <f t="shared" si="213"/>
        <v>No</v>
      </c>
      <c r="J1511" s="1" t="str">
        <f t="shared" si="214"/>
        <v>Si</v>
      </c>
      <c r="K1511" s="1" t="str">
        <f t="shared" si="215"/>
        <v/>
      </c>
    </row>
    <row r="1512" spans="1:11" x14ac:dyDescent="0.3">
      <c r="A1512" s="1">
        <v>29</v>
      </c>
      <c r="B1512" s="1">
        <v>15</v>
      </c>
      <c r="C1512" s="12">
        <f t="shared" si="207"/>
        <v>0.29999999999999982</v>
      </c>
      <c r="D1512" s="12">
        <f t="shared" si="208"/>
        <v>-0.75</v>
      </c>
      <c r="E1512" s="12">
        <f t="shared" si="209"/>
        <v>11.100798435555554</v>
      </c>
      <c r="F1512" s="12">
        <f t="shared" si="210"/>
        <v>11.100798435555554</v>
      </c>
      <c r="G1512" s="12">
        <f t="shared" si="211"/>
        <v>14.544705279999999</v>
      </c>
      <c r="H1512" s="12">
        <f t="shared" si="212"/>
        <v>14.544705279999999</v>
      </c>
      <c r="I1512" s="1" t="str">
        <f t="shared" si="213"/>
        <v>No</v>
      </c>
      <c r="J1512" s="1" t="str">
        <f t="shared" si="214"/>
        <v>Si</v>
      </c>
      <c r="K1512" s="1" t="str">
        <f t="shared" si="215"/>
        <v/>
      </c>
    </row>
    <row r="1513" spans="1:11" x14ac:dyDescent="0.3">
      <c r="A1513" s="1">
        <v>29</v>
      </c>
      <c r="B1513" s="1">
        <v>16</v>
      </c>
      <c r="C1513" s="12">
        <f t="shared" si="207"/>
        <v>0.29999999999999982</v>
      </c>
      <c r="D1513" s="12">
        <f t="shared" si="208"/>
        <v>-0.67500000000000004</v>
      </c>
      <c r="E1513" s="12">
        <f t="shared" si="209"/>
        <v>11.098310343111109</v>
      </c>
      <c r="F1513" s="12">
        <f t="shared" si="210"/>
        <v>11.098310343111109</v>
      </c>
      <c r="G1513" s="12">
        <f t="shared" si="211"/>
        <v>14.541200924444443</v>
      </c>
      <c r="H1513" s="12">
        <f t="shared" si="212"/>
        <v>14.541200924444443</v>
      </c>
      <c r="I1513" s="1" t="str">
        <f t="shared" si="213"/>
        <v>No</v>
      </c>
      <c r="J1513" s="1" t="str">
        <f t="shared" si="214"/>
        <v>Si</v>
      </c>
      <c r="K1513" s="1" t="str">
        <f t="shared" si="215"/>
        <v/>
      </c>
    </row>
    <row r="1514" spans="1:11" x14ac:dyDescent="0.3">
      <c r="A1514" s="1">
        <v>29</v>
      </c>
      <c r="B1514" s="1">
        <v>17</v>
      </c>
      <c r="C1514" s="12">
        <f t="shared" si="207"/>
        <v>0.29999999999999982</v>
      </c>
      <c r="D1514" s="12">
        <f t="shared" si="208"/>
        <v>-0.60000000000000009</v>
      </c>
      <c r="E1514" s="12">
        <f t="shared" si="209"/>
        <v>11.095822250666664</v>
      </c>
      <c r="F1514" s="12">
        <f t="shared" si="210"/>
        <v>11.095822250666664</v>
      </c>
      <c r="G1514" s="12">
        <f t="shared" si="211"/>
        <v>14.537696568888888</v>
      </c>
      <c r="H1514" s="12">
        <f t="shared" si="212"/>
        <v>14.537696568888888</v>
      </c>
      <c r="I1514" s="1" t="str">
        <f t="shared" si="213"/>
        <v>No</v>
      </c>
      <c r="J1514" s="1" t="str">
        <f t="shared" si="214"/>
        <v>Si</v>
      </c>
      <c r="K1514" s="1" t="str">
        <f t="shared" si="215"/>
        <v/>
      </c>
    </row>
    <row r="1515" spans="1:11" x14ac:dyDescent="0.3">
      <c r="A1515" s="1">
        <v>29</v>
      </c>
      <c r="B1515" s="1">
        <v>18</v>
      </c>
      <c r="C1515" s="12">
        <f t="shared" si="207"/>
        <v>0.29999999999999982</v>
      </c>
      <c r="D1515" s="12">
        <f t="shared" si="208"/>
        <v>-0.52499999999999991</v>
      </c>
      <c r="E1515" s="12">
        <f t="shared" si="209"/>
        <v>11.09333415822222</v>
      </c>
      <c r="F1515" s="12">
        <f t="shared" si="210"/>
        <v>11.09333415822222</v>
      </c>
      <c r="G1515" s="12">
        <f t="shared" si="211"/>
        <v>14.534192213333332</v>
      </c>
      <c r="H1515" s="12">
        <f t="shared" si="212"/>
        <v>14.534192213333332</v>
      </c>
      <c r="I1515" s="1" t="str">
        <f t="shared" si="213"/>
        <v>No</v>
      </c>
      <c r="J1515" s="1" t="str">
        <f t="shared" si="214"/>
        <v>Si</v>
      </c>
      <c r="K1515" s="1" t="str">
        <f t="shared" si="215"/>
        <v/>
      </c>
    </row>
    <row r="1516" spans="1:11" x14ac:dyDescent="0.3">
      <c r="A1516" s="1">
        <v>29</v>
      </c>
      <c r="B1516" s="1">
        <v>19</v>
      </c>
      <c r="C1516" s="12">
        <f t="shared" si="207"/>
        <v>0.29999999999999982</v>
      </c>
      <c r="D1516" s="12">
        <f t="shared" si="208"/>
        <v>-0.44999999999999996</v>
      </c>
      <c r="E1516" s="12">
        <f t="shared" si="209"/>
        <v>11.090846065777777</v>
      </c>
      <c r="F1516" s="12">
        <f t="shared" si="210"/>
        <v>11.090846065777777</v>
      </c>
      <c r="G1516" s="12">
        <f t="shared" si="211"/>
        <v>14.530687857777776</v>
      </c>
      <c r="H1516" s="12">
        <f t="shared" si="212"/>
        <v>14.530687857777776</v>
      </c>
      <c r="I1516" s="1" t="str">
        <f t="shared" si="213"/>
        <v>No</v>
      </c>
      <c r="J1516" s="1" t="str">
        <f t="shared" si="214"/>
        <v>Si</v>
      </c>
      <c r="K1516" s="1" t="str">
        <f t="shared" si="215"/>
        <v/>
      </c>
    </row>
    <row r="1517" spans="1:11" x14ac:dyDescent="0.3">
      <c r="A1517" s="1">
        <v>29</v>
      </c>
      <c r="B1517" s="1">
        <v>20</v>
      </c>
      <c r="C1517" s="12">
        <f t="shared" si="207"/>
        <v>0.29999999999999982</v>
      </c>
      <c r="D1517" s="12">
        <f t="shared" si="208"/>
        <v>-0.375</v>
      </c>
      <c r="E1517" s="12">
        <f t="shared" si="209"/>
        <v>11.088357973333332</v>
      </c>
      <c r="F1517" s="12">
        <f t="shared" si="210"/>
        <v>11.088357973333332</v>
      </c>
      <c r="G1517" s="12">
        <f t="shared" si="211"/>
        <v>14.527183502222222</v>
      </c>
      <c r="H1517" s="12">
        <f t="shared" si="212"/>
        <v>14.527183502222222</v>
      </c>
      <c r="I1517" s="1" t="str">
        <f t="shared" si="213"/>
        <v>No</v>
      </c>
      <c r="J1517" s="1" t="str">
        <f t="shared" si="214"/>
        <v>Si</v>
      </c>
      <c r="K1517" s="1" t="str">
        <f t="shared" si="215"/>
        <v/>
      </c>
    </row>
    <row r="1518" spans="1:11" x14ac:dyDescent="0.3">
      <c r="A1518" s="1">
        <v>29</v>
      </c>
      <c r="B1518" s="1">
        <v>21</v>
      </c>
      <c r="C1518" s="12">
        <f t="shared" si="207"/>
        <v>0.29999999999999982</v>
      </c>
      <c r="D1518" s="12">
        <f t="shared" si="208"/>
        <v>-0.30000000000000004</v>
      </c>
      <c r="E1518" s="12">
        <f t="shared" si="209"/>
        <v>11.085869880888888</v>
      </c>
      <c r="F1518" s="12">
        <f t="shared" si="210"/>
        <v>11.085869880888888</v>
      </c>
      <c r="G1518" s="12">
        <f t="shared" si="211"/>
        <v>14.523679146666666</v>
      </c>
      <c r="H1518" s="12">
        <f t="shared" si="212"/>
        <v>14.523679146666666</v>
      </c>
      <c r="I1518" s="1" t="str">
        <f t="shared" si="213"/>
        <v>No</v>
      </c>
      <c r="J1518" s="1" t="str">
        <f t="shared" si="214"/>
        <v>Si</v>
      </c>
      <c r="K1518" s="1" t="str">
        <f t="shared" si="215"/>
        <v/>
      </c>
    </row>
    <row r="1519" spans="1:11" x14ac:dyDescent="0.3">
      <c r="A1519" s="1">
        <v>29</v>
      </c>
      <c r="B1519" s="1">
        <v>22</v>
      </c>
      <c r="C1519" s="12">
        <f t="shared" si="207"/>
        <v>0.29999999999999982</v>
      </c>
      <c r="D1519" s="12">
        <f t="shared" si="208"/>
        <v>-0.22500000000000009</v>
      </c>
      <c r="E1519" s="12">
        <f t="shared" si="209"/>
        <v>11.083381788444443</v>
      </c>
      <c r="F1519" s="12">
        <f t="shared" si="210"/>
        <v>11.083381788444443</v>
      </c>
      <c r="G1519" s="12">
        <f t="shared" si="211"/>
        <v>14.52017479111111</v>
      </c>
      <c r="H1519" s="12">
        <f t="shared" si="212"/>
        <v>14.52017479111111</v>
      </c>
      <c r="I1519" s="1" t="str">
        <f t="shared" si="213"/>
        <v>No</v>
      </c>
      <c r="J1519" s="1" t="str">
        <f t="shared" si="214"/>
        <v>Si</v>
      </c>
      <c r="K1519" s="1" t="str">
        <f t="shared" si="215"/>
        <v/>
      </c>
    </row>
    <row r="1520" spans="1:11" x14ac:dyDescent="0.3">
      <c r="A1520" s="1">
        <v>29</v>
      </c>
      <c r="B1520" s="1">
        <v>23</v>
      </c>
      <c r="C1520" s="12">
        <f t="shared" si="207"/>
        <v>0.29999999999999982</v>
      </c>
      <c r="D1520" s="12">
        <f t="shared" si="208"/>
        <v>-0.14999999999999991</v>
      </c>
      <c r="E1520" s="12">
        <f t="shared" si="209"/>
        <v>11.080893695999999</v>
      </c>
      <c r="F1520" s="12">
        <f t="shared" si="210"/>
        <v>11.080893695999999</v>
      </c>
      <c r="G1520" s="12">
        <f t="shared" si="211"/>
        <v>14.516670435555554</v>
      </c>
      <c r="H1520" s="12">
        <f t="shared" si="212"/>
        <v>14.516670435555554</v>
      </c>
      <c r="I1520" s="1" t="str">
        <f t="shared" si="213"/>
        <v>No</v>
      </c>
      <c r="J1520" s="1" t="str">
        <f t="shared" si="214"/>
        <v>Si</v>
      </c>
      <c r="K1520" s="1" t="str">
        <f t="shared" si="215"/>
        <v/>
      </c>
    </row>
    <row r="1521" spans="1:11" x14ac:dyDescent="0.3">
      <c r="A1521" s="1">
        <v>29</v>
      </c>
      <c r="B1521" s="1">
        <v>24</v>
      </c>
      <c r="C1521" s="12">
        <f t="shared" si="207"/>
        <v>0.29999999999999982</v>
      </c>
      <c r="D1521" s="12">
        <f t="shared" si="208"/>
        <v>-7.4999999999999956E-2</v>
      </c>
      <c r="E1521" s="12">
        <f t="shared" si="209"/>
        <v>11.078405603555554</v>
      </c>
      <c r="F1521" s="12">
        <f t="shared" si="210"/>
        <v>11.078405603555554</v>
      </c>
      <c r="G1521" s="12">
        <f t="shared" si="211"/>
        <v>14.51316608</v>
      </c>
      <c r="H1521" s="12">
        <f t="shared" si="212"/>
        <v>14.51316608</v>
      </c>
      <c r="I1521" s="1" t="str">
        <f t="shared" si="213"/>
        <v>No</v>
      </c>
      <c r="J1521" s="1" t="str">
        <f t="shared" si="214"/>
        <v>Si</v>
      </c>
      <c r="K1521" s="1" t="str">
        <f t="shared" si="215"/>
        <v/>
      </c>
    </row>
    <row r="1522" spans="1:11" x14ac:dyDescent="0.3">
      <c r="A1522" s="1">
        <v>29</v>
      </c>
      <c r="B1522" s="1">
        <v>25</v>
      </c>
      <c r="C1522" s="12">
        <f t="shared" si="207"/>
        <v>0.29999999999999982</v>
      </c>
      <c r="D1522" s="12">
        <f t="shared" si="208"/>
        <v>0</v>
      </c>
      <c r="E1522" s="12">
        <f t="shared" si="209"/>
        <v>11.075917511111109</v>
      </c>
      <c r="F1522" s="12">
        <f t="shared" si="210"/>
        <v>11.075917511111109</v>
      </c>
      <c r="G1522" s="12">
        <f t="shared" si="211"/>
        <v>14.509661724444443</v>
      </c>
      <c r="H1522" s="12">
        <f t="shared" si="212"/>
        <v>14.509661724444443</v>
      </c>
      <c r="I1522" s="1" t="str">
        <f t="shared" si="213"/>
        <v>No</v>
      </c>
      <c r="J1522" s="1" t="str">
        <f t="shared" si="214"/>
        <v>Si</v>
      </c>
      <c r="K1522" s="1" t="str">
        <f t="shared" si="215"/>
        <v/>
      </c>
    </row>
    <row r="1523" spans="1:11" x14ac:dyDescent="0.3">
      <c r="A1523" s="1">
        <v>29</v>
      </c>
      <c r="B1523" s="1">
        <v>26</v>
      </c>
      <c r="C1523" s="12">
        <f t="shared" si="207"/>
        <v>0.29999999999999982</v>
      </c>
      <c r="D1523" s="12">
        <f t="shared" si="208"/>
        <v>7.4999999999999956E-2</v>
      </c>
      <c r="E1523" s="12">
        <f t="shared" si="209"/>
        <v>11.073429418666665</v>
      </c>
      <c r="F1523" s="12">
        <f t="shared" si="210"/>
        <v>11.073429418666665</v>
      </c>
      <c r="G1523" s="12">
        <f t="shared" si="211"/>
        <v>14.506157368888887</v>
      </c>
      <c r="H1523" s="12">
        <f t="shared" si="212"/>
        <v>14.506157368888887</v>
      </c>
      <c r="I1523" s="1" t="str">
        <f t="shared" si="213"/>
        <v>No</v>
      </c>
      <c r="J1523" s="1" t="str">
        <f t="shared" si="214"/>
        <v>Si</v>
      </c>
      <c r="K1523" s="1" t="str">
        <f t="shared" si="215"/>
        <v/>
      </c>
    </row>
    <row r="1524" spans="1:11" x14ac:dyDescent="0.3">
      <c r="A1524" s="1">
        <v>29</v>
      </c>
      <c r="B1524" s="1">
        <v>27</v>
      </c>
      <c r="C1524" s="12">
        <f t="shared" si="207"/>
        <v>0.29999999999999982</v>
      </c>
      <c r="D1524" s="12">
        <f t="shared" si="208"/>
        <v>0.14999999999999991</v>
      </c>
      <c r="E1524" s="12">
        <f t="shared" si="209"/>
        <v>11.07094132622222</v>
      </c>
      <c r="F1524" s="12">
        <f t="shared" si="210"/>
        <v>11.07094132622222</v>
      </c>
      <c r="G1524" s="12">
        <f t="shared" si="211"/>
        <v>14.502653013333333</v>
      </c>
      <c r="H1524" s="12">
        <f t="shared" si="212"/>
        <v>14.502653013333333</v>
      </c>
      <c r="I1524" s="1" t="str">
        <f t="shared" si="213"/>
        <v>No</v>
      </c>
      <c r="J1524" s="1" t="str">
        <f t="shared" si="214"/>
        <v>Si</v>
      </c>
      <c r="K1524" s="1" t="str">
        <f t="shared" si="215"/>
        <v/>
      </c>
    </row>
    <row r="1525" spans="1:11" x14ac:dyDescent="0.3">
      <c r="A1525" s="1">
        <v>29</v>
      </c>
      <c r="B1525" s="1">
        <v>28</v>
      </c>
      <c r="C1525" s="12">
        <f t="shared" si="207"/>
        <v>0.29999999999999982</v>
      </c>
      <c r="D1525" s="12">
        <f t="shared" si="208"/>
        <v>0.22500000000000009</v>
      </c>
      <c r="E1525" s="12">
        <f t="shared" si="209"/>
        <v>11.068453233777776</v>
      </c>
      <c r="F1525" s="12">
        <f t="shared" si="210"/>
        <v>11.068453233777776</v>
      </c>
      <c r="G1525" s="12">
        <f t="shared" si="211"/>
        <v>14.499148657777777</v>
      </c>
      <c r="H1525" s="12">
        <f t="shared" si="212"/>
        <v>14.499148657777777</v>
      </c>
      <c r="I1525" s="1" t="str">
        <f t="shared" si="213"/>
        <v>No</v>
      </c>
      <c r="J1525" s="1" t="str">
        <f t="shared" si="214"/>
        <v>Si</v>
      </c>
      <c r="K1525" s="1" t="str">
        <f t="shared" si="215"/>
        <v/>
      </c>
    </row>
    <row r="1526" spans="1:11" x14ac:dyDescent="0.3">
      <c r="A1526" s="1">
        <v>29</v>
      </c>
      <c r="B1526" s="1">
        <v>29</v>
      </c>
      <c r="C1526" s="12">
        <f t="shared" si="207"/>
        <v>0.29999999999999982</v>
      </c>
      <c r="D1526" s="12">
        <f t="shared" si="208"/>
        <v>0.29999999999999982</v>
      </c>
      <c r="E1526" s="12">
        <f t="shared" si="209"/>
        <v>11.065965141333331</v>
      </c>
      <c r="F1526" s="12">
        <f t="shared" si="210"/>
        <v>11.065965141333331</v>
      </c>
      <c r="G1526" s="12">
        <f t="shared" si="211"/>
        <v>14.495644302222221</v>
      </c>
      <c r="H1526" s="12">
        <f t="shared" si="212"/>
        <v>14.495644302222221</v>
      </c>
      <c r="I1526" s="1" t="str">
        <f t="shared" si="213"/>
        <v>No</v>
      </c>
      <c r="J1526" s="1" t="str">
        <f t="shared" si="214"/>
        <v>Si</v>
      </c>
      <c r="K1526" s="1" t="str">
        <f t="shared" si="215"/>
        <v/>
      </c>
    </row>
    <row r="1527" spans="1:11" x14ac:dyDescent="0.3">
      <c r="A1527" s="1">
        <v>29</v>
      </c>
      <c r="B1527" s="1">
        <v>30</v>
      </c>
      <c r="C1527" s="12">
        <f t="shared" si="207"/>
        <v>0.29999999999999982</v>
      </c>
      <c r="D1527" s="12">
        <f t="shared" si="208"/>
        <v>0.375</v>
      </c>
      <c r="E1527" s="12">
        <f t="shared" si="209"/>
        <v>11.063477048888887</v>
      </c>
      <c r="F1527" s="12">
        <f t="shared" si="210"/>
        <v>11.063477048888887</v>
      </c>
      <c r="G1527" s="12">
        <f t="shared" si="211"/>
        <v>14.492139946666665</v>
      </c>
      <c r="H1527" s="12">
        <f t="shared" si="212"/>
        <v>14.492139946666665</v>
      </c>
      <c r="I1527" s="1" t="str">
        <f t="shared" si="213"/>
        <v>No</v>
      </c>
      <c r="J1527" s="1" t="str">
        <f t="shared" si="214"/>
        <v>Si</v>
      </c>
      <c r="K1527" s="1" t="str">
        <f t="shared" si="215"/>
        <v/>
      </c>
    </row>
    <row r="1528" spans="1:11" x14ac:dyDescent="0.3">
      <c r="A1528" s="1">
        <v>29</v>
      </c>
      <c r="B1528" s="1">
        <v>31</v>
      </c>
      <c r="C1528" s="12">
        <f t="shared" si="207"/>
        <v>0.29999999999999982</v>
      </c>
      <c r="D1528" s="12">
        <f t="shared" si="208"/>
        <v>0.45000000000000018</v>
      </c>
      <c r="E1528" s="12">
        <f t="shared" si="209"/>
        <v>11.060988956444442</v>
      </c>
      <c r="F1528" s="12">
        <f t="shared" si="210"/>
        <v>11.060988956444442</v>
      </c>
      <c r="G1528" s="12">
        <f t="shared" si="211"/>
        <v>14.488635591111111</v>
      </c>
      <c r="H1528" s="12">
        <f t="shared" si="212"/>
        <v>14.488635591111111</v>
      </c>
      <c r="I1528" s="1" t="str">
        <f t="shared" si="213"/>
        <v>No</v>
      </c>
      <c r="J1528" s="1" t="str">
        <f t="shared" si="214"/>
        <v>Si</v>
      </c>
      <c r="K1528" s="1" t="str">
        <f t="shared" si="215"/>
        <v/>
      </c>
    </row>
    <row r="1529" spans="1:11" x14ac:dyDescent="0.3">
      <c r="A1529" s="1">
        <v>29</v>
      </c>
      <c r="B1529" s="1">
        <v>32</v>
      </c>
      <c r="C1529" s="12">
        <f t="shared" si="207"/>
        <v>0.29999999999999982</v>
      </c>
      <c r="D1529" s="12">
        <f t="shared" si="208"/>
        <v>0.52499999999999991</v>
      </c>
      <c r="E1529" s="12">
        <f t="shared" si="209"/>
        <v>11.058500863999999</v>
      </c>
      <c r="F1529" s="12">
        <f t="shared" si="210"/>
        <v>11.058500863999999</v>
      </c>
      <c r="G1529" s="12">
        <f t="shared" si="211"/>
        <v>14.485131235555555</v>
      </c>
      <c r="H1529" s="12">
        <f t="shared" si="212"/>
        <v>14.485131235555555</v>
      </c>
      <c r="I1529" s="1" t="str">
        <f t="shared" si="213"/>
        <v>No</v>
      </c>
      <c r="J1529" s="1" t="str">
        <f t="shared" si="214"/>
        <v>Si</v>
      </c>
      <c r="K1529" s="1" t="str">
        <f t="shared" si="215"/>
        <v/>
      </c>
    </row>
    <row r="1530" spans="1:11" x14ac:dyDescent="0.3">
      <c r="A1530" s="1">
        <v>29</v>
      </c>
      <c r="B1530" s="1">
        <v>33</v>
      </c>
      <c r="C1530" s="12">
        <f t="shared" si="207"/>
        <v>0.29999999999999982</v>
      </c>
      <c r="D1530" s="12">
        <f t="shared" si="208"/>
        <v>0.60000000000000009</v>
      </c>
      <c r="E1530" s="12">
        <f t="shared" si="209"/>
        <v>11.056012771555555</v>
      </c>
      <c r="F1530" s="12">
        <f t="shared" si="210"/>
        <v>11.056012771555555</v>
      </c>
      <c r="G1530" s="12">
        <f t="shared" si="211"/>
        <v>14.481626879999999</v>
      </c>
      <c r="H1530" s="12">
        <f t="shared" si="212"/>
        <v>14.481626879999999</v>
      </c>
      <c r="I1530" s="1" t="str">
        <f t="shared" si="213"/>
        <v>No</v>
      </c>
      <c r="J1530" s="1" t="str">
        <f t="shared" si="214"/>
        <v>Si</v>
      </c>
      <c r="K1530" s="1" t="str">
        <f t="shared" si="215"/>
        <v/>
      </c>
    </row>
    <row r="1531" spans="1:11" x14ac:dyDescent="0.3">
      <c r="A1531" s="1">
        <v>29</v>
      </c>
      <c r="B1531" s="1">
        <v>34</v>
      </c>
      <c r="C1531" s="12">
        <f t="shared" si="207"/>
        <v>0.29999999999999982</v>
      </c>
      <c r="D1531" s="12">
        <f t="shared" si="208"/>
        <v>0.67499999999999982</v>
      </c>
      <c r="E1531" s="12">
        <f t="shared" si="209"/>
        <v>11.05352467911111</v>
      </c>
      <c r="F1531" s="12">
        <f t="shared" si="210"/>
        <v>11.05352467911111</v>
      </c>
      <c r="G1531" s="12">
        <f t="shared" si="211"/>
        <v>14.478122524444444</v>
      </c>
      <c r="H1531" s="12">
        <f t="shared" si="212"/>
        <v>14.478122524444444</v>
      </c>
      <c r="I1531" s="1" t="str">
        <f t="shared" si="213"/>
        <v>No</v>
      </c>
      <c r="J1531" s="1" t="str">
        <f t="shared" si="214"/>
        <v>Si</v>
      </c>
      <c r="K1531" s="1" t="str">
        <f t="shared" si="215"/>
        <v/>
      </c>
    </row>
    <row r="1532" spans="1:11" x14ac:dyDescent="0.3">
      <c r="A1532" s="1">
        <v>29</v>
      </c>
      <c r="B1532" s="1">
        <v>35</v>
      </c>
      <c r="C1532" s="12">
        <f t="shared" si="207"/>
        <v>0.29999999999999982</v>
      </c>
      <c r="D1532" s="12">
        <f t="shared" si="208"/>
        <v>0.75</v>
      </c>
      <c r="E1532" s="12">
        <f t="shared" si="209"/>
        <v>11.051036586666665</v>
      </c>
      <c r="F1532" s="12">
        <f t="shared" si="210"/>
        <v>11.051036586666665</v>
      </c>
      <c r="G1532" s="12">
        <f t="shared" si="211"/>
        <v>14.474618168888888</v>
      </c>
      <c r="H1532" s="12">
        <f t="shared" si="212"/>
        <v>14.474618168888888</v>
      </c>
      <c r="I1532" s="1" t="str">
        <f t="shared" si="213"/>
        <v>No</v>
      </c>
      <c r="J1532" s="1" t="str">
        <f t="shared" si="214"/>
        <v>Si</v>
      </c>
      <c r="K1532" s="1" t="str">
        <f t="shared" si="215"/>
        <v/>
      </c>
    </row>
    <row r="1533" spans="1:11" x14ac:dyDescent="0.3">
      <c r="A1533" s="1">
        <v>29</v>
      </c>
      <c r="B1533" s="1">
        <v>36</v>
      </c>
      <c r="C1533" s="12">
        <f t="shared" si="207"/>
        <v>0.29999999999999982</v>
      </c>
      <c r="D1533" s="12">
        <f t="shared" si="208"/>
        <v>0.82500000000000018</v>
      </c>
      <c r="E1533" s="12">
        <f t="shared" si="209"/>
        <v>11.048548494222221</v>
      </c>
      <c r="F1533" s="12">
        <f t="shared" si="210"/>
        <v>11.048548494222221</v>
      </c>
      <c r="G1533" s="12">
        <f t="shared" si="211"/>
        <v>14.471113813333332</v>
      </c>
      <c r="H1533" s="12">
        <f t="shared" si="212"/>
        <v>14.471113813333332</v>
      </c>
      <c r="I1533" s="1" t="str">
        <f t="shared" si="213"/>
        <v>No</v>
      </c>
      <c r="J1533" s="1" t="str">
        <f t="shared" si="214"/>
        <v>Si</v>
      </c>
      <c r="K1533" s="1" t="str">
        <f t="shared" si="215"/>
        <v/>
      </c>
    </row>
    <row r="1534" spans="1:11" x14ac:dyDescent="0.3">
      <c r="A1534" s="1">
        <v>29</v>
      </c>
      <c r="B1534" s="1">
        <v>37</v>
      </c>
      <c r="C1534" s="12">
        <f t="shared" si="207"/>
        <v>0.29999999999999982</v>
      </c>
      <c r="D1534" s="12">
        <f t="shared" si="208"/>
        <v>0.89999999999999991</v>
      </c>
      <c r="E1534" s="12">
        <f t="shared" si="209"/>
        <v>11.046060401777776</v>
      </c>
      <c r="F1534" s="12">
        <f t="shared" si="210"/>
        <v>11.046060401777776</v>
      </c>
      <c r="G1534" s="12">
        <f t="shared" si="211"/>
        <v>14.467609457777776</v>
      </c>
      <c r="H1534" s="12">
        <f t="shared" si="212"/>
        <v>14.467609457777776</v>
      </c>
      <c r="I1534" s="1" t="str">
        <f t="shared" si="213"/>
        <v>No</v>
      </c>
      <c r="J1534" s="1" t="str">
        <f t="shared" si="214"/>
        <v>Si</v>
      </c>
      <c r="K1534" s="1" t="str">
        <f t="shared" si="215"/>
        <v/>
      </c>
    </row>
    <row r="1535" spans="1:11" x14ac:dyDescent="0.3">
      <c r="A1535" s="1">
        <v>29</v>
      </c>
      <c r="B1535" s="1">
        <v>38</v>
      </c>
      <c r="C1535" s="12">
        <f t="shared" si="207"/>
        <v>0.29999999999999982</v>
      </c>
      <c r="D1535" s="12">
        <f t="shared" si="208"/>
        <v>0.97500000000000009</v>
      </c>
      <c r="E1535" s="12">
        <f t="shared" si="209"/>
        <v>11.043572309333332</v>
      </c>
      <c r="F1535" s="12">
        <f t="shared" si="210"/>
        <v>11.043572309333332</v>
      </c>
      <c r="G1535" s="12">
        <f t="shared" si="211"/>
        <v>14.464105102222222</v>
      </c>
      <c r="H1535" s="12">
        <f t="shared" si="212"/>
        <v>14.464105102222222</v>
      </c>
      <c r="I1535" s="1" t="str">
        <f t="shared" si="213"/>
        <v>No</v>
      </c>
      <c r="J1535" s="1" t="str">
        <f t="shared" si="214"/>
        <v>Si</v>
      </c>
      <c r="K1535" s="1" t="str">
        <f t="shared" si="215"/>
        <v/>
      </c>
    </row>
    <row r="1536" spans="1:11" x14ac:dyDescent="0.3">
      <c r="A1536" s="1">
        <v>29</v>
      </c>
      <c r="B1536" s="1">
        <v>39</v>
      </c>
      <c r="C1536" s="12">
        <f t="shared" si="207"/>
        <v>0.29999999999999982</v>
      </c>
      <c r="D1536" s="12">
        <f t="shared" si="208"/>
        <v>1.0499999999999998</v>
      </c>
      <c r="E1536" s="12">
        <f t="shared" si="209"/>
        <v>11.041084216888887</v>
      </c>
      <c r="F1536" s="12">
        <f t="shared" si="210"/>
        <v>11.041084216888887</v>
      </c>
      <c r="G1536" s="12">
        <f t="shared" si="211"/>
        <v>14.460600746666666</v>
      </c>
      <c r="H1536" s="12">
        <f t="shared" si="212"/>
        <v>14.460600746666666</v>
      </c>
      <c r="I1536" s="1" t="str">
        <f t="shared" si="213"/>
        <v>No</v>
      </c>
      <c r="J1536" s="1" t="str">
        <f t="shared" si="214"/>
        <v>Si</v>
      </c>
      <c r="K1536" s="1" t="str">
        <f t="shared" si="215"/>
        <v/>
      </c>
    </row>
    <row r="1537" spans="1:11" x14ac:dyDescent="0.3">
      <c r="A1537" s="1">
        <v>29</v>
      </c>
      <c r="B1537" s="1">
        <v>40</v>
      </c>
      <c r="C1537" s="12">
        <f t="shared" si="207"/>
        <v>0.29999999999999982</v>
      </c>
      <c r="D1537" s="12">
        <f t="shared" si="208"/>
        <v>1.125</v>
      </c>
      <c r="E1537" s="12">
        <f t="shared" si="209"/>
        <v>11.038596124444442</v>
      </c>
      <c r="F1537" s="12">
        <f t="shared" si="210"/>
        <v>11.038596124444442</v>
      </c>
      <c r="G1537" s="12">
        <f t="shared" si="211"/>
        <v>14.45709639111111</v>
      </c>
      <c r="H1537" s="12">
        <f t="shared" si="212"/>
        <v>14.45709639111111</v>
      </c>
      <c r="I1537" s="1" t="str">
        <f t="shared" si="213"/>
        <v>No</v>
      </c>
      <c r="J1537" s="1" t="str">
        <f t="shared" si="214"/>
        <v>Si</v>
      </c>
      <c r="K1537" s="1" t="str">
        <f t="shared" si="215"/>
        <v/>
      </c>
    </row>
    <row r="1538" spans="1:11" x14ac:dyDescent="0.3">
      <c r="A1538" s="1">
        <v>29</v>
      </c>
      <c r="B1538" s="1">
        <v>41</v>
      </c>
      <c r="C1538" s="12">
        <f t="shared" si="207"/>
        <v>0.29999999999999982</v>
      </c>
      <c r="D1538" s="12">
        <f t="shared" si="208"/>
        <v>1.2000000000000002</v>
      </c>
      <c r="E1538" s="12">
        <f t="shared" si="209"/>
        <v>11.036108031999998</v>
      </c>
      <c r="F1538" s="12">
        <f t="shared" si="210"/>
        <v>11.036108031999998</v>
      </c>
      <c r="G1538" s="12">
        <f t="shared" si="211"/>
        <v>14.453592035555555</v>
      </c>
      <c r="H1538" s="12">
        <f t="shared" si="212"/>
        <v>14.453592035555555</v>
      </c>
      <c r="I1538" s="1" t="str">
        <f t="shared" si="213"/>
        <v>No</v>
      </c>
      <c r="J1538" s="1" t="str">
        <f t="shared" si="214"/>
        <v>Si</v>
      </c>
      <c r="K1538" s="1" t="str">
        <f t="shared" si="215"/>
        <v/>
      </c>
    </row>
    <row r="1539" spans="1:11" x14ac:dyDescent="0.3">
      <c r="A1539" s="1">
        <v>29</v>
      </c>
      <c r="B1539" s="1">
        <v>42</v>
      </c>
      <c r="C1539" s="12">
        <f t="shared" si="207"/>
        <v>0.29999999999999982</v>
      </c>
      <c r="D1539" s="12">
        <f t="shared" si="208"/>
        <v>1.2749999999999999</v>
      </c>
      <c r="E1539" s="12">
        <f t="shared" si="209"/>
        <v>11.033619939555553</v>
      </c>
      <c r="F1539" s="12">
        <f t="shared" si="210"/>
        <v>11.033619939555553</v>
      </c>
      <c r="G1539" s="12">
        <f t="shared" si="211"/>
        <v>14.450087679999999</v>
      </c>
      <c r="H1539" s="12">
        <f t="shared" si="212"/>
        <v>14.450087679999999</v>
      </c>
      <c r="I1539" s="1" t="str">
        <f t="shared" si="213"/>
        <v>No</v>
      </c>
      <c r="J1539" s="1" t="str">
        <f t="shared" si="214"/>
        <v>Si</v>
      </c>
      <c r="K1539" s="1" t="str">
        <f t="shared" si="215"/>
        <v/>
      </c>
    </row>
    <row r="1540" spans="1:11" x14ac:dyDescent="0.3">
      <c r="A1540" s="1">
        <v>29</v>
      </c>
      <c r="B1540" s="1">
        <v>43</v>
      </c>
      <c r="C1540" s="12">
        <f t="shared" si="207"/>
        <v>0.29999999999999982</v>
      </c>
      <c r="D1540" s="12">
        <f t="shared" si="208"/>
        <v>1.35</v>
      </c>
      <c r="E1540" s="12">
        <f t="shared" si="209"/>
        <v>11.031131847111109</v>
      </c>
      <c r="F1540" s="12">
        <f t="shared" si="210"/>
        <v>11.031131847111109</v>
      </c>
      <c r="G1540" s="12">
        <f t="shared" si="211"/>
        <v>14.446583324444443</v>
      </c>
      <c r="H1540" s="12">
        <f t="shared" si="212"/>
        <v>14.446583324444443</v>
      </c>
      <c r="I1540" s="1" t="str">
        <f t="shared" si="213"/>
        <v>No</v>
      </c>
      <c r="J1540" s="1" t="str">
        <f t="shared" si="214"/>
        <v>Si</v>
      </c>
      <c r="K1540" s="1" t="str">
        <f t="shared" si="215"/>
        <v/>
      </c>
    </row>
    <row r="1541" spans="1:11" x14ac:dyDescent="0.3">
      <c r="A1541" s="1">
        <v>29</v>
      </c>
      <c r="B1541" s="1">
        <v>44</v>
      </c>
      <c r="C1541" s="12">
        <f t="shared" si="207"/>
        <v>0.29999999999999982</v>
      </c>
      <c r="D1541" s="12">
        <f t="shared" si="208"/>
        <v>1.4249999999999998</v>
      </c>
      <c r="E1541" s="12">
        <f t="shared" si="209"/>
        <v>11.028643754666666</v>
      </c>
      <c r="F1541" s="12">
        <f t="shared" si="210"/>
        <v>11.028643754666666</v>
      </c>
      <c r="G1541" s="12">
        <f t="shared" si="211"/>
        <v>14.443078968888887</v>
      </c>
      <c r="H1541" s="12">
        <f t="shared" si="212"/>
        <v>14.443078968888887</v>
      </c>
      <c r="I1541" s="1" t="str">
        <f t="shared" si="213"/>
        <v>No</v>
      </c>
      <c r="J1541" s="1" t="str">
        <f t="shared" si="214"/>
        <v>Si</v>
      </c>
      <c r="K1541" s="1" t="str">
        <f t="shared" si="215"/>
        <v/>
      </c>
    </row>
    <row r="1542" spans="1:11" x14ac:dyDescent="0.3">
      <c r="A1542" s="1">
        <v>29</v>
      </c>
      <c r="B1542" s="1">
        <v>45</v>
      </c>
      <c r="C1542" s="12">
        <f t="shared" si="207"/>
        <v>0.29999999999999982</v>
      </c>
      <c r="D1542" s="12">
        <f t="shared" si="208"/>
        <v>1.5</v>
      </c>
      <c r="E1542" s="12">
        <f t="shared" si="209"/>
        <v>11.026155662222221</v>
      </c>
      <c r="F1542" s="12">
        <f t="shared" si="210"/>
        <v>11.026155662222221</v>
      </c>
      <c r="G1542" s="12">
        <f t="shared" si="211"/>
        <v>14.439574613333333</v>
      </c>
      <c r="H1542" s="12">
        <f t="shared" si="212"/>
        <v>14.439574613333333</v>
      </c>
      <c r="I1542" s="1" t="str">
        <f t="shared" si="213"/>
        <v>No</v>
      </c>
      <c r="J1542" s="1" t="str">
        <f t="shared" si="214"/>
        <v>Si</v>
      </c>
      <c r="K1542" s="1" t="str">
        <f t="shared" si="215"/>
        <v/>
      </c>
    </row>
    <row r="1543" spans="1:11" x14ac:dyDescent="0.3">
      <c r="A1543" s="1">
        <v>29</v>
      </c>
      <c r="B1543" s="1">
        <v>46</v>
      </c>
      <c r="C1543" s="12">
        <f t="shared" si="207"/>
        <v>0.29999999999999982</v>
      </c>
      <c r="D1543" s="12">
        <f t="shared" si="208"/>
        <v>1.5750000000000002</v>
      </c>
      <c r="E1543" s="12">
        <f t="shared" si="209"/>
        <v>11.023667569777777</v>
      </c>
      <c r="F1543" s="12">
        <f t="shared" si="210"/>
        <v>11.023667569777777</v>
      </c>
      <c r="G1543" s="12">
        <f t="shared" si="211"/>
        <v>14.436070257777777</v>
      </c>
      <c r="H1543" s="12">
        <f t="shared" si="212"/>
        <v>14.436070257777777</v>
      </c>
      <c r="I1543" s="1" t="str">
        <f t="shared" si="213"/>
        <v>No</v>
      </c>
      <c r="J1543" s="1" t="str">
        <f t="shared" si="214"/>
        <v>Si</v>
      </c>
      <c r="K1543" s="1" t="str">
        <f t="shared" si="215"/>
        <v/>
      </c>
    </row>
    <row r="1544" spans="1:11" x14ac:dyDescent="0.3">
      <c r="A1544" s="1">
        <v>29</v>
      </c>
      <c r="B1544" s="1">
        <v>47</v>
      </c>
      <c r="C1544" s="12">
        <f t="shared" si="207"/>
        <v>0.29999999999999982</v>
      </c>
      <c r="D1544" s="12">
        <f t="shared" si="208"/>
        <v>1.65</v>
      </c>
      <c r="E1544" s="12">
        <f t="shared" si="209"/>
        <v>11.021179477333332</v>
      </c>
      <c r="F1544" s="12">
        <f t="shared" si="210"/>
        <v>11.021179477333332</v>
      </c>
      <c r="G1544" s="12">
        <f t="shared" si="211"/>
        <v>14.432565902222221</v>
      </c>
      <c r="H1544" s="12">
        <f t="shared" si="212"/>
        <v>14.432565902222221</v>
      </c>
      <c r="I1544" s="1" t="str">
        <f t="shared" si="213"/>
        <v>No</v>
      </c>
      <c r="J1544" s="1" t="str">
        <f t="shared" si="214"/>
        <v>Si</v>
      </c>
      <c r="K1544" s="1" t="str">
        <f t="shared" si="215"/>
        <v/>
      </c>
    </row>
    <row r="1545" spans="1:11" x14ac:dyDescent="0.3">
      <c r="A1545" s="1">
        <v>29</v>
      </c>
      <c r="B1545" s="1">
        <v>48</v>
      </c>
      <c r="C1545" s="12">
        <f t="shared" si="207"/>
        <v>0.29999999999999982</v>
      </c>
      <c r="D1545" s="12">
        <f t="shared" si="208"/>
        <v>1.7250000000000001</v>
      </c>
      <c r="E1545" s="12">
        <f t="shared" si="209"/>
        <v>11.018691384888887</v>
      </c>
      <c r="F1545" s="12">
        <f t="shared" si="210"/>
        <v>11.018691384888887</v>
      </c>
      <c r="G1545" s="12">
        <f t="shared" si="211"/>
        <v>14.429061546666667</v>
      </c>
      <c r="H1545" s="12">
        <f t="shared" si="212"/>
        <v>14.429061546666667</v>
      </c>
      <c r="I1545" s="1" t="str">
        <f t="shared" si="213"/>
        <v>No</v>
      </c>
      <c r="J1545" s="1" t="str">
        <f t="shared" si="214"/>
        <v>Si</v>
      </c>
      <c r="K1545" s="1" t="str">
        <f t="shared" si="215"/>
        <v/>
      </c>
    </row>
    <row r="1546" spans="1:11" x14ac:dyDescent="0.3">
      <c r="A1546" s="1">
        <v>29</v>
      </c>
      <c r="B1546" s="1">
        <v>49</v>
      </c>
      <c r="C1546" s="12">
        <f t="shared" si="207"/>
        <v>0.29999999999999982</v>
      </c>
      <c r="D1546" s="12">
        <f t="shared" si="208"/>
        <v>1.7999999999999998</v>
      </c>
      <c r="E1546" s="12">
        <f t="shared" si="209"/>
        <v>11.016203292444443</v>
      </c>
      <c r="F1546" s="12">
        <f t="shared" si="210"/>
        <v>11.016203292444443</v>
      </c>
      <c r="G1546" s="12">
        <f t="shared" si="211"/>
        <v>14.42555719111111</v>
      </c>
      <c r="H1546" s="12">
        <f t="shared" si="212"/>
        <v>14.42555719111111</v>
      </c>
      <c r="I1546" s="1" t="str">
        <f t="shared" si="213"/>
        <v>No</v>
      </c>
      <c r="J1546" s="1" t="str">
        <f t="shared" si="214"/>
        <v>Si</v>
      </c>
      <c r="K1546" s="1" t="str">
        <f t="shared" si="215"/>
        <v/>
      </c>
    </row>
    <row r="1547" spans="1:11" x14ac:dyDescent="0.3">
      <c r="A1547" s="1">
        <v>29</v>
      </c>
      <c r="B1547" s="1">
        <v>50</v>
      </c>
      <c r="C1547" s="12">
        <f t="shared" si="207"/>
        <v>0.29999999999999982</v>
      </c>
      <c r="D1547" s="12">
        <f t="shared" si="208"/>
        <v>1.875</v>
      </c>
      <c r="E1547" s="12">
        <f t="shared" si="209"/>
        <v>11.013715199999998</v>
      </c>
      <c r="F1547" s="12">
        <f t="shared" si="210"/>
        <v>11.013715199999998</v>
      </c>
      <c r="G1547" s="12">
        <f t="shared" si="211"/>
        <v>14.422052835555554</v>
      </c>
      <c r="H1547" s="12">
        <f t="shared" si="212"/>
        <v>14.422052835555554</v>
      </c>
      <c r="I1547" s="1" t="str">
        <f t="shared" si="213"/>
        <v>No</v>
      </c>
      <c r="J1547" s="1" t="str">
        <f t="shared" si="214"/>
        <v>Si</v>
      </c>
      <c r="K1547" s="1" t="str">
        <f t="shared" si="215"/>
        <v/>
      </c>
    </row>
    <row r="1548" spans="1:11" x14ac:dyDescent="0.3">
      <c r="A1548" s="1">
        <v>30</v>
      </c>
      <c r="B1548" s="1">
        <v>0</v>
      </c>
      <c r="C1548" s="12">
        <f t="shared" si="207"/>
        <v>0.375</v>
      </c>
      <c r="D1548" s="12">
        <f t="shared" si="208"/>
        <v>-1.875</v>
      </c>
      <c r="E1548" s="12">
        <f t="shared" si="209"/>
        <v>11.138813866666666</v>
      </c>
      <c r="F1548" s="12">
        <f t="shared" si="210"/>
        <v>11.138813866666666</v>
      </c>
      <c r="G1548" s="12">
        <f t="shared" si="211"/>
        <v>14.598308266666665</v>
      </c>
      <c r="H1548" s="12">
        <f t="shared" si="212"/>
        <v>14.598308266666665</v>
      </c>
      <c r="I1548" s="1" t="str">
        <f t="shared" si="213"/>
        <v>No</v>
      </c>
      <c r="J1548" s="1" t="str">
        <f t="shared" si="214"/>
        <v>Si</v>
      </c>
      <c r="K1548" s="1" t="str">
        <f t="shared" si="215"/>
        <v/>
      </c>
    </row>
    <row r="1549" spans="1:11" x14ac:dyDescent="0.3">
      <c r="A1549" s="1">
        <v>30</v>
      </c>
      <c r="B1549" s="1">
        <v>1</v>
      </c>
      <c r="C1549" s="12">
        <f t="shared" si="207"/>
        <v>0.375</v>
      </c>
      <c r="D1549" s="12">
        <f t="shared" si="208"/>
        <v>-1.8</v>
      </c>
      <c r="E1549" s="12">
        <f t="shared" si="209"/>
        <v>11.136325774222222</v>
      </c>
      <c r="F1549" s="12">
        <f t="shared" si="210"/>
        <v>11.136325774222222</v>
      </c>
      <c r="G1549" s="12">
        <f t="shared" si="211"/>
        <v>14.594803911111109</v>
      </c>
      <c r="H1549" s="12">
        <f t="shared" si="212"/>
        <v>14.594803911111109</v>
      </c>
      <c r="I1549" s="1" t="str">
        <f t="shared" si="213"/>
        <v>No</v>
      </c>
      <c r="J1549" s="1" t="str">
        <f t="shared" si="214"/>
        <v>Si</v>
      </c>
      <c r="K1549" s="1" t="str">
        <f t="shared" si="215"/>
        <v/>
      </c>
    </row>
    <row r="1550" spans="1:11" x14ac:dyDescent="0.3">
      <c r="A1550" s="1">
        <v>30</v>
      </c>
      <c r="B1550" s="1">
        <v>2</v>
      </c>
      <c r="C1550" s="12">
        <f t="shared" si="207"/>
        <v>0.375</v>
      </c>
      <c r="D1550" s="12">
        <f t="shared" si="208"/>
        <v>-1.7250000000000001</v>
      </c>
      <c r="E1550" s="12">
        <f t="shared" si="209"/>
        <v>11.133837681777777</v>
      </c>
      <c r="F1550" s="12">
        <f t="shared" si="210"/>
        <v>11.133837681777777</v>
      </c>
      <c r="G1550" s="12">
        <f t="shared" si="211"/>
        <v>14.591299555555553</v>
      </c>
      <c r="H1550" s="12">
        <f t="shared" si="212"/>
        <v>14.591299555555553</v>
      </c>
      <c r="I1550" s="1" t="str">
        <f t="shared" si="213"/>
        <v>No</v>
      </c>
      <c r="J1550" s="1" t="str">
        <f t="shared" si="214"/>
        <v>Si</v>
      </c>
      <c r="K1550" s="1" t="str">
        <f t="shared" si="215"/>
        <v/>
      </c>
    </row>
    <row r="1551" spans="1:11" x14ac:dyDescent="0.3">
      <c r="A1551" s="1">
        <v>30</v>
      </c>
      <c r="B1551" s="1">
        <v>3</v>
      </c>
      <c r="C1551" s="12">
        <f t="shared" si="207"/>
        <v>0.375</v>
      </c>
      <c r="D1551" s="12">
        <f t="shared" si="208"/>
        <v>-1.65</v>
      </c>
      <c r="E1551" s="12">
        <f t="shared" si="209"/>
        <v>11.131349589333333</v>
      </c>
      <c r="F1551" s="12">
        <f t="shared" si="210"/>
        <v>11.131349589333333</v>
      </c>
      <c r="G1551" s="12">
        <f t="shared" si="211"/>
        <v>14.587795199999999</v>
      </c>
      <c r="H1551" s="12">
        <f t="shared" si="212"/>
        <v>14.587795199999999</v>
      </c>
      <c r="I1551" s="1" t="str">
        <f t="shared" si="213"/>
        <v>No</v>
      </c>
      <c r="J1551" s="1" t="str">
        <f t="shared" si="214"/>
        <v>Si</v>
      </c>
      <c r="K1551" s="1" t="str">
        <f t="shared" si="215"/>
        <v/>
      </c>
    </row>
    <row r="1552" spans="1:11" x14ac:dyDescent="0.3">
      <c r="A1552" s="1">
        <v>30</v>
      </c>
      <c r="B1552" s="1">
        <v>4</v>
      </c>
      <c r="C1552" s="12">
        <f t="shared" si="207"/>
        <v>0.375</v>
      </c>
      <c r="D1552" s="12">
        <f t="shared" si="208"/>
        <v>-1.575</v>
      </c>
      <c r="E1552" s="12">
        <f t="shared" si="209"/>
        <v>11.128861496888888</v>
      </c>
      <c r="F1552" s="12">
        <f t="shared" si="210"/>
        <v>11.128861496888888</v>
      </c>
      <c r="G1552" s="12">
        <f t="shared" si="211"/>
        <v>14.584290844444443</v>
      </c>
      <c r="H1552" s="12">
        <f t="shared" si="212"/>
        <v>14.584290844444443</v>
      </c>
      <c r="I1552" s="1" t="str">
        <f t="shared" si="213"/>
        <v>No</v>
      </c>
      <c r="J1552" s="1" t="str">
        <f t="shared" si="214"/>
        <v>Si</v>
      </c>
      <c r="K1552" s="1" t="str">
        <f t="shared" si="215"/>
        <v/>
      </c>
    </row>
    <row r="1553" spans="1:11" x14ac:dyDescent="0.3">
      <c r="A1553" s="1">
        <v>30</v>
      </c>
      <c r="B1553" s="1">
        <v>5</v>
      </c>
      <c r="C1553" s="12">
        <f t="shared" si="207"/>
        <v>0.375</v>
      </c>
      <c r="D1553" s="12">
        <f t="shared" si="208"/>
        <v>-1.5</v>
      </c>
      <c r="E1553" s="12">
        <f t="shared" si="209"/>
        <v>11.126373404444443</v>
      </c>
      <c r="F1553" s="12">
        <f t="shared" si="210"/>
        <v>11.126373404444443</v>
      </c>
      <c r="G1553" s="12">
        <f t="shared" si="211"/>
        <v>14.580786488888887</v>
      </c>
      <c r="H1553" s="12">
        <f t="shared" si="212"/>
        <v>14.580786488888887</v>
      </c>
      <c r="I1553" s="1" t="str">
        <f t="shared" si="213"/>
        <v>No</v>
      </c>
      <c r="J1553" s="1" t="str">
        <f t="shared" si="214"/>
        <v>Si</v>
      </c>
      <c r="K1553" s="1" t="str">
        <f t="shared" si="215"/>
        <v/>
      </c>
    </row>
    <row r="1554" spans="1:11" x14ac:dyDescent="0.3">
      <c r="A1554" s="1">
        <v>30</v>
      </c>
      <c r="B1554" s="1">
        <v>6</v>
      </c>
      <c r="C1554" s="12">
        <f t="shared" ref="C1554:C1617" si="216">IF(OR(A1554&gt;inp_n_div_x,B1554&gt;inp_n_div_y),"",-inp_bx/2+A1554*inp_bx/inp_n_div_x)</f>
        <v>0.375</v>
      </c>
      <c r="D1554" s="12">
        <f t="shared" ref="D1554:D1617" si="217">IF(C1554="","",-inp_by/2+B1554*inp_by/inp_n_div_y)</f>
        <v>-1.425</v>
      </c>
      <c r="E1554" s="12">
        <f t="shared" ref="E1554:E1617" si="218">IF(C1554="","",res_srv_p_tot/geo_area+res_srv_mx_tot/geo_ix*D1554+res_srv_my_tot/geo_iy*C1554)</f>
        <v>11.123885311999999</v>
      </c>
      <c r="F1554" s="12">
        <f t="shared" ref="F1554:F1617" si="219">IF(E1554="","",MAX(0,E1554))</f>
        <v>11.123885311999999</v>
      </c>
      <c r="G1554" s="12">
        <f t="shared" ref="G1554:G1617" si="220">IF(C1554="","",res_u_p_tot/geo_area+res_u_mx_tot/geo_ix*D1554+res_u_my_tot/geo_iy*C1554)</f>
        <v>14.577282133333332</v>
      </c>
      <c r="H1554" s="12">
        <f t="shared" ref="H1554:H1617" si="221">IF(G1554="","",MAX(0,G1554))</f>
        <v>14.577282133333332</v>
      </c>
      <c r="I1554" s="1" t="str">
        <f t="shared" ref="I1554:I1617" si="222">IF(C1554="","",IF(AND(C1554&gt;=inp_xc-inp_cx/2,C1554&lt;=inp_xc+inp_cx/2,D1554&gt;=inp_yc-inp_cy/2,D1554&lt;=inp_yc+inp_cy/2),"Si","No"))</f>
        <v>No</v>
      </c>
      <c r="J1554" s="1" t="str">
        <f t="shared" ref="J1554:J1617" si="223">IF(C1554="","","Si")</f>
        <v>Si</v>
      </c>
      <c r="K1554" s="1" t="str">
        <f t="shared" ref="K1554:K1617" si="224">IF(OR(E1554&lt;0,G1554&lt;0),"Presion negativa","")</f>
        <v/>
      </c>
    </row>
    <row r="1555" spans="1:11" x14ac:dyDescent="0.3">
      <c r="A1555" s="1">
        <v>30</v>
      </c>
      <c r="B1555" s="1">
        <v>7</v>
      </c>
      <c r="C1555" s="12">
        <f t="shared" si="216"/>
        <v>0.375</v>
      </c>
      <c r="D1555" s="12">
        <f t="shared" si="217"/>
        <v>-1.35</v>
      </c>
      <c r="E1555" s="12">
        <f t="shared" si="218"/>
        <v>11.121397219555556</v>
      </c>
      <c r="F1555" s="12">
        <f t="shared" si="219"/>
        <v>11.121397219555556</v>
      </c>
      <c r="G1555" s="12">
        <f t="shared" si="220"/>
        <v>14.573777777777776</v>
      </c>
      <c r="H1555" s="12">
        <f t="shared" si="221"/>
        <v>14.573777777777776</v>
      </c>
      <c r="I1555" s="1" t="str">
        <f t="shared" si="222"/>
        <v>No</v>
      </c>
      <c r="J1555" s="1" t="str">
        <f t="shared" si="223"/>
        <v>Si</v>
      </c>
      <c r="K1555" s="1" t="str">
        <f t="shared" si="224"/>
        <v/>
      </c>
    </row>
    <row r="1556" spans="1:11" x14ac:dyDescent="0.3">
      <c r="A1556" s="1">
        <v>30</v>
      </c>
      <c r="B1556" s="1">
        <v>8</v>
      </c>
      <c r="C1556" s="12">
        <f t="shared" si="216"/>
        <v>0.375</v>
      </c>
      <c r="D1556" s="12">
        <f t="shared" si="217"/>
        <v>-1.2749999999999999</v>
      </c>
      <c r="E1556" s="12">
        <f t="shared" si="218"/>
        <v>11.118909127111111</v>
      </c>
      <c r="F1556" s="12">
        <f t="shared" si="219"/>
        <v>11.118909127111111</v>
      </c>
      <c r="G1556" s="12">
        <f t="shared" si="220"/>
        <v>14.57027342222222</v>
      </c>
      <c r="H1556" s="12">
        <f t="shared" si="221"/>
        <v>14.57027342222222</v>
      </c>
      <c r="I1556" s="1" t="str">
        <f t="shared" si="222"/>
        <v>No</v>
      </c>
      <c r="J1556" s="1" t="str">
        <f t="shared" si="223"/>
        <v>Si</v>
      </c>
      <c r="K1556" s="1" t="str">
        <f t="shared" si="224"/>
        <v/>
      </c>
    </row>
    <row r="1557" spans="1:11" x14ac:dyDescent="0.3">
      <c r="A1557" s="1">
        <v>30</v>
      </c>
      <c r="B1557" s="1">
        <v>9</v>
      </c>
      <c r="C1557" s="12">
        <f t="shared" si="216"/>
        <v>0.375</v>
      </c>
      <c r="D1557" s="12">
        <f t="shared" si="217"/>
        <v>-1.2</v>
      </c>
      <c r="E1557" s="12">
        <f t="shared" si="218"/>
        <v>11.116421034666667</v>
      </c>
      <c r="F1557" s="12">
        <f t="shared" si="219"/>
        <v>11.116421034666667</v>
      </c>
      <c r="G1557" s="12">
        <f t="shared" si="220"/>
        <v>14.566769066666664</v>
      </c>
      <c r="H1557" s="12">
        <f t="shared" si="221"/>
        <v>14.566769066666664</v>
      </c>
      <c r="I1557" s="1" t="str">
        <f t="shared" si="222"/>
        <v>No</v>
      </c>
      <c r="J1557" s="1" t="str">
        <f t="shared" si="223"/>
        <v>Si</v>
      </c>
      <c r="K1557" s="1" t="str">
        <f t="shared" si="224"/>
        <v/>
      </c>
    </row>
    <row r="1558" spans="1:11" x14ac:dyDescent="0.3">
      <c r="A1558" s="1">
        <v>30</v>
      </c>
      <c r="B1558" s="1">
        <v>10</v>
      </c>
      <c r="C1558" s="12">
        <f t="shared" si="216"/>
        <v>0.375</v>
      </c>
      <c r="D1558" s="12">
        <f t="shared" si="217"/>
        <v>-1.125</v>
      </c>
      <c r="E1558" s="12">
        <f t="shared" si="218"/>
        <v>11.113932942222222</v>
      </c>
      <c r="F1558" s="12">
        <f t="shared" si="219"/>
        <v>11.113932942222222</v>
      </c>
      <c r="G1558" s="12">
        <f t="shared" si="220"/>
        <v>14.56326471111111</v>
      </c>
      <c r="H1558" s="12">
        <f t="shared" si="221"/>
        <v>14.56326471111111</v>
      </c>
      <c r="I1558" s="1" t="str">
        <f t="shared" si="222"/>
        <v>No</v>
      </c>
      <c r="J1558" s="1" t="str">
        <f t="shared" si="223"/>
        <v>Si</v>
      </c>
      <c r="K1558" s="1" t="str">
        <f t="shared" si="224"/>
        <v/>
      </c>
    </row>
    <row r="1559" spans="1:11" x14ac:dyDescent="0.3">
      <c r="A1559" s="1">
        <v>30</v>
      </c>
      <c r="B1559" s="1">
        <v>11</v>
      </c>
      <c r="C1559" s="12">
        <f t="shared" si="216"/>
        <v>0.375</v>
      </c>
      <c r="D1559" s="12">
        <f t="shared" si="217"/>
        <v>-1.05</v>
      </c>
      <c r="E1559" s="12">
        <f t="shared" si="218"/>
        <v>11.111444849777778</v>
      </c>
      <c r="F1559" s="12">
        <f t="shared" si="219"/>
        <v>11.111444849777778</v>
      </c>
      <c r="G1559" s="12">
        <f t="shared" si="220"/>
        <v>14.559760355555554</v>
      </c>
      <c r="H1559" s="12">
        <f t="shared" si="221"/>
        <v>14.559760355555554</v>
      </c>
      <c r="I1559" s="1" t="str">
        <f t="shared" si="222"/>
        <v>No</v>
      </c>
      <c r="J1559" s="1" t="str">
        <f t="shared" si="223"/>
        <v>Si</v>
      </c>
      <c r="K1559" s="1" t="str">
        <f t="shared" si="224"/>
        <v/>
      </c>
    </row>
    <row r="1560" spans="1:11" x14ac:dyDescent="0.3">
      <c r="A1560" s="1">
        <v>30</v>
      </c>
      <c r="B1560" s="1">
        <v>12</v>
      </c>
      <c r="C1560" s="12">
        <f t="shared" si="216"/>
        <v>0.375</v>
      </c>
      <c r="D1560" s="12">
        <f t="shared" si="217"/>
        <v>-0.97499999999999998</v>
      </c>
      <c r="E1560" s="12">
        <f t="shared" si="218"/>
        <v>11.108956757333333</v>
      </c>
      <c r="F1560" s="12">
        <f t="shared" si="219"/>
        <v>11.108956757333333</v>
      </c>
      <c r="G1560" s="12">
        <f t="shared" si="220"/>
        <v>14.556255999999998</v>
      </c>
      <c r="H1560" s="12">
        <f t="shared" si="221"/>
        <v>14.556255999999998</v>
      </c>
      <c r="I1560" s="1" t="str">
        <f t="shared" si="222"/>
        <v>No</v>
      </c>
      <c r="J1560" s="1" t="str">
        <f t="shared" si="223"/>
        <v>Si</v>
      </c>
      <c r="K1560" s="1" t="str">
        <f t="shared" si="224"/>
        <v/>
      </c>
    </row>
    <row r="1561" spans="1:11" x14ac:dyDescent="0.3">
      <c r="A1561" s="1">
        <v>30</v>
      </c>
      <c r="B1561" s="1">
        <v>13</v>
      </c>
      <c r="C1561" s="12">
        <f t="shared" si="216"/>
        <v>0.375</v>
      </c>
      <c r="D1561" s="12">
        <f t="shared" si="217"/>
        <v>-0.9</v>
      </c>
      <c r="E1561" s="12">
        <f t="shared" si="218"/>
        <v>11.106468664888888</v>
      </c>
      <c r="F1561" s="12">
        <f t="shared" si="219"/>
        <v>11.106468664888888</v>
      </c>
      <c r="G1561" s="12">
        <f t="shared" si="220"/>
        <v>14.552751644444443</v>
      </c>
      <c r="H1561" s="12">
        <f t="shared" si="221"/>
        <v>14.552751644444443</v>
      </c>
      <c r="I1561" s="1" t="str">
        <f t="shared" si="222"/>
        <v>No</v>
      </c>
      <c r="J1561" s="1" t="str">
        <f t="shared" si="223"/>
        <v>Si</v>
      </c>
      <c r="K1561" s="1" t="str">
        <f t="shared" si="224"/>
        <v/>
      </c>
    </row>
    <row r="1562" spans="1:11" x14ac:dyDescent="0.3">
      <c r="A1562" s="1">
        <v>30</v>
      </c>
      <c r="B1562" s="1">
        <v>14</v>
      </c>
      <c r="C1562" s="12">
        <f t="shared" si="216"/>
        <v>0.375</v>
      </c>
      <c r="D1562" s="12">
        <f t="shared" si="217"/>
        <v>-0.82499999999999996</v>
      </c>
      <c r="E1562" s="12">
        <f t="shared" si="218"/>
        <v>11.103980572444444</v>
      </c>
      <c r="F1562" s="12">
        <f t="shared" si="219"/>
        <v>11.103980572444444</v>
      </c>
      <c r="G1562" s="12">
        <f t="shared" si="220"/>
        <v>14.549247288888887</v>
      </c>
      <c r="H1562" s="12">
        <f t="shared" si="221"/>
        <v>14.549247288888887</v>
      </c>
      <c r="I1562" s="1" t="str">
        <f t="shared" si="222"/>
        <v>No</v>
      </c>
      <c r="J1562" s="1" t="str">
        <f t="shared" si="223"/>
        <v>Si</v>
      </c>
      <c r="K1562" s="1" t="str">
        <f t="shared" si="224"/>
        <v/>
      </c>
    </row>
    <row r="1563" spans="1:11" x14ac:dyDescent="0.3">
      <c r="A1563" s="1">
        <v>30</v>
      </c>
      <c r="B1563" s="1">
        <v>15</v>
      </c>
      <c r="C1563" s="12">
        <f t="shared" si="216"/>
        <v>0.375</v>
      </c>
      <c r="D1563" s="12">
        <f t="shared" si="217"/>
        <v>-0.75</v>
      </c>
      <c r="E1563" s="12">
        <f t="shared" si="218"/>
        <v>11.101492479999999</v>
      </c>
      <c r="F1563" s="12">
        <f t="shared" si="219"/>
        <v>11.101492479999999</v>
      </c>
      <c r="G1563" s="12">
        <f t="shared" si="220"/>
        <v>14.545742933333331</v>
      </c>
      <c r="H1563" s="12">
        <f t="shared" si="221"/>
        <v>14.545742933333331</v>
      </c>
      <c r="I1563" s="1" t="str">
        <f t="shared" si="222"/>
        <v>No</v>
      </c>
      <c r="J1563" s="1" t="str">
        <f t="shared" si="223"/>
        <v>Si</v>
      </c>
      <c r="K1563" s="1" t="str">
        <f t="shared" si="224"/>
        <v/>
      </c>
    </row>
    <row r="1564" spans="1:11" x14ac:dyDescent="0.3">
      <c r="A1564" s="1">
        <v>30</v>
      </c>
      <c r="B1564" s="1">
        <v>16</v>
      </c>
      <c r="C1564" s="12">
        <f t="shared" si="216"/>
        <v>0.375</v>
      </c>
      <c r="D1564" s="12">
        <f t="shared" si="217"/>
        <v>-0.67500000000000004</v>
      </c>
      <c r="E1564" s="12">
        <f t="shared" si="218"/>
        <v>11.099004387555555</v>
      </c>
      <c r="F1564" s="12">
        <f t="shared" si="219"/>
        <v>11.099004387555555</v>
      </c>
      <c r="G1564" s="12">
        <f t="shared" si="220"/>
        <v>14.542238577777775</v>
      </c>
      <c r="H1564" s="12">
        <f t="shared" si="221"/>
        <v>14.542238577777775</v>
      </c>
      <c r="I1564" s="1" t="str">
        <f t="shared" si="222"/>
        <v>No</v>
      </c>
      <c r="J1564" s="1" t="str">
        <f t="shared" si="223"/>
        <v>Si</v>
      </c>
      <c r="K1564" s="1" t="str">
        <f t="shared" si="224"/>
        <v/>
      </c>
    </row>
    <row r="1565" spans="1:11" x14ac:dyDescent="0.3">
      <c r="A1565" s="1">
        <v>30</v>
      </c>
      <c r="B1565" s="1">
        <v>17</v>
      </c>
      <c r="C1565" s="12">
        <f t="shared" si="216"/>
        <v>0.375</v>
      </c>
      <c r="D1565" s="12">
        <f t="shared" si="217"/>
        <v>-0.60000000000000009</v>
      </c>
      <c r="E1565" s="12">
        <f t="shared" si="218"/>
        <v>11.09651629511111</v>
      </c>
      <c r="F1565" s="12">
        <f t="shared" si="219"/>
        <v>11.09651629511111</v>
      </c>
      <c r="G1565" s="12">
        <f t="shared" si="220"/>
        <v>14.538734222222221</v>
      </c>
      <c r="H1565" s="12">
        <f t="shared" si="221"/>
        <v>14.538734222222221</v>
      </c>
      <c r="I1565" s="1" t="str">
        <f t="shared" si="222"/>
        <v>No</v>
      </c>
      <c r="J1565" s="1" t="str">
        <f t="shared" si="223"/>
        <v>Si</v>
      </c>
      <c r="K1565" s="1" t="str">
        <f t="shared" si="224"/>
        <v/>
      </c>
    </row>
    <row r="1566" spans="1:11" x14ac:dyDescent="0.3">
      <c r="A1566" s="1">
        <v>30</v>
      </c>
      <c r="B1566" s="1">
        <v>18</v>
      </c>
      <c r="C1566" s="12">
        <f t="shared" si="216"/>
        <v>0.375</v>
      </c>
      <c r="D1566" s="12">
        <f t="shared" si="217"/>
        <v>-0.52499999999999991</v>
      </c>
      <c r="E1566" s="12">
        <f t="shared" si="218"/>
        <v>11.094028202666665</v>
      </c>
      <c r="F1566" s="12">
        <f t="shared" si="219"/>
        <v>11.094028202666665</v>
      </c>
      <c r="G1566" s="12">
        <f t="shared" si="220"/>
        <v>14.535229866666665</v>
      </c>
      <c r="H1566" s="12">
        <f t="shared" si="221"/>
        <v>14.535229866666665</v>
      </c>
      <c r="I1566" s="1" t="str">
        <f t="shared" si="222"/>
        <v>No</v>
      </c>
      <c r="J1566" s="1" t="str">
        <f t="shared" si="223"/>
        <v>Si</v>
      </c>
      <c r="K1566" s="1" t="str">
        <f t="shared" si="224"/>
        <v/>
      </c>
    </row>
    <row r="1567" spans="1:11" x14ac:dyDescent="0.3">
      <c r="A1567" s="1">
        <v>30</v>
      </c>
      <c r="B1567" s="1">
        <v>19</v>
      </c>
      <c r="C1567" s="12">
        <f t="shared" si="216"/>
        <v>0.375</v>
      </c>
      <c r="D1567" s="12">
        <f t="shared" si="217"/>
        <v>-0.44999999999999996</v>
      </c>
      <c r="E1567" s="12">
        <f t="shared" si="218"/>
        <v>11.091540110222223</v>
      </c>
      <c r="F1567" s="12">
        <f t="shared" si="219"/>
        <v>11.091540110222223</v>
      </c>
      <c r="G1567" s="12">
        <f t="shared" si="220"/>
        <v>14.531725511111109</v>
      </c>
      <c r="H1567" s="12">
        <f t="shared" si="221"/>
        <v>14.531725511111109</v>
      </c>
      <c r="I1567" s="1" t="str">
        <f t="shared" si="222"/>
        <v>No</v>
      </c>
      <c r="J1567" s="1" t="str">
        <f t="shared" si="223"/>
        <v>Si</v>
      </c>
      <c r="K1567" s="1" t="str">
        <f t="shared" si="224"/>
        <v/>
      </c>
    </row>
    <row r="1568" spans="1:11" x14ac:dyDescent="0.3">
      <c r="A1568" s="1">
        <v>30</v>
      </c>
      <c r="B1568" s="1">
        <v>20</v>
      </c>
      <c r="C1568" s="12">
        <f t="shared" si="216"/>
        <v>0.375</v>
      </c>
      <c r="D1568" s="12">
        <f t="shared" si="217"/>
        <v>-0.375</v>
      </c>
      <c r="E1568" s="12">
        <f t="shared" si="218"/>
        <v>11.089052017777778</v>
      </c>
      <c r="F1568" s="12">
        <f t="shared" si="219"/>
        <v>11.089052017777778</v>
      </c>
      <c r="G1568" s="12">
        <f t="shared" si="220"/>
        <v>14.528221155555554</v>
      </c>
      <c r="H1568" s="12">
        <f t="shared" si="221"/>
        <v>14.528221155555554</v>
      </c>
      <c r="I1568" s="1" t="str">
        <f t="shared" si="222"/>
        <v>No</v>
      </c>
      <c r="J1568" s="1" t="str">
        <f t="shared" si="223"/>
        <v>Si</v>
      </c>
      <c r="K1568" s="1" t="str">
        <f t="shared" si="224"/>
        <v/>
      </c>
    </row>
    <row r="1569" spans="1:11" x14ac:dyDescent="0.3">
      <c r="A1569" s="1">
        <v>30</v>
      </c>
      <c r="B1569" s="1">
        <v>21</v>
      </c>
      <c r="C1569" s="12">
        <f t="shared" si="216"/>
        <v>0.375</v>
      </c>
      <c r="D1569" s="12">
        <f t="shared" si="217"/>
        <v>-0.30000000000000004</v>
      </c>
      <c r="E1569" s="12">
        <f t="shared" si="218"/>
        <v>11.086563925333333</v>
      </c>
      <c r="F1569" s="12">
        <f t="shared" si="219"/>
        <v>11.086563925333333</v>
      </c>
      <c r="G1569" s="12">
        <f t="shared" si="220"/>
        <v>14.524716799999998</v>
      </c>
      <c r="H1569" s="12">
        <f t="shared" si="221"/>
        <v>14.524716799999998</v>
      </c>
      <c r="I1569" s="1" t="str">
        <f t="shared" si="222"/>
        <v>No</v>
      </c>
      <c r="J1569" s="1" t="str">
        <f t="shared" si="223"/>
        <v>Si</v>
      </c>
      <c r="K1569" s="1" t="str">
        <f t="shared" si="224"/>
        <v/>
      </c>
    </row>
    <row r="1570" spans="1:11" x14ac:dyDescent="0.3">
      <c r="A1570" s="1">
        <v>30</v>
      </c>
      <c r="B1570" s="1">
        <v>22</v>
      </c>
      <c r="C1570" s="12">
        <f t="shared" si="216"/>
        <v>0.375</v>
      </c>
      <c r="D1570" s="12">
        <f t="shared" si="217"/>
        <v>-0.22500000000000009</v>
      </c>
      <c r="E1570" s="12">
        <f t="shared" si="218"/>
        <v>11.084075832888889</v>
      </c>
      <c r="F1570" s="12">
        <f t="shared" si="219"/>
        <v>11.084075832888889</v>
      </c>
      <c r="G1570" s="12">
        <f t="shared" si="220"/>
        <v>14.521212444444442</v>
      </c>
      <c r="H1570" s="12">
        <f t="shared" si="221"/>
        <v>14.521212444444442</v>
      </c>
      <c r="I1570" s="1" t="str">
        <f t="shared" si="222"/>
        <v>No</v>
      </c>
      <c r="J1570" s="1" t="str">
        <f t="shared" si="223"/>
        <v>Si</v>
      </c>
      <c r="K1570" s="1" t="str">
        <f t="shared" si="224"/>
        <v/>
      </c>
    </row>
    <row r="1571" spans="1:11" x14ac:dyDescent="0.3">
      <c r="A1571" s="1">
        <v>30</v>
      </c>
      <c r="B1571" s="1">
        <v>23</v>
      </c>
      <c r="C1571" s="12">
        <f t="shared" si="216"/>
        <v>0.375</v>
      </c>
      <c r="D1571" s="12">
        <f t="shared" si="217"/>
        <v>-0.14999999999999991</v>
      </c>
      <c r="E1571" s="12">
        <f t="shared" si="218"/>
        <v>11.081587740444444</v>
      </c>
      <c r="F1571" s="12">
        <f t="shared" si="219"/>
        <v>11.081587740444444</v>
      </c>
      <c r="G1571" s="12">
        <f t="shared" si="220"/>
        <v>14.517708088888886</v>
      </c>
      <c r="H1571" s="12">
        <f t="shared" si="221"/>
        <v>14.517708088888886</v>
      </c>
      <c r="I1571" s="1" t="str">
        <f t="shared" si="222"/>
        <v>No</v>
      </c>
      <c r="J1571" s="1" t="str">
        <f t="shared" si="223"/>
        <v>Si</v>
      </c>
      <c r="K1571" s="1" t="str">
        <f t="shared" si="224"/>
        <v/>
      </c>
    </row>
    <row r="1572" spans="1:11" x14ac:dyDescent="0.3">
      <c r="A1572" s="1">
        <v>30</v>
      </c>
      <c r="B1572" s="1">
        <v>24</v>
      </c>
      <c r="C1572" s="12">
        <f t="shared" si="216"/>
        <v>0.375</v>
      </c>
      <c r="D1572" s="12">
        <f t="shared" si="217"/>
        <v>-7.4999999999999956E-2</v>
      </c>
      <c r="E1572" s="12">
        <f t="shared" si="218"/>
        <v>11.079099648</v>
      </c>
      <c r="F1572" s="12">
        <f t="shared" si="219"/>
        <v>11.079099648</v>
      </c>
      <c r="G1572" s="12">
        <f t="shared" si="220"/>
        <v>14.514203733333332</v>
      </c>
      <c r="H1572" s="12">
        <f t="shared" si="221"/>
        <v>14.514203733333332</v>
      </c>
      <c r="I1572" s="1" t="str">
        <f t="shared" si="222"/>
        <v>No</v>
      </c>
      <c r="J1572" s="1" t="str">
        <f t="shared" si="223"/>
        <v>Si</v>
      </c>
      <c r="K1572" s="1" t="str">
        <f t="shared" si="224"/>
        <v/>
      </c>
    </row>
    <row r="1573" spans="1:11" x14ac:dyDescent="0.3">
      <c r="A1573" s="1">
        <v>30</v>
      </c>
      <c r="B1573" s="1">
        <v>25</v>
      </c>
      <c r="C1573" s="12">
        <f t="shared" si="216"/>
        <v>0.375</v>
      </c>
      <c r="D1573" s="12">
        <f t="shared" si="217"/>
        <v>0</v>
      </c>
      <c r="E1573" s="12">
        <f t="shared" si="218"/>
        <v>11.076611555555555</v>
      </c>
      <c r="F1573" s="12">
        <f t="shared" si="219"/>
        <v>11.076611555555555</v>
      </c>
      <c r="G1573" s="12">
        <f t="shared" si="220"/>
        <v>14.510699377777776</v>
      </c>
      <c r="H1573" s="12">
        <f t="shared" si="221"/>
        <v>14.510699377777776</v>
      </c>
      <c r="I1573" s="1" t="str">
        <f t="shared" si="222"/>
        <v>No</v>
      </c>
      <c r="J1573" s="1" t="str">
        <f t="shared" si="223"/>
        <v>Si</v>
      </c>
      <c r="K1573" s="1" t="str">
        <f t="shared" si="224"/>
        <v/>
      </c>
    </row>
    <row r="1574" spans="1:11" x14ac:dyDescent="0.3">
      <c r="A1574" s="1">
        <v>30</v>
      </c>
      <c r="B1574" s="1">
        <v>26</v>
      </c>
      <c r="C1574" s="12">
        <f t="shared" si="216"/>
        <v>0.375</v>
      </c>
      <c r="D1574" s="12">
        <f t="shared" si="217"/>
        <v>7.4999999999999956E-2</v>
      </c>
      <c r="E1574" s="12">
        <f t="shared" si="218"/>
        <v>11.074123463111111</v>
      </c>
      <c r="F1574" s="12">
        <f t="shared" si="219"/>
        <v>11.074123463111111</v>
      </c>
      <c r="G1574" s="12">
        <f t="shared" si="220"/>
        <v>14.50719502222222</v>
      </c>
      <c r="H1574" s="12">
        <f t="shared" si="221"/>
        <v>14.50719502222222</v>
      </c>
      <c r="I1574" s="1" t="str">
        <f t="shared" si="222"/>
        <v>No</v>
      </c>
      <c r="J1574" s="1" t="str">
        <f t="shared" si="223"/>
        <v>Si</v>
      </c>
      <c r="K1574" s="1" t="str">
        <f t="shared" si="224"/>
        <v/>
      </c>
    </row>
    <row r="1575" spans="1:11" x14ac:dyDescent="0.3">
      <c r="A1575" s="1">
        <v>30</v>
      </c>
      <c r="B1575" s="1">
        <v>27</v>
      </c>
      <c r="C1575" s="12">
        <f t="shared" si="216"/>
        <v>0.375</v>
      </c>
      <c r="D1575" s="12">
        <f t="shared" si="217"/>
        <v>0.14999999999999991</v>
      </c>
      <c r="E1575" s="12">
        <f t="shared" si="218"/>
        <v>11.071635370666666</v>
      </c>
      <c r="F1575" s="12">
        <f t="shared" si="219"/>
        <v>11.071635370666666</v>
      </c>
      <c r="G1575" s="12">
        <f t="shared" si="220"/>
        <v>14.503690666666666</v>
      </c>
      <c r="H1575" s="12">
        <f t="shared" si="221"/>
        <v>14.503690666666666</v>
      </c>
      <c r="I1575" s="1" t="str">
        <f t="shared" si="222"/>
        <v>No</v>
      </c>
      <c r="J1575" s="1" t="str">
        <f t="shared" si="223"/>
        <v>Si</v>
      </c>
      <c r="K1575" s="1" t="str">
        <f t="shared" si="224"/>
        <v/>
      </c>
    </row>
    <row r="1576" spans="1:11" x14ac:dyDescent="0.3">
      <c r="A1576" s="1">
        <v>30</v>
      </c>
      <c r="B1576" s="1">
        <v>28</v>
      </c>
      <c r="C1576" s="12">
        <f t="shared" si="216"/>
        <v>0.375</v>
      </c>
      <c r="D1576" s="12">
        <f t="shared" si="217"/>
        <v>0.22500000000000009</v>
      </c>
      <c r="E1576" s="12">
        <f t="shared" si="218"/>
        <v>11.069147278222221</v>
      </c>
      <c r="F1576" s="12">
        <f t="shared" si="219"/>
        <v>11.069147278222221</v>
      </c>
      <c r="G1576" s="12">
        <f t="shared" si="220"/>
        <v>14.50018631111111</v>
      </c>
      <c r="H1576" s="12">
        <f t="shared" si="221"/>
        <v>14.50018631111111</v>
      </c>
      <c r="I1576" s="1" t="str">
        <f t="shared" si="222"/>
        <v>No</v>
      </c>
      <c r="J1576" s="1" t="str">
        <f t="shared" si="223"/>
        <v>Si</v>
      </c>
      <c r="K1576" s="1" t="str">
        <f t="shared" si="224"/>
        <v/>
      </c>
    </row>
    <row r="1577" spans="1:11" x14ac:dyDescent="0.3">
      <c r="A1577" s="1">
        <v>30</v>
      </c>
      <c r="B1577" s="1">
        <v>29</v>
      </c>
      <c r="C1577" s="12">
        <f t="shared" si="216"/>
        <v>0.375</v>
      </c>
      <c r="D1577" s="12">
        <f t="shared" si="217"/>
        <v>0.29999999999999982</v>
      </c>
      <c r="E1577" s="12">
        <f t="shared" si="218"/>
        <v>11.066659185777777</v>
      </c>
      <c r="F1577" s="12">
        <f t="shared" si="219"/>
        <v>11.066659185777777</v>
      </c>
      <c r="G1577" s="12">
        <f t="shared" si="220"/>
        <v>14.496681955555554</v>
      </c>
      <c r="H1577" s="12">
        <f t="shared" si="221"/>
        <v>14.496681955555554</v>
      </c>
      <c r="I1577" s="1" t="str">
        <f t="shared" si="222"/>
        <v>No</v>
      </c>
      <c r="J1577" s="1" t="str">
        <f t="shared" si="223"/>
        <v>Si</v>
      </c>
      <c r="K1577" s="1" t="str">
        <f t="shared" si="224"/>
        <v/>
      </c>
    </row>
    <row r="1578" spans="1:11" x14ac:dyDescent="0.3">
      <c r="A1578" s="1">
        <v>30</v>
      </c>
      <c r="B1578" s="1">
        <v>30</v>
      </c>
      <c r="C1578" s="12">
        <f t="shared" si="216"/>
        <v>0.375</v>
      </c>
      <c r="D1578" s="12">
        <f t="shared" si="217"/>
        <v>0.375</v>
      </c>
      <c r="E1578" s="12">
        <f t="shared" si="218"/>
        <v>11.064171093333332</v>
      </c>
      <c r="F1578" s="12">
        <f t="shared" si="219"/>
        <v>11.064171093333332</v>
      </c>
      <c r="G1578" s="12">
        <f t="shared" si="220"/>
        <v>14.493177599999997</v>
      </c>
      <c r="H1578" s="12">
        <f t="shared" si="221"/>
        <v>14.493177599999997</v>
      </c>
      <c r="I1578" s="1" t="str">
        <f t="shared" si="222"/>
        <v>No</v>
      </c>
      <c r="J1578" s="1" t="str">
        <f t="shared" si="223"/>
        <v>Si</v>
      </c>
      <c r="K1578" s="1" t="str">
        <f t="shared" si="224"/>
        <v/>
      </c>
    </row>
    <row r="1579" spans="1:11" x14ac:dyDescent="0.3">
      <c r="A1579" s="1">
        <v>30</v>
      </c>
      <c r="B1579" s="1">
        <v>31</v>
      </c>
      <c r="C1579" s="12">
        <f t="shared" si="216"/>
        <v>0.375</v>
      </c>
      <c r="D1579" s="12">
        <f t="shared" si="217"/>
        <v>0.45000000000000018</v>
      </c>
      <c r="E1579" s="12">
        <f t="shared" si="218"/>
        <v>11.061683000888888</v>
      </c>
      <c r="F1579" s="12">
        <f t="shared" si="219"/>
        <v>11.061683000888888</v>
      </c>
      <c r="G1579" s="12">
        <f t="shared" si="220"/>
        <v>14.489673244444443</v>
      </c>
      <c r="H1579" s="12">
        <f t="shared" si="221"/>
        <v>14.489673244444443</v>
      </c>
      <c r="I1579" s="1" t="str">
        <f t="shared" si="222"/>
        <v>No</v>
      </c>
      <c r="J1579" s="1" t="str">
        <f t="shared" si="223"/>
        <v>Si</v>
      </c>
      <c r="K1579" s="1" t="str">
        <f t="shared" si="224"/>
        <v/>
      </c>
    </row>
    <row r="1580" spans="1:11" x14ac:dyDescent="0.3">
      <c r="A1580" s="1">
        <v>30</v>
      </c>
      <c r="B1580" s="1">
        <v>32</v>
      </c>
      <c r="C1580" s="12">
        <f t="shared" si="216"/>
        <v>0.375</v>
      </c>
      <c r="D1580" s="12">
        <f t="shared" si="217"/>
        <v>0.52499999999999991</v>
      </c>
      <c r="E1580" s="12">
        <f t="shared" si="218"/>
        <v>11.059194908444445</v>
      </c>
      <c r="F1580" s="12">
        <f t="shared" si="219"/>
        <v>11.059194908444445</v>
      </c>
      <c r="G1580" s="12">
        <f t="shared" si="220"/>
        <v>14.486168888888887</v>
      </c>
      <c r="H1580" s="12">
        <f t="shared" si="221"/>
        <v>14.486168888888887</v>
      </c>
      <c r="I1580" s="1" t="str">
        <f t="shared" si="222"/>
        <v>No</v>
      </c>
      <c r="J1580" s="1" t="str">
        <f t="shared" si="223"/>
        <v>Si</v>
      </c>
      <c r="K1580" s="1" t="str">
        <f t="shared" si="224"/>
        <v/>
      </c>
    </row>
    <row r="1581" spans="1:11" x14ac:dyDescent="0.3">
      <c r="A1581" s="1">
        <v>30</v>
      </c>
      <c r="B1581" s="1">
        <v>33</v>
      </c>
      <c r="C1581" s="12">
        <f t="shared" si="216"/>
        <v>0.375</v>
      </c>
      <c r="D1581" s="12">
        <f t="shared" si="217"/>
        <v>0.60000000000000009</v>
      </c>
      <c r="E1581" s="12">
        <f t="shared" si="218"/>
        <v>11.056706816</v>
      </c>
      <c r="F1581" s="12">
        <f t="shared" si="219"/>
        <v>11.056706816</v>
      </c>
      <c r="G1581" s="12">
        <f t="shared" si="220"/>
        <v>14.482664533333331</v>
      </c>
      <c r="H1581" s="12">
        <f t="shared" si="221"/>
        <v>14.482664533333331</v>
      </c>
      <c r="I1581" s="1" t="str">
        <f t="shared" si="222"/>
        <v>No</v>
      </c>
      <c r="J1581" s="1" t="str">
        <f t="shared" si="223"/>
        <v>Si</v>
      </c>
      <c r="K1581" s="1" t="str">
        <f t="shared" si="224"/>
        <v/>
      </c>
    </row>
    <row r="1582" spans="1:11" x14ac:dyDescent="0.3">
      <c r="A1582" s="1">
        <v>30</v>
      </c>
      <c r="B1582" s="1">
        <v>34</v>
      </c>
      <c r="C1582" s="12">
        <f t="shared" si="216"/>
        <v>0.375</v>
      </c>
      <c r="D1582" s="12">
        <f t="shared" si="217"/>
        <v>0.67499999999999982</v>
      </c>
      <c r="E1582" s="12">
        <f t="shared" si="218"/>
        <v>11.054218723555556</v>
      </c>
      <c r="F1582" s="12">
        <f t="shared" si="219"/>
        <v>11.054218723555556</v>
      </c>
      <c r="G1582" s="12">
        <f t="shared" si="220"/>
        <v>14.479160177777777</v>
      </c>
      <c r="H1582" s="12">
        <f t="shared" si="221"/>
        <v>14.479160177777777</v>
      </c>
      <c r="I1582" s="1" t="str">
        <f t="shared" si="222"/>
        <v>No</v>
      </c>
      <c r="J1582" s="1" t="str">
        <f t="shared" si="223"/>
        <v>Si</v>
      </c>
      <c r="K1582" s="1" t="str">
        <f t="shared" si="224"/>
        <v/>
      </c>
    </row>
    <row r="1583" spans="1:11" x14ac:dyDescent="0.3">
      <c r="A1583" s="1">
        <v>30</v>
      </c>
      <c r="B1583" s="1">
        <v>35</v>
      </c>
      <c r="C1583" s="12">
        <f t="shared" si="216"/>
        <v>0.375</v>
      </c>
      <c r="D1583" s="12">
        <f t="shared" si="217"/>
        <v>0.75</v>
      </c>
      <c r="E1583" s="12">
        <f t="shared" si="218"/>
        <v>11.051730631111111</v>
      </c>
      <c r="F1583" s="12">
        <f t="shared" si="219"/>
        <v>11.051730631111111</v>
      </c>
      <c r="G1583" s="12">
        <f t="shared" si="220"/>
        <v>14.475655822222221</v>
      </c>
      <c r="H1583" s="12">
        <f t="shared" si="221"/>
        <v>14.475655822222221</v>
      </c>
      <c r="I1583" s="1" t="str">
        <f t="shared" si="222"/>
        <v>No</v>
      </c>
      <c r="J1583" s="1" t="str">
        <f t="shared" si="223"/>
        <v>Si</v>
      </c>
      <c r="K1583" s="1" t="str">
        <f t="shared" si="224"/>
        <v/>
      </c>
    </row>
    <row r="1584" spans="1:11" x14ac:dyDescent="0.3">
      <c r="A1584" s="1">
        <v>30</v>
      </c>
      <c r="B1584" s="1">
        <v>36</v>
      </c>
      <c r="C1584" s="12">
        <f t="shared" si="216"/>
        <v>0.375</v>
      </c>
      <c r="D1584" s="12">
        <f t="shared" si="217"/>
        <v>0.82500000000000018</v>
      </c>
      <c r="E1584" s="12">
        <f t="shared" si="218"/>
        <v>11.049242538666666</v>
      </c>
      <c r="F1584" s="12">
        <f t="shared" si="219"/>
        <v>11.049242538666666</v>
      </c>
      <c r="G1584" s="12">
        <f t="shared" si="220"/>
        <v>14.472151466666665</v>
      </c>
      <c r="H1584" s="12">
        <f t="shared" si="221"/>
        <v>14.472151466666665</v>
      </c>
      <c r="I1584" s="1" t="str">
        <f t="shared" si="222"/>
        <v>No</v>
      </c>
      <c r="J1584" s="1" t="str">
        <f t="shared" si="223"/>
        <v>Si</v>
      </c>
      <c r="K1584" s="1" t="str">
        <f t="shared" si="224"/>
        <v/>
      </c>
    </row>
    <row r="1585" spans="1:11" x14ac:dyDescent="0.3">
      <c r="A1585" s="1">
        <v>30</v>
      </c>
      <c r="B1585" s="1">
        <v>37</v>
      </c>
      <c r="C1585" s="12">
        <f t="shared" si="216"/>
        <v>0.375</v>
      </c>
      <c r="D1585" s="12">
        <f t="shared" si="217"/>
        <v>0.89999999999999991</v>
      </c>
      <c r="E1585" s="12">
        <f t="shared" si="218"/>
        <v>11.046754446222222</v>
      </c>
      <c r="F1585" s="12">
        <f t="shared" si="219"/>
        <v>11.046754446222222</v>
      </c>
      <c r="G1585" s="12">
        <f t="shared" si="220"/>
        <v>14.468647111111109</v>
      </c>
      <c r="H1585" s="12">
        <f t="shared" si="221"/>
        <v>14.468647111111109</v>
      </c>
      <c r="I1585" s="1" t="str">
        <f t="shared" si="222"/>
        <v>No</v>
      </c>
      <c r="J1585" s="1" t="str">
        <f t="shared" si="223"/>
        <v>Si</v>
      </c>
      <c r="K1585" s="1" t="str">
        <f t="shared" si="224"/>
        <v/>
      </c>
    </row>
    <row r="1586" spans="1:11" x14ac:dyDescent="0.3">
      <c r="A1586" s="1">
        <v>30</v>
      </c>
      <c r="B1586" s="1">
        <v>38</v>
      </c>
      <c r="C1586" s="12">
        <f t="shared" si="216"/>
        <v>0.375</v>
      </c>
      <c r="D1586" s="12">
        <f t="shared" si="217"/>
        <v>0.97500000000000009</v>
      </c>
      <c r="E1586" s="12">
        <f t="shared" si="218"/>
        <v>11.044266353777777</v>
      </c>
      <c r="F1586" s="12">
        <f t="shared" si="219"/>
        <v>11.044266353777777</v>
      </c>
      <c r="G1586" s="12">
        <f t="shared" si="220"/>
        <v>14.465142755555554</v>
      </c>
      <c r="H1586" s="12">
        <f t="shared" si="221"/>
        <v>14.465142755555554</v>
      </c>
      <c r="I1586" s="1" t="str">
        <f t="shared" si="222"/>
        <v>No</v>
      </c>
      <c r="J1586" s="1" t="str">
        <f t="shared" si="223"/>
        <v>Si</v>
      </c>
      <c r="K1586" s="1" t="str">
        <f t="shared" si="224"/>
        <v/>
      </c>
    </row>
    <row r="1587" spans="1:11" x14ac:dyDescent="0.3">
      <c r="A1587" s="1">
        <v>30</v>
      </c>
      <c r="B1587" s="1">
        <v>39</v>
      </c>
      <c r="C1587" s="12">
        <f t="shared" si="216"/>
        <v>0.375</v>
      </c>
      <c r="D1587" s="12">
        <f t="shared" si="217"/>
        <v>1.0499999999999998</v>
      </c>
      <c r="E1587" s="12">
        <f t="shared" si="218"/>
        <v>11.041778261333333</v>
      </c>
      <c r="F1587" s="12">
        <f t="shared" si="219"/>
        <v>11.041778261333333</v>
      </c>
      <c r="G1587" s="12">
        <f t="shared" si="220"/>
        <v>14.461638399999998</v>
      </c>
      <c r="H1587" s="12">
        <f t="shared" si="221"/>
        <v>14.461638399999998</v>
      </c>
      <c r="I1587" s="1" t="str">
        <f t="shared" si="222"/>
        <v>No</v>
      </c>
      <c r="J1587" s="1" t="str">
        <f t="shared" si="223"/>
        <v>Si</v>
      </c>
      <c r="K1587" s="1" t="str">
        <f t="shared" si="224"/>
        <v/>
      </c>
    </row>
    <row r="1588" spans="1:11" x14ac:dyDescent="0.3">
      <c r="A1588" s="1">
        <v>30</v>
      </c>
      <c r="B1588" s="1">
        <v>40</v>
      </c>
      <c r="C1588" s="12">
        <f t="shared" si="216"/>
        <v>0.375</v>
      </c>
      <c r="D1588" s="12">
        <f t="shared" si="217"/>
        <v>1.125</v>
      </c>
      <c r="E1588" s="12">
        <f t="shared" si="218"/>
        <v>11.039290168888888</v>
      </c>
      <c r="F1588" s="12">
        <f t="shared" si="219"/>
        <v>11.039290168888888</v>
      </c>
      <c r="G1588" s="12">
        <f t="shared" si="220"/>
        <v>14.458134044444442</v>
      </c>
      <c r="H1588" s="12">
        <f t="shared" si="221"/>
        <v>14.458134044444442</v>
      </c>
      <c r="I1588" s="1" t="str">
        <f t="shared" si="222"/>
        <v>No</v>
      </c>
      <c r="J1588" s="1" t="str">
        <f t="shared" si="223"/>
        <v>Si</v>
      </c>
      <c r="K1588" s="1" t="str">
        <f t="shared" si="224"/>
        <v/>
      </c>
    </row>
    <row r="1589" spans="1:11" x14ac:dyDescent="0.3">
      <c r="A1589" s="1">
        <v>30</v>
      </c>
      <c r="B1589" s="1">
        <v>41</v>
      </c>
      <c r="C1589" s="12">
        <f t="shared" si="216"/>
        <v>0.375</v>
      </c>
      <c r="D1589" s="12">
        <f t="shared" si="217"/>
        <v>1.2000000000000002</v>
      </c>
      <c r="E1589" s="12">
        <f t="shared" si="218"/>
        <v>11.036802076444443</v>
      </c>
      <c r="F1589" s="12">
        <f t="shared" si="219"/>
        <v>11.036802076444443</v>
      </c>
      <c r="G1589" s="12">
        <f t="shared" si="220"/>
        <v>14.454629688888888</v>
      </c>
      <c r="H1589" s="12">
        <f t="shared" si="221"/>
        <v>14.454629688888888</v>
      </c>
      <c r="I1589" s="1" t="str">
        <f t="shared" si="222"/>
        <v>No</v>
      </c>
      <c r="J1589" s="1" t="str">
        <f t="shared" si="223"/>
        <v>Si</v>
      </c>
      <c r="K1589" s="1" t="str">
        <f t="shared" si="224"/>
        <v/>
      </c>
    </row>
    <row r="1590" spans="1:11" x14ac:dyDescent="0.3">
      <c r="A1590" s="1">
        <v>30</v>
      </c>
      <c r="B1590" s="1">
        <v>42</v>
      </c>
      <c r="C1590" s="12">
        <f t="shared" si="216"/>
        <v>0.375</v>
      </c>
      <c r="D1590" s="12">
        <f t="shared" si="217"/>
        <v>1.2749999999999999</v>
      </c>
      <c r="E1590" s="12">
        <f t="shared" si="218"/>
        <v>11.034313983999999</v>
      </c>
      <c r="F1590" s="12">
        <f t="shared" si="219"/>
        <v>11.034313983999999</v>
      </c>
      <c r="G1590" s="12">
        <f t="shared" si="220"/>
        <v>14.451125333333332</v>
      </c>
      <c r="H1590" s="12">
        <f t="shared" si="221"/>
        <v>14.451125333333332</v>
      </c>
      <c r="I1590" s="1" t="str">
        <f t="shared" si="222"/>
        <v>No</v>
      </c>
      <c r="J1590" s="1" t="str">
        <f t="shared" si="223"/>
        <v>Si</v>
      </c>
      <c r="K1590" s="1" t="str">
        <f t="shared" si="224"/>
        <v/>
      </c>
    </row>
    <row r="1591" spans="1:11" x14ac:dyDescent="0.3">
      <c r="A1591" s="1">
        <v>30</v>
      </c>
      <c r="B1591" s="1">
        <v>43</v>
      </c>
      <c r="C1591" s="12">
        <f t="shared" si="216"/>
        <v>0.375</v>
      </c>
      <c r="D1591" s="12">
        <f t="shared" si="217"/>
        <v>1.35</v>
      </c>
      <c r="E1591" s="12">
        <f t="shared" si="218"/>
        <v>11.031825891555554</v>
      </c>
      <c r="F1591" s="12">
        <f t="shared" si="219"/>
        <v>11.031825891555554</v>
      </c>
      <c r="G1591" s="12">
        <f t="shared" si="220"/>
        <v>14.447620977777776</v>
      </c>
      <c r="H1591" s="12">
        <f t="shared" si="221"/>
        <v>14.447620977777776</v>
      </c>
      <c r="I1591" s="1" t="str">
        <f t="shared" si="222"/>
        <v>No</v>
      </c>
      <c r="J1591" s="1" t="str">
        <f t="shared" si="223"/>
        <v>Si</v>
      </c>
      <c r="K1591" s="1" t="str">
        <f t="shared" si="224"/>
        <v/>
      </c>
    </row>
    <row r="1592" spans="1:11" x14ac:dyDescent="0.3">
      <c r="A1592" s="1">
        <v>30</v>
      </c>
      <c r="B1592" s="1">
        <v>44</v>
      </c>
      <c r="C1592" s="12">
        <f t="shared" si="216"/>
        <v>0.375</v>
      </c>
      <c r="D1592" s="12">
        <f t="shared" si="217"/>
        <v>1.4249999999999998</v>
      </c>
      <c r="E1592" s="12">
        <f t="shared" si="218"/>
        <v>11.029337799111111</v>
      </c>
      <c r="F1592" s="12">
        <f t="shared" si="219"/>
        <v>11.029337799111111</v>
      </c>
      <c r="G1592" s="12">
        <f t="shared" si="220"/>
        <v>14.44411662222222</v>
      </c>
      <c r="H1592" s="12">
        <f t="shared" si="221"/>
        <v>14.44411662222222</v>
      </c>
      <c r="I1592" s="1" t="str">
        <f t="shared" si="222"/>
        <v>No</v>
      </c>
      <c r="J1592" s="1" t="str">
        <f t="shared" si="223"/>
        <v>Si</v>
      </c>
      <c r="K1592" s="1" t="str">
        <f t="shared" si="224"/>
        <v/>
      </c>
    </row>
    <row r="1593" spans="1:11" x14ac:dyDescent="0.3">
      <c r="A1593" s="1">
        <v>30</v>
      </c>
      <c r="B1593" s="1">
        <v>45</v>
      </c>
      <c r="C1593" s="12">
        <f t="shared" si="216"/>
        <v>0.375</v>
      </c>
      <c r="D1593" s="12">
        <f t="shared" si="217"/>
        <v>1.5</v>
      </c>
      <c r="E1593" s="12">
        <f t="shared" si="218"/>
        <v>11.026849706666667</v>
      </c>
      <c r="F1593" s="12">
        <f t="shared" si="219"/>
        <v>11.026849706666667</v>
      </c>
      <c r="G1593" s="12">
        <f t="shared" si="220"/>
        <v>14.440612266666665</v>
      </c>
      <c r="H1593" s="12">
        <f t="shared" si="221"/>
        <v>14.440612266666665</v>
      </c>
      <c r="I1593" s="1" t="str">
        <f t="shared" si="222"/>
        <v>No</v>
      </c>
      <c r="J1593" s="1" t="str">
        <f t="shared" si="223"/>
        <v>Si</v>
      </c>
      <c r="K1593" s="1" t="str">
        <f t="shared" si="224"/>
        <v/>
      </c>
    </row>
    <row r="1594" spans="1:11" x14ac:dyDescent="0.3">
      <c r="A1594" s="1">
        <v>30</v>
      </c>
      <c r="B1594" s="1">
        <v>46</v>
      </c>
      <c r="C1594" s="12">
        <f t="shared" si="216"/>
        <v>0.375</v>
      </c>
      <c r="D1594" s="12">
        <f t="shared" si="217"/>
        <v>1.5750000000000002</v>
      </c>
      <c r="E1594" s="12">
        <f t="shared" si="218"/>
        <v>11.024361614222222</v>
      </c>
      <c r="F1594" s="12">
        <f t="shared" si="219"/>
        <v>11.024361614222222</v>
      </c>
      <c r="G1594" s="12">
        <f t="shared" si="220"/>
        <v>14.437107911111109</v>
      </c>
      <c r="H1594" s="12">
        <f t="shared" si="221"/>
        <v>14.437107911111109</v>
      </c>
      <c r="I1594" s="1" t="str">
        <f t="shared" si="222"/>
        <v>No</v>
      </c>
      <c r="J1594" s="1" t="str">
        <f t="shared" si="223"/>
        <v>Si</v>
      </c>
      <c r="K1594" s="1" t="str">
        <f t="shared" si="224"/>
        <v/>
      </c>
    </row>
    <row r="1595" spans="1:11" x14ac:dyDescent="0.3">
      <c r="A1595" s="1">
        <v>30</v>
      </c>
      <c r="B1595" s="1">
        <v>47</v>
      </c>
      <c r="C1595" s="12">
        <f t="shared" si="216"/>
        <v>0.375</v>
      </c>
      <c r="D1595" s="12">
        <f t="shared" si="217"/>
        <v>1.65</v>
      </c>
      <c r="E1595" s="12">
        <f t="shared" si="218"/>
        <v>11.021873521777778</v>
      </c>
      <c r="F1595" s="12">
        <f t="shared" si="219"/>
        <v>11.021873521777778</v>
      </c>
      <c r="G1595" s="12">
        <f t="shared" si="220"/>
        <v>14.433603555555553</v>
      </c>
      <c r="H1595" s="12">
        <f t="shared" si="221"/>
        <v>14.433603555555553</v>
      </c>
      <c r="I1595" s="1" t="str">
        <f t="shared" si="222"/>
        <v>No</v>
      </c>
      <c r="J1595" s="1" t="str">
        <f t="shared" si="223"/>
        <v>Si</v>
      </c>
      <c r="K1595" s="1" t="str">
        <f t="shared" si="224"/>
        <v/>
      </c>
    </row>
    <row r="1596" spans="1:11" x14ac:dyDescent="0.3">
      <c r="A1596" s="1">
        <v>30</v>
      </c>
      <c r="B1596" s="1">
        <v>48</v>
      </c>
      <c r="C1596" s="12">
        <f t="shared" si="216"/>
        <v>0.375</v>
      </c>
      <c r="D1596" s="12">
        <f t="shared" si="217"/>
        <v>1.7250000000000001</v>
      </c>
      <c r="E1596" s="12">
        <f t="shared" si="218"/>
        <v>11.019385429333333</v>
      </c>
      <c r="F1596" s="12">
        <f t="shared" si="219"/>
        <v>11.019385429333333</v>
      </c>
      <c r="G1596" s="12">
        <f t="shared" si="220"/>
        <v>14.430099199999999</v>
      </c>
      <c r="H1596" s="12">
        <f t="shared" si="221"/>
        <v>14.430099199999999</v>
      </c>
      <c r="I1596" s="1" t="str">
        <f t="shared" si="222"/>
        <v>No</v>
      </c>
      <c r="J1596" s="1" t="str">
        <f t="shared" si="223"/>
        <v>Si</v>
      </c>
      <c r="K1596" s="1" t="str">
        <f t="shared" si="224"/>
        <v/>
      </c>
    </row>
    <row r="1597" spans="1:11" x14ac:dyDescent="0.3">
      <c r="A1597" s="1">
        <v>30</v>
      </c>
      <c r="B1597" s="1">
        <v>49</v>
      </c>
      <c r="C1597" s="12">
        <f t="shared" si="216"/>
        <v>0.375</v>
      </c>
      <c r="D1597" s="12">
        <f t="shared" si="217"/>
        <v>1.7999999999999998</v>
      </c>
      <c r="E1597" s="12">
        <f t="shared" si="218"/>
        <v>11.016897336888889</v>
      </c>
      <c r="F1597" s="12">
        <f t="shared" si="219"/>
        <v>11.016897336888889</v>
      </c>
      <c r="G1597" s="12">
        <f t="shared" si="220"/>
        <v>14.426594844444443</v>
      </c>
      <c r="H1597" s="12">
        <f t="shared" si="221"/>
        <v>14.426594844444443</v>
      </c>
      <c r="I1597" s="1" t="str">
        <f t="shared" si="222"/>
        <v>No</v>
      </c>
      <c r="J1597" s="1" t="str">
        <f t="shared" si="223"/>
        <v>Si</v>
      </c>
      <c r="K1597" s="1" t="str">
        <f t="shared" si="224"/>
        <v/>
      </c>
    </row>
    <row r="1598" spans="1:11" x14ac:dyDescent="0.3">
      <c r="A1598" s="1">
        <v>30</v>
      </c>
      <c r="B1598" s="1">
        <v>50</v>
      </c>
      <c r="C1598" s="12">
        <f t="shared" si="216"/>
        <v>0.375</v>
      </c>
      <c r="D1598" s="12">
        <f t="shared" si="217"/>
        <v>1.875</v>
      </c>
      <c r="E1598" s="12">
        <f t="shared" si="218"/>
        <v>11.014409244444444</v>
      </c>
      <c r="F1598" s="12">
        <f t="shared" si="219"/>
        <v>11.014409244444444</v>
      </c>
      <c r="G1598" s="12">
        <f t="shared" si="220"/>
        <v>14.423090488888887</v>
      </c>
      <c r="H1598" s="12">
        <f t="shared" si="221"/>
        <v>14.423090488888887</v>
      </c>
      <c r="I1598" s="1" t="str">
        <f t="shared" si="222"/>
        <v>No</v>
      </c>
      <c r="J1598" s="1" t="str">
        <f t="shared" si="223"/>
        <v>Si</v>
      </c>
      <c r="K1598" s="1" t="str">
        <f t="shared" si="224"/>
        <v/>
      </c>
    </row>
    <row r="1599" spans="1:11" x14ac:dyDescent="0.3">
      <c r="A1599" s="1">
        <v>31</v>
      </c>
      <c r="B1599" s="1">
        <v>0</v>
      </c>
      <c r="C1599" s="12">
        <f t="shared" si="216"/>
        <v>0.45000000000000018</v>
      </c>
      <c r="D1599" s="12">
        <f t="shared" si="217"/>
        <v>-1.875</v>
      </c>
      <c r="E1599" s="12">
        <f t="shared" si="218"/>
        <v>11.13950791111111</v>
      </c>
      <c r="F1599" s="12">
        <f t="shared" si="219"/>
        <v>11.13950791111111</v>
      </c>
      <c r="G1599" s="12">
        <f t="shared" si="220"/>
        <v>14.599345919999999</v>
      </c>
      <c r="H1599" s="12">
        <f t="shared" si="221"/>
        <v>14.599345919999999</v>
      </c>
      <c r="I1599" s="1" t="str">
        <f t="shared" si="222"/>
        <v>No</v>
      </c>
      <c r="J1599" s="1" t="str">
        <f t="shared" si="223"/>
        <v>Si</v>
      </c>
      <c r="K1599" s="1" t="str">
        <f t="shared" si="224"/>
        <v/>
      </c>
    </row>
    <row r="1600" spans="1:11" x14ac:dyDescent="0.3">
      <c r="A1600" s="1">
        <v>31</v>
      </c>
      <c r="B1600" s="1">
        <v>1</v>
      </c>
      <c r="C1600" s="12">
        <f t="shared" si="216"/>
        <v>0.45000000000000018</v>
      </c>
      <c r="D1600" s="12">
        <f t="shared" si="217"/>
        <v>-1.8</v>
      </c>
      <c r="E1600" s="12">
        <f t="shared" si="218"/>
        <v>11.137019818666666</v>
      </c>
      <c r="F1600" s="12">
        <f t="shared" si="219"/>
        <v>11.137019818666666</v>
      </c>
      <c r="G1600" s="12">
        <f t="shared" si="220"/>
        <v>14.595841564444443</v>
      </c>
      <c r="H1600" s="12">
        <f t="shared" si="221"/>
        <v>14.595841564444443</v>
      </c>
      <c r="I1600" s="1" t="str">
        <f t="shared" si="222"/>
        <v>No</v>
      </c>
      <c r="J1600" s="1" t="str">
        <f t="shared" si="223"/>
        <v>Si</v>
      </c>
      <c r="K1600" s="1" t="str">
        <f t="shared" si="224"/>
        <v/>
      </c>
    </row>
    <row r="1601" spans="1:11" x14ac:dyDescent="0.3">
      <c r="A1601" s="1">
        <v>31</v>
      </c>
      <c r="B1601" s="1">
        <v>2</v>
      </c>
      <c r="C1601" s="12">
        <f t="shared" si="216"/>
        <v>0.45000000000000018</v>
      </c>
      <c r="D1601" s="12">
        <f t="shared" si="217"/>
        <v>-1.7250000000000001</v>
      </c>
      <c r="E1601" s="12">
        <f t="shared" si="218"/>
        <v>11.134531726222221</v>
      </c>
      <c r="F1601" s="12">
        <f t="shared" si="219"/>
        <v>11.134531726222221</v>
      </c>
      <c r="G1601" s="12">
        <f t="shared" si="220"/>
        <v>14.592337208888887</v>
      </c>
      <c r="H1601" s="12">
        <f t="shared" si="221"/>
        <v>14.592337208888887</v>
      </c>
      <c r="I1601" s="1" t="str">
        <f t="shared" si="222"/>
        <v>No</v>
      </c>
      <c r="J1601" s="1" t="str">
        <f t="shared" si="223"/>
        <v>Si</v>
      </c>
      <c r="K1601" s="1" t="str">
        <f t="shared" si="224"/>
        <v/>
      </c>
    </row>
    <row r="1602" spans="1:11" x14ac:dyDescent="0.3">
      <c r="A1602" s="1">
        <v>31</v>
      </c>
      <c r="B1602" s="1">
        <v>3</v>
      </c>
      <c r="C1602" s="12">
        <f t="shared" si="216"/>
        <v>0.45000000000000018</v>
      </c>
      <c r="D1602" s="12">
        <f t="shared" si="217"/>
        <v>-1.65</v>
      </c>
      <c r="E1602" s="12">
        <f t="shared" si="218"/>
        <v>11.132043633777776</v>
      </c>
      <c r="F1602" s="12">
        <f t="shared" si="219"/>
        <v>11.132043633777776</v>
      </c>
      <c r="G1602" s="12">
        <f t="shared" si="220"/>
        <v>14.588832853333333</v>
      </c>
      <c r="H1602" s="12">
        <f t="shared" si="221"/>
        <v>14.588832853333333</v>
      </c>
      <c r="I1602" s="1" t="str">
        <f t="shared" si="222"/>
        <v>No</v>
      </c>
      <c r="J1602" s="1" t="str">
        <f t="shared" si="223"/>
        <v>Si</v>
      </c>
      <c r="K1602" s="1" t="str">
        <f t="shared" si="224"/>
        <v/>
      </c>
    </row>
    <row r="1603" spans="1:11" x14ac:dyDescent="0.3">
      <c r="A1603" s="1">
        <v>31</v>
      </c>
      <c r="B1603" s="1">
        <v>4</v>
      </c>
      <c r="C1603" s="12">
        <f t="shared" si="216"/>
        <v>0.45000000000000018</v>
      </c>
      <c r="D1603" s="12">
        <f t="shared" si="217"/>
        <v>-1.575</v>
      </c>
      <c r="E1603" s="12">
        <f t="shared" si="218"/>
        <v>11.129555541333332</v>
      </c>
      <c r="F1603" s="12">
        <f t="shared" si="219"/>
        <v>11.129555541333332</v>
      </c>
      <c r="G1603" s="12">
        <f t="shared" si="220"/>
        <v>14.585328497777777</v>
      </c>
      <c r="H1603" s="12">
        <f t="shared" si="221"/>
        <v>14.585328497777777</v>
      </c>
      <c r="I1603" s="1" t="str">
        <f t="shared" si="222"/>
        <v>No</v>
      </c>
      <c r="J1603" s="1" t="str">
        <f t="shared" si="223"/>
        <v>Si</v>
      </c>
      <c r="K1603" s="1" t="str">
        <f t="shared" si="224"/>
        <v/>
      </c>
    </row>
    <row r="1604" spans="1:11" x14ac:dyDescent="0.3">
      <c r="A1604" s="1">
        <v>31</v>
      </c>
      <c r="B1604" s="1">
        <v>5</v>
      </c>
      <c r="C1604" s="12">
        <f t="shared" si="216"/>
        <v>0.45000000000000018</v>
      </c>
      <c r="D1604" s="12">
        <f t="shared" si="217"/>
        <v>-1.5</v>
      </c>
      <c r="E1604" s="12">
        <f t="shared" si="218"/>
        <v>11.127067448888887</v>
      </c>
      <c r="F1604" s="12">
        <f t="shared" si="219"/>
        <v>11.127067448888887</v>
      </c>
      <c r="G1604" s="12">
        <f t="shared" si="220"/>
        <v>14.581824142222221</v>
      </c>
      <c r="H1604" s="12">
        <f t="shared" si="221"/>
        <v>14.581824142222221</v>
      </c>
      <c r="I1604" s="1" t="str">
        <f t="shared" si="222"/>
        <v>No</v>
      </c>
      <c r="J1604" s="1" t="str">
        <f t="shared" si="223"/>
        <v>Si</v>
      </c>
      <c r="K1604" s="1" t="str">
        <f t="shared" si="224"/>
        <v/>
      </c>
    </row>
    <row r="1605" spans="1:11" x14ac:dyDescent="0.3">
      <c r="A1605" s="1">
        <v>31</v>
      </c>
      <c r="B1605" s="1">
        <v>6</v>
      </c>
      <c r="C1605" s="12">
        <f t="shared" si="216"/>
        <v>0.45000000000000018</v>
      </c>
      <c r="D1605" s="12">
        <f t="shared" si="217"/>
        <v>-1.425</v>
      </c>
      <c r="E1605" s="12">
        <f t="shared" si="218"/>
        <v>11.124579356444443</v>
      </c>
      <c r="F1605" s="12">
        <f t="shared" si="219"/>
        <v>11.124579356444443</v>
      </c>
      <c r="G1605" s="12">
        <f t="shared" si="220"/>
        <v>14.578319786666667</v>
      </c>
      <c r="H1605" s="12">
        <f t="shared" si="221"/>
        <v>14.578319786666667</v>
      </c>
      <c r="I1605" s="1" t="str">
        <f t="shared" si="222"/>
        <v>No</v>
      </c>
      <c r="J1605" s="1" t="str">
        <f t="shared" si="223"/>
        <v>Si</v>
      </c>
      <c r="K1605" s="1" t="str">
        <f t="shared" si="224"/>
        <v/>
      </c>
    </row>
    <row r="1606" spans="1:11" x14ac:dyDescent="0.3">
      <c r="A1606" s="1">
        <v>31</v>
      </c>
      <c r="B1606" s="1">
        <v>7</v>
      </c>
      <c r="C1606" s="12">
        <f t="shared" si="216"/>
        <v>0.45000000000000018</v>
      </c>
      <c r="D1606" s="12">
        <f t="shared" si="217"/>
        <v>-1.35</v>
      </c>
      <c r="E1606" s="12">
        <f t="shared" si="218"/>
        <v>11.122091264</v>
      </c>
      <c r="F1606" s="12">
        <f t="shared" si="219"/>
        <v>11.122091264</v>
      </c>
      <c r="G1606" s="12">
        <f t="shared" si="220"/>
        <v>14.57481543111111</v>
      </c>
      <c r="H1606" s="12">
        <f t="shared" si="221"/>
        <v>14.57481543111111</v>
      </c>
      <c r="I1606" s="1" t="str">
        <f t="shared" si="222"/>
        <v>No</v>
      </c>
      <c r="J1606" s="1" t="str">
        <f t="shared" si="223"/>
        <v>Si</v>
      </c>
      <c r="K1606" s="1" t="str">
        <f t="shared" si="224"/>
        <v/>
      </c>
    </row>
    <row r="1607" spans="1:11" x14ac:dyDescent="0.3">
      <c r="A1607" s="1">
        <v>31</v>
      </c>
      <c r="B1607" s="1">
        <v>8</v>
      </c>
      <c r="C1607" s="12">
        <f t="shared" si="216"/>
        <v>0.45000000000000018</v>
      </c>
      <c r="D1607" s="12">
        <f t="shared" si="217"/>
        <v>-1.2749999999999999</v>
      </c>
      <c r="E1607" s="12">
        <f t="shared" si="218"/>
        <v>11.119603171555555</v>
      </c>
      <c r="F1607" s="12">
        <f t="shared" si="219"/>
        <v>11.119603171555555</v>
      </c>
      <c r="G1607" s="12">
        <f t="shared" si="220"/>
        <v>14.571311075555554</v>
      </c>
      <c r="H1607" s="12">
        <f t="shared" si="221"/>
        <v>14.571311075555554</v>
      </c>
      <c r="I1607" s="1" t="str">
        <f t="shared" si="222"/>
        <v>No</v>
      </c>
      <c r="J1607" s="1" t="str">
        <f t="shared" si="223"/>
        <v>Si</v>
      </c>
      <c r="K1607" s="1" t="str">
        <f t="shared" si="224"/>
        <v/>
      </c>
    </row>
    <row r="1608" spans="1:11" x14ac:dyDescent="0.3">
      <c r="A1608" s="1">
        <v>31</v>
      </c>
      <c r="B1608" s="1">
        <v>9</v>
      </c>
      <c r="C1608" s="12">
        <f t="shared" si="216"/>
        <v>0.45000000000000018</v>
      </c>
      <c r="D1608" s="12">
        <f t="shared" si="217"/>
        <v>-1.2</v>
      </c>
      <c r="E1608" s="12">
        <f t="shared" si="218"/>
        <v>11.117115079111111</v>
      </c>
      <c r="F1608" s="12">
        <f t="shared" si="219"/>
        <v>11.117115079111111</v>
      </c>
      <c r="G1608" s="12">
        <f t="shared" si="220"/>
        <v>14.567806719999998</v>
      </c>
      <c r="H1608" s="12">
        <f t="shared" si="221"/>
        <v>14.567806719999998</v>
      </c>
      <c r="I1608" s="1" t="str">
        <f t="shared" si="222"/>
        <v>No</v>
      </c>
      <c r="J1608" s="1" t="str">
        <f t="shared" si="223"/>
        <v>Si</v>
      </c>
      <c r="K1608" s="1" t="str">
        <f t="shared" si="224"/>
        <v/>
      </c>
    </row>
    <row r="1609" spans="1:11" x14ac:dyDescent="0.3">
      <c r="A1609" s="1">
        <v>31</v>
      </c>
      <c r="B1609" s="1">
        <v>10</v>
      </c>
      <c r="C1609" s="12">
        <f t="shared" si="216"/>
        <v>0.45000000000000018</v>
      </c>
      <c r="D1609" s="12">
        <f t="shared" si="217"/>
        <v>-1.125</v>
      </c>
      <c r="E1609" s="12">
        <f t="shared" si="218"/>
        <v>11.114626986666666</v>
      </c>
      <c r="F1609" s="12">
        <f t="shared" si="219"/>
        <v>11.114626986666666</v>
      </c>
      <c r="G1609" s="12">
        <f t="shared" si="220"/>
        <v>14.564302364444444</v>
      </c>
      <c r="H1609" s="12">
        <f t="shared" si="221"/>
        <v>14.564302364444444</v>
      </c>
      <c r="I1609" s="1" t="str">
        <f t="shared" si="222"/>
        <v>No</v>
      </c>
      <c r="J1609" s="1" t="str">
        <f t="shared" si="223"/>
        <v>Si</v>
      </c>
      <c r="K1609" s="1" t="str">
        <f t="shared" si="224"/>
        <v/>
      </c>
    </row>
    <row r="1610" spans="1:11" x14ac:dyDescent="0.3">
      <c r="A1610" s="1">
        <v>31</v>
      </c>
      <c r="B1610" s="1">
        <v>11</v>
      </c>
      <c r="C1610" s="12">
        <f t="shared" si="216"/>
        <v>0.45000000000000018</v>
      </c>
      <c r="D1610" s="12">
        <f t="shared" si="217"/>
        <v>-1.05</v>
      </c>
      <c r="E1610" s="12">
        <f t="shared" si="218"/>
        <v>11.112138894222221</v>
      </c>
      <c r="F1610" s="12">
        <f t="shared" si="219"/>
        <v>11.112138894222221</v>
      </c>
      <c r="G1610" s="12">
        <f t="shared" si="220"/>
        <v>14.560798008888888</v>
      </c>
      <c r="H1610" s="12">
        <f t="shared" si="221"/>
        <v>14.560798008888888</v>
      </c>
      <c r="I1610" s="1" t="str">
        <f t="shared" si="222"/>
        <v>No</v>
      </c>
      <c r="J1610" s="1" t="str">
        <f t="shared" si="223"/>
        <v>Si</v>
      </c>
      <c r="K1610" s="1" t="str">
        <f t="shared" si="224"/>
        <v/>
      </c>
    </row>
    <row r="1611" spans="1:11" x14ac:dyDescent="0.3">
      <c r="A1611" s="1">
        <v>31</v>
      </c>
      <c r="B1611" s="1">
        <v>12</v>
      </c>
      <c r="C1611" s="12">
        <f t="shared" si="216"/>
        <v>0.45000000000000018</v>
      </c>
      <c r="D1611" s="12">
        <f t="shared" si="217"/>
        <v>-0.97499999999999998</v>
      </c>
      <c r="E1611" s="12">
        <f t="shared" si="218"/>
        <v>11.109650801777777</v>
      </c>
      <c r="F1611" s="12">
        <f t="shared" si="219"/>
        <v>11.109650801777777</v>
      </c>
      <c r="G1611" s="12">
        <f t="shared" si="220"/>
        <v>14.557293653333332</v>
      </c>
      <c r="H1611" s="12">
        <f t="shared" si="221"/>
        <v>14.557293653333332</v>
      </c>
      <c r="I1611" s="1" t="str">
        <f t="shared" si="222"/>
        <v>No</v>
      </c>
      <c r="J1611" s="1" t="str">
        <f t="shared" si="223"/>
        <v>Si</v>
      </c>
      <c r="K1611" s="1" t="str">
        <f t="shared" si="224"/>
        <v/>
      </c>
    </row>
    <row r="1612" spans="1:11" x14ac:dyDescent="0.3">
      <c r="A1612" s="1">
        <v>31</v>
      </c>
      <c r="B1612" s="1">
        <v>13</v>
      </c>
      <c r="C1612" s="12">
        <f t="shared" si="216"/>
        <v>0.45000000000000018</v>
      </c>
      <c r="D1612" s="12">
        <f t="shared" si="217"/>
        <v>-0.9</v>
      </c>
      <c r="E1612" s="12">
        <f t="shared" si="218"/>
        <v>11.107162709333332</v>
      </c>
      <c r="F1612" s="12">
        <f t="shared" si="219"/>
        <v>11.107162709333332</v>
      </c>
      <c r="G1612" s="12">
        <f t="shared" si="220"/>
        <v>14.553789297777778</v>
      </c>
      <c r="H1612" s="12">
        <f t="shared" si="221"/>
        <v>14.553789297777778</v>
      </c>
      <c r="I1612" s="1" t="str">
        <f t="shared" si="222"/>
        <v>No</v>
      </c>
      <c r="J1612" s="1" t="str">
        <f t="shared" si="223"/>
        <v>Si</v>
      </c>
      <c r="K1612" s="1" t="str">
        <f t="shared" si="224"/>
        <v/>
      </c>
    </row>
    <row r="1613" spans="1:11" x14ac:dyDescent="0.3">
      <c r="A1613" s="1">
        <v>31</v>
      </c>
      <c r="B1613" s="1">
        <v>14</v>
      </c>
      <c r="C1613" s="12">
        <f t="shared" si="216"/>
        <v>0.45000000000000018</v>
      </c>
      <c r="D1613" s="12">
        <f t="shared" si="217"/>
        <v>-0.82499999999999996</v>
      </c>
      <c r="E1613" s="12">
        <f t="shared" si="218"/>
        <v>11.104674616888888</v>
      </c>
      <c r="F1613" s="12">
        <f t="shared" si="219"/>
        <v>11.104674616888888</v>
      </c>
      <c r="G1613" s="12">
        <f t="shared" si="220"/>
        <v>14.550284942222222</v>
      </c>
      <c r="H1613" s="12">
        <f t="shared" si="221"/>
        <v>14.550284942222222</v>
      </c>
      <c r="I1613" s="1" t="str">
        <f t="shared" si="222"/>
        <v>No</v>
      </c>
      <c r="J1613" s="1" t="str">
        <f t="shared" si="223"/>
        <v>Si</v>
      </c>
      <c r="K1613" s="1" t="str">
        <f t="shared" si="224"/>
        <v/>
      </c>
    </row>
    <row r="1614" spans="1:11" x14ac:dyDescent="0.3">
      <c r="A1614" s="1">
        <v>31</v>
      </c>
      <c r="B1614" s="1">
        <v>15</v>
      </c>
      <c r="C1614" s="12">
        <f t="shared" si="216"/>
        <v>0.45000000000000018</v>
      </c>
      <c r="D1614" s="12">
        <f t="shared" si="217"/>
        <v>-0.75</v>
      </c>
      <c r="E1614" s="12">
        <f t="shared" si="218"/>
        <v>11.102186524444443</v>
      </c>
      <c r="F1614" s="12">
        <f t="shared" si="219"/>
        <v>11.102186524444443</v>
      </c>
      <c r="G1614" s="12">
        <f t="shared" si="220"/>
        <v>14.546780586666666</v>
      </c>
      <c r="H1614" s="12">
        <f t="shared" si="221"/>
        <v>14.546780586666666</v>
      </c>
      <c r="I1614" s="1" t="str">
        <f t="shared" si="222"/>
        <v>No</v>
      </c>
      <c r="J1614" s="1" t="str">
        <f t="shared" si="223"/>
        <v>Si</v>
      </c>
      <c r="K1614" s="1" t="str">
        <f t="shared" si="224"/>
        <v/>
      </c>
    </row>
    <row r="1615" spans="1:11" x14ac:dyDescent="0.3">
      <c r="A1615" s="1">
        <v>31</v>
      </c>
      <c r="B1615" s="1">
        <v>16</v>
      </c>
      <c r="C1615" s="12">
        <f t="shared" si="216"/>
        <v>0.45000000000000018</v>
      </c>
      <c r="D1615" s="12">
        <f t="shared" si="217"/>
        <v>-0.67500000000000004</v>
      </c>
      <c r="E1615" s="12">
        <f t="shared" si="218"/>
        <v>11.099698431999999</v>
      </c>
      <c r="F1615" s="12">
        <f t="shared" si="219"/>
        <v>11.099698431999999</v>
      </c>
      <c r="G1615" s="12">
        <f t="shared" si="220"/>
        <v>14.543276231111109</v>
      </c>
      <c r="H1615" s="12">
        <f t="shared" si="221"/>
        <v>14.543276231111109</v>
      </c>
      <c r="I1615" s="1" t="str">
        <f t="shared" si="222"/>
        <v>No</v>
      </c>
      <c r="J1615" s="1" t="str">
        <f t="shared" si="223"/>
        <v>Si</v>
      </c>
      <c r="K1615" s="1" t="str">
        <f t="shared" si="224"/>
        <v/>
      </c>
    </row>
    <row r="1616" spans="1:11" x14ac:dyDescent="0.3">
      <c r="A1616" s="1">
        <v>31</v>
      </c>
      <c r="B1616" s="1">
        <v>17</v>
      </c>
      <c r="C1616" s="12">
        <f t="shared" si="216"/>
        <v>0.45000000000000018</v>
      </c>
      <c r="D1616" s="12">
        <f t="shared" si="217"/>
        <v>-0.60000000000000009</v>
      </c>
      <c r="E1616" s="12">
        <f t="shared" si="218"/>
        <v>11.097210339555554</v>
      </c>
      <c r="F1616" s="12">
        <f t="shared" si="219"/>
        <v>11.097210339555554</v>
      </c>
      <c r="G1616" s="12">
        <f t="shared" si="220"/>
        <v>14.539771875555555</v>
      </c>
      <c r="H1616" s="12">
        <f t="shared" si="221"/>
        <v>14.539771875555555</v>
      </c>
      <c r="I1616" s="1" t="str">
        <f t="shared" si="222"/>
        <v>No</v>
      </c>
      <c r="J1616" s="1" t="str">
        <f t="shared" si="223"/>
        <v>Si</v>
      </c>
      <c r="K1616" s="1" t="str">
        <f t="shared" si="224"/>
        <v/>
      </c>
    </row>
    <row r="1617" spans="1:11" x14ac:dyDescent="0.3">
      <c r="A1617" s="1">
        <v>31</v>
      </c>
      <c r="B1617" s="1">
        <v>18</v>
      </c>
      <c r="C1617" s="12">
        <f t="shared" si="216"/>
        <v>0.45000000000000018</v>
      </c>
      <c r="D1617" s="12">
        <f t="shared" si="217"/>
        <v>-0.52499999999999991</v>
      </c>
      <c r="E1617" s="12">
        <f t="shared" si="218"/>
        <v>11.094722247111109</v>
      </c>
      <c r="F1617" s="12">
        <f t="shared" si="219"/>
        <v>11.094722247111109</v>
      </c>
      <c r="G1617" s="12">
        <f t="shared" si="220"/>
        <v>14.536267519999999</v>
      </c>
      <c r="H1617" s="12">
        <f t="shared" si="221"/>
        <v>14.536267519999999</v>
      </c>
      <c r="I1617" s="1" t="str">
        <f t="shared" si="222"/>
        <v>No</v>
      </c>
      <c r="J1617" s="1" t="str">
        <f t="shared" si="223"/>
        <v>Si</v>
      </c>
      <c r="K1617" s="1" t="str">
        <f t="shared" si="224"/>
        <v/>
      </c>
    </row>
    <row r="1618" spans="1:11" x14ac:dyDescent="0.3">
      <c r="A1618" s="1">
        <v>31</v>
      </c>
      <c r="B1618" s="1">
        <v>19</v>
      </c>
      <c r="C1618" s="12">
        <f t="shared" ref="C1618:C1681" si="225">IF(OR(A1618&gt;inp_n_div_x,B1618&gt;inp_n_div_y),"",-inp_bx/2+A1618*inp_bx/inp_n_div_x)</f>
        <v>0.45000000000000018</v>
      </c>
      <c r="D1618" s="12">
        <f t="shared" ref="D1618:D1681" si="226">IF(C1618="","",-inp_by/2+B1618*inp_by/inp_n_div_y)</f>
        <v>-0.44999999999999996</v>
      </c>
      <c r="E1618" s="12">
        <f t="shared" ref="E1618:E1681" si="227">IF(C1618="","",res_srv_p_tot/geo_area+res_srv_mx_tot/geo_ix*D1618+res_srv_my_tot/geo_iy*C1618)</f>
        <v>11.092234154666667</v>
      </c>
      <c r="F1618" s="12">
        <f t="shared" ref="F1618:F1681" si="228">IF(E1618="","",MAX(0,E1618))</f>
        <v>11.092234154666667</v>
      </c>
      <c r="G1618" s="12">
        <f t="shared" ref="G1618:G1681" si="229">IF(C1618="","",res_u_p_tot/geo_area+res_u_mx_tot/geo_ix*D1618+res_u_my_tot/geo_iy*C1618)</f>
        <v>14.532763164444443</v>
      </c>
      <c r="H1618" s="12">
        <f t="shared" ref="H1618:H1681" si="230">IF(G1618="","",MAX(0,G1618))</f>
        <v>14.532763164444443</v>
      </c>
      <c r="I1618" s="1" t="str">
        <f t="shared" ref="I1618:I1681" si="231">IF(C1618="","",IF(AND(C1618&gt;=inp_xc-inp_cx/2,C1618&lt;=inp_xc+inp_cx/2,D1618&gt;=inp_yc-inp_cy/2,D1618&lt;=inp_yc+inp_cy/2),"Si","No"))</f>
        <v>No</v>
      </c>
      <c r="J1618" s="1" t="str">
        <f t="shared" ref="J1618:J1681" si="232">IF(C1618="","","Si")</f>
        <v>Si</v>
      </c>
      <c r="K1618" s="1" t="str">
        <f t="shared" ref="K1618:K1681" si="233">IF(OR(E1618&lt;0,G1618&lt;0),"Presion negativa","")</f>
        <v/>
      </c>
    </row>
    <row r="1619" spans="1:11" x14ac:dyDescent="0.3">
      <c r="A1619" s="1">
        <v>31</v>
      </c>
      <c r="B1619" s="1">
        <v>20</v>
      </c>
      <c r="C1619" s="12">
        <f t="shared" si="225"/>
        <v>0.45000000000000018</v>
      </c>
      <c r="D1619" s="12">
        <f t="shared" si="226"/>
        <v>-0.375</v>
      </c>
      <c r="E1619" s="12">
        <f t="shared" si="227"/>
        <v>11.089746062222222</v>
      </c>
      <c r="F1619" s="12">
        <f t="shared" si="228"/>
        <v>11.089746062222222</v>
      </c>
      <c r="G1619" s="12">
        <f t="shared" si="229"/>
        <v>14.529258808888889</v>
      </c>
      <c r="H1619" s="12">
        <f t="shared" si="230"/>
        <v>14.529258808888889</v>
      </c>
      <c r="I1619" s="1" t="str">
        <f t="shared" si="231"/>
        <v>No</v>
      </c>
      <c r="J1619" s="1" t="str">
        <f t="shared" si="232"/>
        <v>Si</v>
      </c>
      <c r="K1619" s="1" t="str">
        <f t="shared" si="233"/>
        <v/>
      </c>
    </row>
    <row r="1620" spans="1:11" x14ac:dyDescent="0.3">
      <c r="A1620" s="1">
        <v>31</v>
      </c>
      <c r="B1620" s="1">
        <v>21</v>
      </c>
      <c r="C1620" s="12">
        <f t="shared" si="225"/>
        <v>0.45000000000000018</v>
      </c>
      <c r="D1620" s="12">
        <f t="shared" si="226"/>
        <v>-0.30000000000000004</v>
      </c>
      <c r="E1620" s="12">
        <f t="shared" si="227"/>
        <v>11.087257969777777</v>
      </c>
      <c r="F1620" s="12">
        <f t="shared" si="228"/>
        <v>11.087257969777777</v>
      </c>
      <c r="G1620" s="12">
        <f t="shared" si="229"/>
        <v>14.525754453333333</v>
      </c>
      <c r="H1620" s="12">
        <f t="shared" si="230"/>
        <v>14.525754453333333</v>
      </c>
      <c r="I1620" s="1" t="str">
        <f t="shared" si="231"/>
        <v>No</v>
      </c>
      <c r="J1620" s="1" t="str">
        <f t="shared" si="232"/>
        <v>Si</v>
      </c>
      <c r="K1620" s="1" t="str">
        <f t="shared" si="233"/>
        <v/>
      </c>
    </row>
    <row r="1621" spans="1:11" x14ac:dyDescent="0.3">
      <c r="A1621" s="1">
        <v>31</v>
      </c>
      <c r="B1621" s="1">
        <v>22</v>
      </c>
      <c r="C1621" s="12">
        <f t="shared" si="225"/>
        <v>0.45000000000000018</v>
      </c>
      <c r="D1621" s="12">
        <f t="shared" si="226"/>
        <v>-0.22500000000000009</v>
      </c>
      <c r="E1621" s="12">
        <f t="shared" si="227"/>
        <v>11.084769877333333</v>
      </c>
      <c r="F1621" s="12">
        <f t="shared" si="228"/>
        <v>11.084769877333333</v>
      </c>
      <c r="G1621" s="12">
        <f t="shared" si="229"/>
        <v>14.522250097777777</v>
      </c>
      <c r="H1621" s="12">
        <f t="shared" si="230"/>
        <v>14.522250097777777</v>
      </c>
      <c r="I1621" s="1" t="str">
        <f t="shared" si="231"/>
        <v>No</v>
      </c>
      <c r="J1621" s="1" t="str">
        <f t="shared" si="232"/>
        <v>Si</v>
      </c>
      <c r="K1621" s="1" t="str">
        <f t="shared" si="233"/>
        <v/>
      </c>
    </row>
    <row r="1622" spans="1:11" x14ac:dyDescent="0.3">
      <c r="A1622" s="1">
        <v>31</v>
      </c>
      <c r="B1622" s="1">
        <v>23</v>
      </c>
      <c r="C1622" s="12">
        <f t="shared" si="225"/>
        <v>0.45000000000000018</v>
      </c>
      <c r="D1622" s="12">
        <f t="shared" si="226"/>
        <v>-0.14999999999999991</v>
      </c>
      <c r="E1622" s="12">
        <f t="shared" si="227"/>
        <v>11.082281784888888</v>
      </c>
      <c r="F1622" s="12">
        <f t="shared" si="228"/>
        <v>11.082281784888888</v>
      </c>
      <c r="G1622" s="12">
        <f t="shared" si="229"/>
        <v>14.518745742222221</v>
      </c>
      <c r="H1622" s="12">
        <f t="shared" si="230"/>
        <v>14.518745742222221</v>
      </c>
      <c r="I1622" s="1" t="str">
        <f t="shared" si="231"/>
        <v>No</v>
      </c>
      <c r="J1622" s="1" t="str">
        <f t="shared" si="232"/>
        <v>Si</v>
      </c>
      <c r="K1622" s="1" t="str">
        <f t="shared" si="233"/>
        <v/>
      </c>
    </row>
    <row r="1623" spans="1:11" x14ac:dyDescent="0.3">
      <c r="A1623" s="1">
        <v>31</v>
      </c>
      <c r="B1623" s="1">
        <v>24</v>
      </c>
      <c r="C1623" s="12">
        <f t="shared" si="225"/>
        <v>0.45000000000000018</v>
      </c>
      <c r="D1623" s="12">
        <f t="shared" si="226"/>
        <v>-7.4999999999999956E-2</v>
      </c>
      <c r="E1623" s="12">
        <f t="shared" si="227"/>
        <v>11.079793692444444</v>
      </c>
      <c r="F1623" s="12">
        <f t="shared" si="228"/>
        <v>11.079793692444444</v>
      </c>
      <c r="G1623" s="12">
        <f t="shared" si="229"/>
        <v>14.515241386666666</v>
      </c>
      <c r="H1623" s="12">
        <f t="shared" si="230"/>
        <v>14.515241386666666</v>
      </c>
      <c r="I1623" s="1" t="str">
        <f t="shared" si="231"/>
        <v>No</v>
      </c>
      <c r="J1623" s="1" t="str">
        <f t="shared" si="232"/>
        <v>Si</v>
      </c>
      <c r="K1623" s="1" t="str">
        <f t="shared" si="233"/>
        <v/>
      </c>
    </row>
    <row r="1624" spans="1:11" x14ac:dyDescent="0.3">
      <c r="A1624" s="1">
        <v>31</v>
      </c>
      <c r="B1624" s="1">
        <v>25</v>
      </c>
      <c r="C1624" s="12">
        <f t="shared" si="225"/>
        <v>0.45000000000000018</v>
      </c>
      <c r="D1624" s="12">
        <f t="shared" si="226"/>
        <v>0</v>
      </c>
      <c r="E1624" s="12">
        <f t="shared" si="227"/>
        <v>11.077305599999999</v>
      </c>
      <c r="F1624" s="12">
        <f t="shared" si="228"/>
        <v>11.077305599999999</v>
      </c>
      <c r="G1624" s="12">
        <f t="shared" si="229"/>
        <v>14.51173703111111</v>
      </c>
      <c r="H1624" s="12">
        <f t="shared" si="230"/>
        <v>14.51173703111111</v>
      </c>
      <c r="I1624" s="1" t="str">
        <f t="shared" si="231"/>
        <v>No</v>
      </c>
      <c r="J1624" s="1" t="str">
        <f t="shared" si="232"/>
        <v>Si</v>
      </c>
      <c r="K1624" s="1" t="str">
        <f t="shared" si="233"/>
        <v/>
      </c>
    </row>
    <row r="1625" spans="1:11" x14ac:dyDescent="0.3">
      <c r="A1625" s="1">
        <v>31</v>
      </c>
      <c r="B1625" s="1">
        <v>26</v>
      </c>
      <c r="C1625" s="12">
        <f t="shared" si="225"/>
        <v>0.45000000000000018</v>
      </c>
      <c r="D1625" s="12">
        <f t="shared" si="226"/>
        <v>7.4999999999999956E-2</v>
      </c>
      <c r="E1625" s="12">
        <f t="shared" si="227"/>
        <v>11.074817507555554</v>
      </c>
      <c r="F1625" s="12">
        <f t="shared" si="228"/>
        <v>11.074817507555554</v>
      </c>
      <c r="G1625" s="12">
        <f t="shared" si="229"/>
        <v>14.508232675555554</v>
      </c>
      <c r="H1625" s="12">
        <f t="shared" si="230"/>
        <v>14.508232675555554</v>
      </c>
      <c r="I1625" s="1" t="str">
        <f t="shared" si="231"/>
        <v>No</v>
      </c>
      <c r="J1625" s="1" t="str">
        <f t="shared" si="232"/>
        <v>Si</v>
      </c>
      <c r="K1625" s="1" t="str">
        <f t="shared" si="233"/>
        <v/>
      </c>
    </row>
    <row r="1626" spans="1:11" x14ac:dyDescent="0.3">
      <c r="A1626" s="1">
        <v>31</v>
      </c>
      <c r="B1626" s="1">
        <v>27</v>
      </c>
      <c r="C1626" s="12">
        <f t="shared" si="225"/>
        <v>0.45000000000000018</v>
      </c>
      <c r="D1626" s="12">
        <f t="shared" si="226"/>
        <v>0.14999999999999991</v>
      </c>
      <c r="E1626" s="12">
        <f t="shared" si="227"/>
        <v>11.07232941511111</v>
      </c>
      <c r="F1626" s="12">
        <f t="shared" si="228"/>
        <v>11.07232941511111</v>
      </c>
      <c r="G1626" s="12">
        <f t="shared" si="229"/>
        <v>14.50472832</v>
      </c>
      <c r="H1626" s="12">
        <f t="shared" si="230"/>
        <v>14.50472832</v>
      </c>
      <c r="I1626" s="1" t="str">
        <f t="shared" si="231"/>
        <v>No</v>
      </c>
      <c r="J1626" s="1" t="str">
        <f t="shared" si="232"/>
        <v>Si</v>
      </c>
      <c r="K1626" s="1" t="str">
        <f t="shared" si="233"/>
        <v/>
      </c>
    </row>
    <row r="1627" spans="1:11" x14ac:dyDescent="0.3">
      <c r="A1627" s="1">
        <v>31</v>
      </c>
      <c r="B1627" s="1">
        <v>28</v>
      </c>
      <c r="C1627" s="12">
        <f t="shared" si="225"/>
        <v>0.45000000000000018</v>
      </c>
      <c r="D1627" s="12">
        <f t="shared" si="226"/>
        <v>0.22500000000000009</v>
      </c>
      <c r="E1627" s="12">
        <f t="shared" si="227"/>
        <v>11.069841322666665</v>
      </c>
      <c r="F1627" s="12">
        <f t="shared" si="228"/>
        <v>11.069841322666665</v>
      </c>
      <c r="G1627" s="12">
        <f t="shared" si="229"/>
        <v>14.501223964444444</v>
      </c>
      <c r="H1627" s="12">
        <f t="shared" si="230"/>
        <v>14.501223964444444</v>
      </c>
      <c r="I1627" s="1" t="str">
        <f t="shared" si="231"/>
        <v>No</v>
      </c>
      <c r="J1627" s="1" t="str">
        <f t="shared" si="232"/>
        <v>Si</v>
      </c>
      <c r="K1627" s="1" t="str">
        <f t="shared" si="233"/>
        <v/>
      </c>
    </row>
    <row r="1628" spans="1:11" x14ac:dyDescent="0.3">
      <c r="A1628" s="1">
        <v>31</v>
      </c>
      <c r="B1628" s="1">
        <v>29</v>
      </c>
      <c r="C1628" s="12">
        <f t="shared" si="225"/>
        <v>0.45000000000000018</v>
      </c>
      <c r="D1628" s="12">
        <f t="shared" si="226"/>
        <v>0.29999999999999982</v>
      </c>
      <c r="E1628" s="12">
        <f t="shared" si="227"/>
        <v>11.067353230222221</v>
      </c>
      <c r="F1628" s="12">
        <f t="shared" si="228"/>
        <v>11.067353230222221</v>
      </c>
      <c r="G1628" s="12">
        <f t="shared" si="229"/>
        <v>14.497719608888888</v>
      </c>
      <c r="H1628" s="12">
        <f t="shared" si="230"/>
        <v>14.497719608888888</v>
      </c>
      <c r="I1628" s="1" t="str">
        <f t="shared" si="231"/>
        <v>No</v>
      </c>
      <c r="J1628" s="1" t="str">
        <f t="shared" si="232"/>
        <v>Si</v>
      </c>
      <c r="K1628" s="1" t="str">
        <f t="shared" si="233"/>
        <v/>
      </c>
    </row>
    <row r="1629" spans="1:11" x14ac:dyDescent="0.3">
      <c r="A1629" s="1">
        <v>31</v>
      </c>
      <c r="B1629" s="1">
        <v>30</v>
      </c>
      <c r="C1629" s="12">
        <f t="shared" si="225"/>
        <v>0.45000000000000018</v>
      </c>
      <c r="D1629" s="12">
        <f t="shared" si="226"/>
        <v>0.375</v>
      </c>
      <c r="E1629" s="12">
        <f t="shared" si="227"/>
        <v>11.064865137777776</v>
      </c>
      <c r="F1629" s="12">
        <f t="shared" si="228"/>
        <v>11.064865137777776</v>
      </c>
      <c r="G1629" s="12">
        <f t="shared" si="229"/>
        <v>14.494215253333332</v>
      </c>
      <c r="H1629" s="12">
        <f t="shared" si="230"/>
        <v>14.494215253333332</v>
      </c>
      <c r="I1629" s="1" t="str">
        <f t="shared" si="231"/>
        <v>No</v>
      </c>
      <c r="J1629" s="1" t="str">
        <f t="shared" si="232"/>
        <v>Si</v>
      </c>
      <c r="K1629" s="1" t="str">
        <f t="shared" si="233"/>
        <v/>
      </c>
    </row>
    <row r="1630" spans="1:11" x14ac:dyDescent="0.3">
      <c r="A1630" s="1">
        <v>31</v>
      </c>
      <c r="B1630" s="1">
        <v>31</v>
      </c>
      <c r="C1630" s="12">
        <f t="shared" si="225"/>
        <v>0.45000000000000018</v>
      </c>
      <c r="D1630" s="12">
        <f t="shared" si="226"/>
        <v>0.45000000000000018</v>
      </c>
      <c r="E1630" s="12">
        <f t="shared" si="227"/>
        <v>11.062377045333331</v>
      </c>
      <c r="F1630" s="12">
        <f t="shared" si="228"/>
        <v>11.062377045333331</v>
      </c>
      <c r="G1630" s="12">
        <f t="shared" si="229"/>
        <v>14.490710897777777</v>
      </c>
      <c r="H1630" s="12">
        <f t="shared" si="230"/>
        <v>14.490710897777777</v>
      </c>
      <c r="I1630" s="1" t="str">
        <f t="shared" si="231"/>
        <v>No</v>
      </c>
      <c r="J1630" s="1" t="str">
        <f t="shared" si="232"/>
        <v>Si</v>
      </c>
      <c r="K1630" s="1" t="str">
        <f t="shared" si="233"/>
        <v/>
      </c>
    </row>
    <row r="1631" spans="1:11" x14ac:dyDescent="0.3">
      <c r="A1631" s="1">
        <v>31</v>
      </c>
      <c r="B1631" s="1">
        <v>32</v>
      </c>
      <c r="C1631" s="12">
        <f t="shared" si="225"/>
        <v>0.45000000000000018</v>
      </c>
      <c r="D1631" s="12">
        <f t="shared" si="226"/>
        <v>0.52499999999999991</v>
      </c>
      <c r="E1631" s="12">
        <f t="shared" si="227"/>
        <v>11.059888952888889</v>
      </c>
      <c r="F1631" s="12">
        <f t="shared" si="228"/>
        <v>11.059888952888889</v>
      </c>
      <c r="G1631" s="12">
        <f t="shared" si="229"/>
        <v>14.487206542222221</v>
      </c>
      <c r="H1631" s="12">
        <f t="shared" si="230"/>
        <v>14.487206542222221</v>
      </c>
      <c r="I1631" s="1" t="str">
        <f t="shared" si="231"/>
        <v>No</v>
      </c>
      <c r="J1631" s="1" t="str">
        <f t="shared" si="232"/>
        <v>Si</v>
      </c>
      <c r="K1631" s="1" t="str">
        <f t="shared" si="233"/>
        <v/>
      </c>
    </row>
    <row r="1632" spans="1:11" x14ac:dyDescent="0.3">
      <c r="A1632" s="1">
        <v>31</v>
      </c>
      <c r="B1632" s="1">
        <v>33</v>
      </c>
      <c r="C1632" s="12">
        <f t="shared" si="225"/>
        <v>0.45000000000000018</v>
      </c>
      <c r="D1632" s="12">
        <f t="shared" si="226"/>
        <v>0.60000000000000009</v>
      </c>
      <c r="E1632" s="12">
        <f t="shared" si="227"/>
        <v>11.057400860444444</v>
      </c>
      <c r="F1632" s="12">
        <f t="shared" si="228"/>
        <v>11.057400860444444</v>
      </c>
      <c r="G1632" s="12">
        <f t="shared" si="229"/>
        <v>14.483702186666665</v>
      </c>
      <c r="H1632" s="12">
        <f t="shared" si="230"/>
        <v>14.483702186666665</v>
      </c>
      <c r="I1632" s="1" t="str">
        <f t="shared" si="231"/>
        <v>No</v>
      </c>
      <c r="J1632" s="1" t="str">
        <f t="shared" si="232"/>
        <v>Si</v>
      </c>
      <c r="K1632" s="1" t="str">
        <f t="shared" si="233"/>
        <v/>
      </c>
    </row>
    <row r="1633" spans="1:11" x14ac:dyDescent="0.3">
      <c r="A1633" s="1">
        <v>31</v>
      </c>
      <c r="B1633" s="1">
        <v>34</v>
      </c>
      <c r="C1633" s="12">
        <f t="shared" si="225"/>
        <v>0.45000000000000018</v>
      </c>
      <c r="D1633" s="12">
        <f t="shared" si="226"/>
        <v>0.67499999999999982</v>
      </c>
      <c r="E1633" s="12">
        <f t="shared" si="227"/>
        <v>11.054912767999999</v>
      </c>
      <c r="F1633" s="12">
        <f t="shared" si="228"/>
        <v>11.054912767999999</v>
      </c>
      <c r="G1633" s="12">
        <f t="shared" si="229"/>
        <v>14.480197831111111</v>
      </c>
      <c r="H1633" s="12">
        <f t="shared" si="230"/>
        <v>14.480197831111111</v>
      </c>
      <c r="I1633" s="1" t="str">
        <f t="shared" si="231"/>
        <v>No</v>
      </c>
      <c r="J1633" s="1" t="str">
        <f t="shared" si="232"/>
        <v>Si</v>
      </c>
      <c r="K1633" s="1" t="str">
        <f t="shared" si="233"/>
        <v/>
      </c>
    </row>
    <row r="1634" spans="1:11" x14ac:dyDescent="0.3">
      <c r="A1634" s="1">
        <v>31</v>
      </c>
      <c r="B1634" s="1">
        <v>35</v>
      </c>
      <c r="C1634" s="12">
        <f t="shared" si="225"/>
        <v>0.45000000000000018</v>
      </c>
      <c r="D1634" s="12">
        <f t="shared" si="226"/>
        <v>0.75</v>
      </c>
      <c r="E1634" s="12">
        <f t="shared" si="227"/>
        <v>11.052424675555555</v>
      </c>
      <c r="F1634" s="12">
        <f t="shared" si="228"/>
        <v>11.052424675555555</v>
      </c>
      <c r="G1634" s="12">
        <f t="shared" si="229"/>
        <v>14.476693475555555</v>
      </c>
      <c r="H1634" s="12">
        <f t="shared" si="230"/>
        <v>14.476693475555555</v>
      </c>
      <c r="I1634" s="1" t="str">
        <f t="shared" si="231"/>
        <v>No</v>
      </c>
      <c r="J1634" s="1" t="str">
        <f t="shared" si="232"/>
        <v>Si</v>
      </c>
      <c r="K1634" s="1" t="str">
        <f t="shared" si="233"/>
        <v/>
      </c>
    </row>
    <row r="1635" spans="1:11" x14ac:dyDescent="0.3">
      <c r="A1635" s="1">
        <v>31</v>
      </c>
      <c r="B1635" s="1">
        <v>36</v>
      </c>
      <c r="C1635" s="12">
        <f t="shared" si="225"/>
        <v>0.45000000000000018</v>
      </c>
      <c r="D1635" s="12">
        <f t="shared" si="226"/>
        <v>0.82500000000000018</v>
      </c>
      <c r="E1635" s="12">
        <f t="shared" si="227"/>
        <v>11.04993658311111</v>
      </c>
      <c r="F1635" s="12">
        <f t="shared" si="228"/>
        <v>11.04993658311111</v>
      </c>
      <c r="G1635" s="12">
        <f t="shared" si="229"/>
        <v>14.473189119999999</v>
      </c>
      <c r="H1635" s="12">
        <f t="shared" si="230"/>
        <v>14.473189119999999</v>
      </c>
      <c r="I1635" s="1" t="str">
        <f t="shared" si="231"/>
        <v>No</v>
      </c>
      <c r="J1635" s="1" t="str">
        <f t="shared" si="232"/>
        <v>Si</v>
      </c>
      <c r="K1635" s="1" t="str">
        <f t="shared" si="233"/>
        <v/>
      </c>
    </row>
    <row r="1636" spans="1:11" x14ac:dyDescent="0.3">
      <c r="A1636" s="1">
        <v>31</v>
      </c>
      <c r="B1636" s="1">
        <v>37</v>
      </c>
      <c r="C1636" s="12">
        <f t="shared" si="225"/>
        <v>0.45000000000000018</v>
      </c>
      <c r="D1636" s="12">
        <f t="shared" si="226"/>
        <v>0.89999999999999991</v>
      </c>
      <c r="E1636" s="12">
        <f t="shared" si="227"/>
        <v>11.047448490666666</v>
      </c>
      <c r="F1636" s="12">
        <f t="shared" si="228"/>
        <v>11.047448490666666</v>
      </c>
      <c r="G1636" s="12">
        <f t="shared" si="229"/>
        <v>14.469684764444443</v>
      </c>
      <c r="H1636" s="12">
        <f t="shared" si="230"/>
        <v>14.469684764444443</v>
      </c>
      <c r="I1636" s="1" t="str">
        <f t="shared" si="231"/>
        <v>No</v>
      </c>
      <c r="J1636" s="1" t="str">
        <f t="shared" si="232"/>
        <v>Si</v>
      </c>
      <c r="K1636" s="1" t="str">
        <f t="shared" si="233"/>
        <v/>
      </c>
    </row>
    <row r="1637" spans="1:11" x14ac:dyDescent="0.3">
      <c r="A1637" s="1">
        <v>31</v>
      </c>
      <c r="B1637" s="1">
        <v>38</v>
      </c>
      <c r="C1637" s="12">
        <f t="shared" si="225"/>
        <v>0.45000000000000018</v>
      </c>
      <c r="D1637" s="12">
        <f t="shared" si="226"/>
        <v>0.97500000000000009</v>
      </c>
      <c r="E1637" s="12">
        <f t="shared" si="227"/>
        <v>11.044960398222221</v>
      </c>
      <c r="F1637" s="12">
        <f t="shared" si="228"/>
        <v>11.044960398222221</v>
      </c>
      <c r="G1637" s="12">
        <f t="shared" si="229"/>
        <v>14.466180408888889</v>
      </c>
      <c r="H1637" s="12">
        <f t="shared" si="230"/>
        <v>14.466180408888889</v>
      </c>
      <c r="I1637" s="1" t="str">
        <f t="shared" si="231"/>
        <v>No</v>
      </c>
      <c r="J1637" s="1" t="str">
        <f t="shared" si="232"/>
        <v>Si</v>
      </c>
      <c r="K1637" s="1" t="str">
        <f t="shared" si="233"/>
        <v/>
      </c>
    </row>
    <row r="1638" spans="1:11" x14ac:dyDescent="0.3">
      <c r="A1638" s="1">
        <v>31</v>
      </c>
      <c r="B1638" s="1">
        <v>39</v>
      </c>
      <c r="C1638" s="12">
        <f t="shared" si="225"/>
        <v>0.45000000000000018</v>
      </c>
      <c r="D1638" s="12">
        <f t="shared" si="226"/>
        <v>1.0499999999999998</v>
      </c>
      <c r="E1638" s="12">
        <f t="shared" si="227"/>
        <v>11.042472305777776</v>
      </c>
      <c r="F1638" s="12">
        <f t="shared" si="228"/>
        <v>11.042472305777776</v>
      </c>
      <c r="G1638" s="12">
        <f t="shared" si="229"/>
        <v>14.462676053333333</v>
      </c>
      <c r="H1638" s="12">
        <f t="shared" si="230"/>
        <v>14.462676053333333</v>
      </c>
      <c r="I1638" s="1" t="str">
        <f t="shared" si="231"/>
        <v>No</v>
      </c>
      <c r="J1638" s="1" t="str">
        <f t="shared" si="232"/>
        <v>Si</v>
      </c>
      <c r="K1638" s="1" t="str">
        <f t="shared" si="233"/>
        <v/>
      </c>
    </row>
    <row r="1639" spans="1:11" x14ac:dyDescent="0.3">
      <c r="A1639" s="1">
        <v>31</v>
      </c>
      <c r="B1639" s="1">
        <v>40</v>
      </c>
      <c r="C1639" s="12">
        <f t="shared" si="225"/>
        <v>0.45000000000000018</v>
      </c>
      <c r="D1639" s="12">
        <f t="shared" si="226"/>
        <v>1.125</v>
      </c>
      <c r="E1639" s="12">
        <f t="shared" si="227"/>
        <v>11.039984213333332</v>
      </c>
      <c r="F1639" s="12">
        <f t="shared" si="228"/>
        <v>11.039984213333332</v>
      </c>
      <c r="G1639" s="12">
        <f t="shared" si="229"/>
        <v>14.459171697777776</v>
      </c>
      <c r="H1639" s="12">
        <f t="shared" si="230"/>
        <v>14.459171697777776</v>
      </c>
      <c r="I1639" s="1" t="str">
        <f t="shared" si="231"/>
        <v>No</v>
      </c>
      <c r="J1639" s="1" t="str">
        <f t="shared" si="232"/>
        <v>Si</v>
      </c>
      <c r="K1639" s="1" t="str">
        <f t="shared" si="233"/>
        <v/>
      </c>
    </row>
    <row r="1640" spans="1:11" x14ac:dyDescent="0.3">
      <c r="A1640" s="1">
        <v>31</v>
      </c>
      <c r="B1640" s="1">
        <v>41</v>
      </c>
      <c r="C1640" s="12">
        <f t="shared" si="225"/>
        <v>0.45000000000000018</v>
      </c>
      <c r="D1640" s="12">
        <f t="shared" si="226"/>
        <v>1.2000000000000002</v>
      </c>
      <c r="E1640" s="12">
        <f t="shared" si="227"/>
        <v>11.037496120888887</v>
      </c>
      <c r="F1640" s="12">
        <f t="shared" si="228"/>
        <v>11.037496120888887</v>
      </c>
      <c r="G1640" s="12">
        <f t="shared" si="229"/>
        <v>14.455667342222222</v>
      </c>
      <c r="H1640" s="12">
        <f t="shared" si="230"/>
        <v>14.455667342222222</v>
      </c>
      <c r="I1640" s="1" t="str">
        <f t="shared" si="231"/>
        <v>No</v>
      </c>
      <c r="J1640" s="1" t="str">
        <f t="shared" si="232"/>
        <v>Si</v>
      </c>
      <c r="K1640" s="1" t="str">
        <f t="shared" si="233"/>
        <v/>
      </c>
    </row>
    <row r="1641" spans="1:11" x14ac:dyDescent="0.3">
      <c r="A1641" s="1">
        <v>31</v>
      </c>
      <c r="B1641" s="1">
        <v>42</v>
      </c>
      <c r="C1641" s="12">
        <f t="shared" si="225"/>
        <v>0.45000000000000018</v>
      </c>
      <c r="D1641" s="12">
        <f t="shared" si="226"/>
        <v>1.2749999999999999</v>
      </c>
      <c r="E1641" s="12">
        <f t="shared" si="227"/>
        <v>11.035008028444443</v>
      </c>
      <c r="F1641" s="12">
        <f t="shared" si="228"/>
        <v>11.035008028444443</v>
      </c>
      <c r="G1641" s="12">
        <f t="shared" si="229"/>
        <v>14.452162986666666</v>
      </c>
      <c r="H1641" s="12">
        <f t="shared" si="230"/>
        <v>14.452162986666666</v>
      </c>
      <c r="I1641" s="1" t="str">
        <f t="shared" si="231"/>
        <v>No</v>
      </c>
      <c r="J1641" s="1" t="str">
        <f t="shared" si="232"/>
        <v>Si</v>
      </c>
      <c r="K1641" s="1" t="str">
        <f t="shared" si="233"/>
        <v/>
      </c>
    </row>
    <row r="1642" spans="1:11" x14ac:dyDescent="0.3">
      <c r="A1642" s="1">
        <v>31</v>
      </c>
      <c r="B1642" s="1">
        <v>43</v>
      </c>
      <c r="C1642" s="12">
        <f t="shared" si="225"/>
        <v>0.45000000000000018</v>
      </c>
      <c r="D1642" s="12">
        <f t="shared" si="226"/>
        <v>1.35</v>
      </c>
      <c r="E1642" s="12">
        <f t="shared" si="227"/>
        <v>11.032519935999998</v>
      </c>
      <c r="F1642" s="12">
        <f t="shared" si="228"/>
        <v>11.032519935999998</v>
      </c>
      <c r="G1642" s="12">
        <f t="shared" si="229"/>
        <v>14.44865863111111</v>
      </c>
      <c r="H1642" s="12">
        <f t="shared" si="230"/>
        <v>14.44865863111111</v>
      </c>
      <c r="I1642" s="1" t="str">
        <f t="shared" si="231"/>
        <v>No</v>
      </c>
      <c r="J1642" s="1" t="str">
        <f t="shared" si="232"/>
        <v>Si</v>
      </c>
      <c r="K1642" s="1" t="str">
        <f t="shared" si="233"/>
        <v/>
      </c>
    </row>
    <row r="1643" spans="1:11" x14ac:dyDescent="0.3">
      <c r="A1643" s="1">
        <v>31</v>
      </c>
      <c r="B1643" s="1">
        <v>44</v>
      </c>
      <c r="C1643" s="12">
        <f t="shared" si="225"/>
        <v>0.45000000000000018</v>
      </c>
      <c r="D1643" s="12">
        <f t="shared" si="226"/>
        <v>1.4249999999999998</v>
      </c>
      <c r="E1643" s="12">
        <f t="shared" si="227"/>
        <v>11.030031843555555</v>
      </c>
      <c r="F1643" s="12">
        <f t="shared" si="228"/>
        <v>11.030031843555555</v>
      </c>
      <c r="G1643" s="12">
        <f t="shared" si="229"/>
        <v>14.445154275555554</v>
      </c>
      <c r="H1643" s="12">
        <f t="shared" si="230"/>
        <v>14.445154275555554</v>
      </c>
      <c r="I1643" s="1" t="str">
        <f t="shared" si="231"/>
        <v>No</v>
      </c>
      <c r="J1643" s="1" t="str">
        <f t="shared" si="232"/>
        <v>Si</v>
      </c>
      <c r="K1643" s="1" t="str">
        <f t="shared" si="233"/>
        <v/>
      </c>
    </row>
    <row r="1644" spans="1:11" x14ac:dyDescent="0.3">
      <c r="A1644" s="1">
        <v>31</v>
      </c>
      <c r="B1644" s="1">
        <v>45</v>
      </c>
      <c r="C1644" s="12">
        <f t="shared" si="225"/>
        <v>0.45000000000000018</v>
      </c>
      <c r="D1644" s="12">
        <f t="shared" si="226"/>
        <v>1.5</v>
      </c>
      <c r="E1644" s="12">
        <f t="shared" si="227"/>
        <v>11.027543751111111</v>
      </c>
      <c r="F1644" s="12">
        <f t="shared" si="228"/>
        <v>11.027543751111111</v>
      </c>
      <c r="G1644" s="12">
        <f t="shared" si="229"/>
        <v>14.44164992</v>
      </c>
      <c r="H1644" s="12">
        <f t="shared" si="230"/>
        <v>14.44164992</v>
      </c>
      <c r="I1644" s="1" t="str">
        <f t="shared" si="231"/>
        <v>No</v>
      </c>
      <c r="J1644" s="1" t="str">
        <f t="shared" si="232"/>
        <v>Si</v>
      </c>
      <c r="K1644" s="1" t="str">
        <f t="shared" si="233"/>
        <v/>
      </c>
    </row>
    <row r="1645" spans="1:11" x14ac:dyDescent="0.3">
      <c r="A1645" s="1">
        <v>31</v>
      </c>
      <c r="B1645" s="1">
        <v>46</v>
      </c>
      <c r="C1645" s="12">
        <f t="shared" si="225"/>
        <v>0.45000000000000018</v>
      </c>
      <c r="D1645" s="12">
        <f t="shared" si="226"/>
        <v>1.5750000000000002</v>
      </c>
      <c r="E1645" s="12">
        <f t="shared" si="227"/>
        <v>11.025055658666666</v>
      </c>
      <c r="F1645" s="12">
        <f t="shared" si="228"/>
        <v>11.025055658666666</v>
      </c>
      <c r="G1645" s="12">
        <f t="shared" si="229"/>
        <v>14.438145564444444</v>
      </c>
      <c r="H1645" s="12">
        <f t="shared" si="230"/>
        <v>14.438145564444444</v>
      </c>
      <c r="I1645" s="1" t="str">
        <f t="shared" si="231"/>
        <v>No</v>
      </c>
      <c r="J1645" s="1" t="str">
        <f t="shared" si="232"/>
        <v>Si</v>
      </c>
      <c r="K1645" s="1" t="str">
        <f t="shared" si="233"/>
        <v/>
      </c>
    </row>
    <row r="1646" spans="1:11" x14ac:dyDescent="0.3">
      <c r="A1646" s="1">
        <v>31</v>
      </c>
      <c r="B1646" s="1">
        <v>47</v>
      </c>
      <c r="C1646" s="12">
        <f t="shared" si="225"/>
        <v>0.45000000000000018</v>
      </c>
      <c r="D1646" s="12">
        <f t="shared" si="226"/>
        <v>1.65</v>
      </c>
      <c r="E1646" s="12">
        <f t="shared" si="227"/>
        <v>11.022567566222222</v>
      </c>
      <c r="F1646" s="12">
        <f t="shared" si="228"/>
        <v>11.022567566222222</v>
      </c>
      <c r="G1646" s="12">
        <f t="shared" si="229"/>
        <v>14.434641208888888</v>
      </c>
      <c r="H1646" s="12">
        <f t="shared" si="230"/>
        <v>14.434641208888888</v>
      </c>
      <c r="I1646" s="1" t="str">
        <f t="shared" si="231"/>
        <v>No</v>
      </c>
      <c r="J1646" s="1" t="str">
        <f t="shared" si="232"/>
        <v>Si</v>
      </c>
      <c r="K1646" s="1" t="str">
        <f t="shared" si="233"/>
        <v/>
      </c>
    </row>
    <row r="1647" spans="1:11" x14ac:dyDescent="0.3">
      <c r="A1647" s="1">
        <v>31</v>
      </c>
      <c r="B1647" s="1">
        <v>48</v>
      </c>
      <c r="C1647" s="12">
        <f t="shared" si="225"/>
        <v>0.45000000000000018</v>
      </c>
      <c r="D1647" s="12">
        <f t="shared" si="226"/>
        <v>1.7250000000000001</v>
      </c>
      <c r="E1647" s="12">
        <f t="shared" si="227"/>
        <v>11.020079473777777</v>
      </c>
      <c r="F1647" s="12">
        <f t="shared" si="228"/>
        <v>11.020079473777777</v>
      </c>
      <c r="G1647" s="12">
        <f t="shared" si="229"/>
        <v>14.431136853333333</v>
      </c>
      <c r="H1647" s="12">
        <f t="shared" si="230"/>
        <v>14.431136853333333</v>
      </c>
      <c r="I1647" s="1" t="str">
        <f t="shared" si="231"/>
        <v>No</v>
      </c>
      <c r="J1647" s="1" t="str">
        <f t="shared" si="232"/>
        <v>Si</v>
      </c>
      <c r="K1647" s="1" t="str">
        <f t="shared" si="233"/>
        <v/>
      </c>
    </row>
    <row r="1648" spans="1:11" x14ac:dyDescent="0.3">
      <c r="A1648" s="1">
        <v>31</v>
      </c>
      <c r="B1648" s="1">
        <v>49</v>
      </c>
      <c r="C1648" s="12">
        <f t="shared" si="225"/>
        <v>0.45000000000000018</v>
      </c>
      <c r="D1648" s="12">
        <f t="shared" si="226"/>
        <v>1.7999999999999998</v>
      </c>
      <c r="E1648" s="12">
        <f t="shared" si="227"/>
        <v>11.017591381333332</v>
      </c>
      <c r="F1648" s="12">
        <f t="shared" si="228"/>
        <v>11.017591381333332</v>
      </c>
      <c r="G1648" s="12">
        <f t="shared" si="229"/>
        <v>14.427632497777777</v>
      </c>
      <c r="H1648" s="12">
        <f t="shared" si="230"/>
        <v>14.427632497777777</v>
      </c>
      <c r="I1648" s="1" t="str">
        <f t="shared" si="231"/>
        <v>No</v>
      </c>
      <c r="J1648" s="1" t="str">
        <f t="shared" si="232"/>
        <v>Si</v>
      </c>
      <c r="K1648" s="1" t="str">
        <f t="shared" si="233"/>
        <v/>
      </c>
    </row>
    <row r="1649" spans="1:11" x14ac:dyDescent="0.3">
      <c r="A1649" s="1">
        <v>31</v>
      </c>
      <c r="B1649" s="1">
        <v>50</v>
      </c>
      <c r="C1649" s="12">
        <f t="shared" si="225"/>
        <v>0.45000000000000018</v>
      </c>
      <c r="D1649" s="12">
        <f t="shared" si="226"/>
        <v>1.875</v>
      </c>
      <c r="E1649" s="12">
        <f t="shared" si="227"/>
        <v>11.015103288888888</v>
      </c>
      <c r="F1649" s="12">
        <f t="shared" si="228"/>
        <v>11.015103288888888</v>
      </c>
      <c r="G1649" s="12">
        <f t="shared" si="229"/>
        <v>14.424128142222221</v>
      </c>
      <c r="H1649" s="12">
        <f t="shared" si="230"/>
        <v>14.424128142222221</v>
      </c>
      <c r="I1649" s="1" t="str">
        <f t="shared" si="231"/>
        <v>No</v>
      </c>
      <c r="J1649" s="1" t="str">
        <f t="shared" si="232"/>
        <v>Si</v>
      </c>
      <c r="K1649" s="1" t="str">
        <f t="shared" si="233"/>
        <v/>
      </c>
    </row>
    <row r="1650" spans="1:11" x14ac:dyDescent="0.3">
      <c r="A1650" s="1">
        <v>32</v>
      </c>
      <c r="B1650" s="1">
        <v>0</v>
      </c>
      <c r="C1650" s="12">
        <f t="shared" si="225"/>
        <v>0.52499999999999991</v>
      </c>
      <c r="D1650" s="12">
        <f t="shared" si="226"/>
        <v>-1.875</v>
      </c>
      <c r="E1650" s="12">
        <f t="shared" si="227"/>
        <v>11.140201955555554</v>
      </c>
      <c r="F1650" s="12">
        <f t="shared" si="228"/>
        <v>11.140201955555554</v>
      </c>
      <c r="G1650" s="12">
        <f t="shared" si="229"/>
        <v>14.600383573333332</v>
      </c>
      <c r="H1650" s="12">
        <f t="shared" si="230"/>
        <v>14.600383573333332</v>
      </c>
      <c r="I1650" s="1" t="str">
        <f t="shared" si="231"/>
        <v>No</v>
      </c>
      <c r="J1650" s="1" t="str">
        <f t="shared" si="232"/>
        <v>Si</v>
      </c>
      <c r="K1650" s="1" t="str">
        <f t="shared" si="233"/>
        <v/>
      </c>
    </row>
    <row r="1651" spans="1:11" x14ac:dyDescent="0.3">
      <c r="A1651" s="1">
        <v>32</v>
      </c>
      <c r="B1651" s="1">
        <v>1</v>
      </c>
      <c r="C1651" s="12">
        <f t="shared" si="225"/>
        <v>0.52499999999999991</v>
      </c>
      <c r="D1651" s="12">
        <f t="shared" si="226"/>
        <v>-1.8</v>
      </c>
      <c r="E1651" s="12">
        <f t="shared" si="227"/>
        <v>11.137713863111109</v>
      </c>
      <c r="F1651" s="12">
        <f t="shared" si="228"/>
        <v>11.137713863111109</v>
      </c>
      <c r="G1651" s="12">
        <f t="shared" si="229"/>
        <v>14.596879217777776</v>
      </c>
      <c r="H1651" s="12">
        <f t="shared" si="230"/>
        <v>14.596879217777776</v>
      </c>
      <c r="I1651" s="1" t="str">
        <f t="shared" si="231"/>
        <v>No</v>
      </c>
      <c r="J1651" s="1" t="str">
        <f t="shared" si="232"/>
        <v>Si</v>
      </c>
      <c r="K1651" s="1" t="str">
        <f t="shared" si="233"/>
        <v/>
      </c>
    </row>
    <row r="1652" spans="1:11" x14ac:dyDescent="0.3">
      <c r="A1652" s="1">
        <v>32</v>
      </c>
      <c r="B1652" s="1">
        <v>2</v>
      </c>
      <c r="C1652" s="12">
        <f t="shared" si="225"/>
        <v>0.52499999999999991</v>
      </c>
      <c r="D1652" s="12">
        <f t="shared" si="226"/>
        <v>-1.7250000000000001</v>
      </c>
      <c r="E1652" s="12">
        <f t="shared" si="227"/>
        <v>11.135225770666665</v>
      </c>
      <c r="F1652" s="12">
        <f t="shared" si="228"/>
        <v>11.135225770666665</v>
      </c>
      <c r="G1652" s="12">
        <f t="shared" si="229"/>
        <v>14.59337486222222</v>
      </c>
      <c r="H1652" s="12">
        <f t="shared" si="230"/>
        <v>14.59337486222222</v>
      </c>
      <c r="I1652" s="1" t="str">
        <f t="shared" si="231"/>
        <v>No</v>
      </c>
      <c r="J1652" s="1" t="str">
        <f t="shared" si="232"/>
        <v>Si</v>
      </c>
      <c r="K1652" s="1" t="str">
        <f t="shared" si="233"/>
        <v/>
      </c>
    </row>
    <row r="1653" spans="1:11" x14ac:dyDescent="0.3">
      <c r="A1653" s="1">
        <v>32</v>
      </c>
      <c r="B1653" s="1">
        <v>3</v>
      </c>
      <c r="C1653" s="12">
        <f t="shared" si="225"/>
        <v>0.52499999999999991</v>
      </c>
      <c r="D1653" s="12">
        <f t="shared" si="226"/>
        <v>-1.65</v>
      </c>
      <c r="E1653" s="12">
        <f t="shared" si="227"/>
        <v>11.13273767822222</v>
      </c>
      <c r="F1653" s="12">
        <f t="shared" si="228"/>
        <v>11.13273767822222</v>
      </c>
      <c r="G1653" s="12">
        <f t="shared" si="229"/>
        <v>14.589870506666665</v>
      </c>
      <c r="H1653" s="12">
        <f t="shared" si="230"/>
        <v>14.589870506666665</v>
      </c>
      <c r="I1653" s="1" t="str">
        <f t="shared" si="231"/>
        <v>No</v>
      </c>
      <c r="J1653" s="1" t="str">
        <f t="shared" si="232"/>
        <v>Si</v>
      </c>
      <c r="K1653" s="1" t="str">
        <f t="shared" si="233"/>
        <v/>
      </c>
    </row>
    <row r="1654" spans="1:11" x14ac:dyDescent="0.3">
      <c r="A1654" s="1">
        <v>32</v>
      </c>
      <c r="B1654" s="1">
        <v>4</v>
      </c>
      <c r="C1654" s="12">
        <f t="shared" si="225"/>
        <v>0.52499999999999991</v>
      </c>
      <c r="D1654" s="12">
        <f t="shared" si="226"/>
        <v>-1.575</v>
      </c>
      <c r="E1654" s="12">
        <f t="shared" si="227"/>
        <v>11.130249585777776</v>
      </c>
      <c r="F1654" s="12">
        <f t="shared" si="228"/>
        <v>11.130249585777776</v>
      </c>
      <c r="G1654" s="12">
        <f t="shared" si="229"/>
        <v>14.586366151111109</v>
      </c>
      <c r="H1654" s="12">
        <f t="shared" si="230"/>
        <v>14.586366151111109</v>
      </c>
      <c r="I1654" s="1" t="str">
        <f t="shared" si="231"/>
        <v>No</v>
      </c>
      <c r="J1654" s="1" t="str">
        <f t="shared" si="232"/>
        <v>Si</v>
      </c>
      <c r="K1654" s="1" t="str">
        <f t="shared" si="233"/>
        <v/>
      </c>
    </row>
    <row r="1655" spans="1:11" x14ac:dyDescent="0.3">
      <c r="A1655" s="1">
        <v>32</v>
      </c>
      <c r="B1655" s="1">
        <v>5</v>
      </c>
      <c r="C1655" s="12">
        <f t="shared" si="225"/>
        <v>0.52499999999999991</v>
      </c>
      <c r="D1655" s="12">
        <f t="shared" si="226"/>
        <v>-1.5</v>
      </c>
      <c r="E1655" s="12">
        <f t="shared" si="227"/>
        <v>11.127761493333331</v>
      </c>
      <c r="F1655" s="12">
        <f t="shared" si="228"/>
        <v>11.127761493333331</v>
      </c>
      <c r="G1655" s="12">
        <f t="shared" si="229"/>
        <v>14.582861795555553</v>
      </c>
      <c r="H1655" s="12">
        <f t="shared" si="230"/>
        <v>14.582861795555553</v>
      </c>
      <c r="I1655" s="1" t="str">
        <f t="shared" si="231"/>
        <v>No</v>
      </c>
      <c r="J1655" s="1" t="str">
        <f t="shared" si="232"/>
        <v>Si</v>
      </c>
      <c r="K1655" s="1" t="str">
        <f t="shared" si="233"/>
        <v/>
      </c>
    </row>
    <row r="1656" spans="1:11" x14ac:dyDescent="0.3">
      <c r="A1656" s="1">
        <v>32</v>
      </c>
      <c r="B1656" s="1">
        <v>6</v>
      </c>
      <c r="C1656" s="12">
        <f t="shared" si="225"/>
        <v>0.52499999999999991</v>
      </c>
      <c r="D1656" s="12">
        <f t="shared" si="226"/>
        <v>-1.425</v>
      </c>
      <c r="E1656" s="12">
        <f t="shared" si="227"/>
        <v>11.125273400888886</v>
      </c>
      <c r="F1656" s="12">
        <f t="shared" si="228"/>
        <v>11.125273400888886</v>
      </c>
      <c r="G1656" s="12">
        <f t="shared" si="229"/>
        <v>14.579357439999999</v>
      </c>
      <c r="H1656" s="12">
        <f t="shared" si="230"/>
        <v>14.579357439999999</v>
      </c>
      <c r="I1656" s="1" t="str">
        <f t="shared" si="231"/>
        <v>No</v>
      </c>
      <c r="J1656" s="1" t="str">
        <f t="shared" si="232"/>
        <v>Si</v>
      </c>
      <c r="K1656" s="1" t="str">
        <f t="shared" si="233"/>
        <v/>
      </c>
    </row>
    <row r="1657" spans="1:11" x14ac:dyDescent="0.3">
      <c r="A1657" s="1">
        <v>32</v>
      </c>
      <c r="B1657" s="1">
        <v>7</v>
      </c>
      <c r="C1657" s="12">
        <f t="shared" si="225"/>
        <v>0.52499999999999991</v>
      </c>
      <c r="D1657" s="12">
        <f t="shared" si="226"/>
        <v>-1.35</v>
      </c>
      <c r="E1657" s="12">
        <f t="shared" si="227"/>
        <v>11.122785308444444</v>
      </c>
      <c r="F1657" s="12">
        <f t="shared" si="228"/>
        <v>11.122785308444444</v>
      </c>
      <c r="G1657" s="12">
        <f t="shared" si="229"/>
        <v>14.575853084444443</v>
      </c>
      <c r="H1657" s="12">
        <f t="shared" si="230"/>
        <v>14.575853084444443</v>
      </c>
      <c r="I1657" s="1" t="str">
        <f t="shared" si="231"/>
        <v>No</v>
      </c>
      <c r="J1657" s="1" t="str">
        <f t="shared" si="232"/>
        <v>Si</v>
      </c>
      <c r="K1657" s="1" t="str">
        <f t="shared" si="233"/>
        <v/>
      </c>
    </row>
    <row r="1658" spans="1:11" x14ac:dyDescent="0.3">
      <c r="A1658" s="1">
        <v>32</v>
      </c>
      <c r="B1658" s="1">
        <v>8</v>
      </c>
      <c r="C1658" s="12">
        <f t="shared" si="225"/>
        <v>0.52499999999999991</v>
      </c>
      <c r="D1658" s="12">
        <f t="shared" si="226"/>
        <v>-1.2749999999999999</v>
      </c>
      <c r="E1658" s="12">
        <f t="shared" si="227"/>
        <v>11.120297215999999</v>
      </c>
      <c r="F1658" s="12">
        <f t="shared" si="228"/>
        <v>11.120297215999999</v>
      </c>
      <c r="G1658" s="12">
        <f t="shared" si="229"/>
        <v>14.572348728888887</v>
      </c>
      <c r="H1658" s="12">
        <f t="shared" si="230"/>
        <v>14.572348728888887</v>
      </c>
      <c r="I1658" s="1" t="str">
        <f t="shared" si="231"/>
        <v>No</v>
      </c>
      <c r="J1658" s="1" t="str">
        <f t="shared" si="232"/>
        <v>Si</v>
      </c>
      <c r="K1658" s="1" t="str">
        <f t="shared" si="233"/>
        <v/>
      </c>
    </row>
    <row r="1659" spans="1:11" x14ac:dyDescent="0.3">
      <c r="A1659" s="1">
        <v>32</v>
      </c>
      <c r="B1659" s="1">
        <v>9</v>
      </c>
      <c r="C1659" s="12">
        <f t="shared" si="225"/>
        <v>0.52499999999999991</v>
      </c>
      <c r="D1659" s="12">
        <f t="shared" si="226"/>
        <v>-1.2</v>
      </c>
      <c r="E1659" s="12">
        <f t="shared" si="227"/>
        <v>11.117809123555555</v>
      </c>
      <c r="F1659" s="12">
        <f t="shared" si="228"/>
        <v>11.117809123555555</v>
      </c>
      <c r="G1659" s="12">
        <f t="shared" si="229"/>
        <v>14.568844373333331</v>
      </c>
      <c r="H1659" s="12">
        <f t="shared" si="230"/>
        <v>14.568844373333331</v>
      </c>
      <c r="I1659" s="1" t="str">
        <f t="shared" si="231"/>
        <v>No</v>
      </c>
      <c r="J1659" s="1" t="str">
        <f t="shared" si="232"/>
        <v>Si</v>
      </c>
      <c r="K1659" s="1" t="str">
        <f t="shared" si="233"/>
        <v/>
      </c>
    </row>
    <row r="1660" spans="1:11" x14ac:dyDescent="0.3">
      <c r="A1660" s="1">
        <v>32</v>
      </c>
      <c r="B1660" s="1">
        <v>10</v>
      </c>
      <c r="C1660" s="12">
        <f t="shared" si="225"/>
        <v>0.52499999999999991</v>
      </c>
      <c r="D1660" s="12">
        <f t="shared" si="226"/>
        <v>-1.125</v>
      </c>
      <c r="E1660" s="12">
        <f t="shared" si="227"/>
        <v>11.11532103111111</v>
      </c>
      <c r="F1660" s="12">
        <f t="shared" si="228"/>
        <v>11.11532103111111</v>
      </c>
      <c r="G1660" s="12">
        <f t="shared" si="229"/>
        <v>14.565340017777777</v>
      </c>
      <c r="H1660" s="12">
        <f t="shared" si="230"/>
        <v>14.565340017777777</v>
      </c>
      <c r="I1660" s="1" t="str">
        <f t="shared" si="231"/>
        <v>No</v>
      </c>
      <c r="J1660" s="1" t="str">
        <f t="shared" si="232"/>
        <v>Si</v>
      </c>
      <c r="K1660" s="1" t="str">
        <f t="shared" si="233"/>
        <v/>
      </c>
    </row>
    <row r="1661" spans="1:11" x14ac:dyDescent="0.3">
      <c r="A1661" s="1">
        <v>32</v>
      </c>
      <c r="B1661" s="1">
        <v>11</v>
      </c>
      <c r="C1661" s="12">
        <f t="shared" si="225"/>
        <v>0.52499999999999991</v>
      </c>
      <c r="D1661" s="12">
        <f t="shared" si="226"/>
        <v>-1.05</v>
      </c>
      <c r="E1661" s="12">
        <f t="shared" si="227"/>
        <v>11.112832938666665</v>
      </c>
      <c r="F1661" s="12">
        <f t="shared" si="228"/>
        <v>11.112832938666665</v>
      </c>
      <c r="G1661" s="12">
        <f t="shared" si="229"/>
        <v>14.56183566222222</v>
      </c>
      <c r="H1661" s="12">
        <f t="shared" si="230"/>
        <v>14.56183566222222</v>
      </c>
      <c r="I1661" s="1" t="str">
        <f t="shared" si="231"/>
        <v>No</v>
      </c>
      <c r="J1661" s="1" t="str">
        <f t="shared" si="232"/>
        <v>Si</v>
      </c>
      <c r="K1661" s="1" t="str">
        <f t="shared" si="233"/>
        <v/>
      </c>
    </row>
    <row r="1662" spans="1:11" x14ac:dyDescent="0.3">
      <c r="A1662" s="1">
        <v>32</v>
      </c>
      <c r="B1662" s="1">
        <v>12</v>
      </c>
      <c r="C1662" s="12">
        <f t="shared" si="225"/>
        <v>0.52499999999999991</v>
      </c>
      <c r="D1662" s="12">
        <f t="shared" si="226"/>
        <v>-0.97499999999999998</v>
      </c>
      <c r="E1662" s="12">
        <f t="shared" si="227"/>
        <v>11.110344846222221</v>
      </c>
      <c r="F1662" s="12">
        <f t="shared" si="228"/>
        <v>11.110344846222221</v>
      </c>
      <c r="G1662" s="12">
        <f t="shared" si="229"/>
        <v>14.558331306666664</v>
      </c>
      <c r="H1662" s="12">
        <f t="shared" si="230"/>
        <v>14.558331306666664</v>
      </c>
      <c r="I1662" s="1" t="str">
        <f t="shared" si="231"/>
        <v>No</v>
      </c>
      <c r="J1662" s="1" t="str">
        <f t="shared" si="232"/>
        <v>Si</v>
      </c>
      <c r="K1662" s="1" t="str">
        <f t="shared" si="233"/>
        <v/>
      </c>
    </row>
    <row r="1663" spans="1:11" x14ac:dyDescent="0.3">
      <c r="A1663" s="1">
        <v>32</v>
      </c>
      <c r="B1663" s="1">
        <v>13</v>
      </c>
      <c r="C1663" s="12">
        <f t="shared" si="225"/>
        <v>0.52499999999999991</v>
      </c>
      <c r="D1663" s="12">
        <f t="shared" si="226"/>
        <v>-0.9</v>
      </c>
      <c r="E1663" s="12">
        <f t="shared" si="227"/>
        <v>11.107856753777776</v>
      </c>
      <c r="F1663" s="12">
        <f t="shared" si="228"/>
        <v>11.107856753777776</v>
      </c>
      <c r="G1663" s="12">
        <f t="shared" si="229"/>
        <v>14.55482695111111</v>
      </c>
      <c r="H1663" s="12">
        <f t="shared" si="230"/>
        <v>14.55482695111111</v>
      </c>
      <c r="I1663" s="1" t="str">
        <f t="shared" si="231"/>
        <v>No</v>
      </c>
      <c r="J1663" s="1" t="str">
        <f t="shared" si="232"/>
        <v>Si</v>
      </c>
      <c r="K1663" s="1" t="str">
        <f t="shared" si="233"/>
        <v/>
      </c>
    </row>
    <row r="1664" spans="1:11" x14ac:dyDescent="0.3">
      <c r="A1664" s="1">
        <v>32</v>
      </c>
      <c r="B1664" s="1">
        <v>14</v>
      </c>
      <c r="C1664" s="12">
        <f t="shared" si="225"/>
        <v>0.52499999999999991</v>
      </c>
      <c r="D1664" s="12">
        <f t="shared" si="226"/>
        <v>-0.82499999999999996</v>
      </c>
      <c r="E1664" s="12">
        <f t="shared" si="227"/>
        <v>11.105368661333332</v>
      </c>
      <c r="F1664" s="12">
        <f t="shared" si="228"/>
        <v>11.105368661333332</v>
      </c>
      <c r="G1664" s="12">
        <f t="shared" si="229"/>
        <v>14.551322595555554</v>
      </c>
      <c r="H1664" s="12">
        <f t="shared" si="230"/>
        <v>14.551322595555554</v>
      </c>
      <c r="I1664" s="1" t="str">
        <f t="shared" si="231"/>
        <v>No</v>
      </c>
      <c r="J1664" s="1" t="str">
        <f t="shared" si="232"/>
        <v>Si</v>
      </c>
      <c r="K1664" s="1" t="str">
        <f t="shared" si="233"/>
        <v/>
      </c>
    </row>
    <row r="1665" spans="1:11" x14ac:dyDescent="0.3">
      <c r="A1665" s="1">
        <v>32</v>
      </c>
      <c r="B1665" s="1">
        <v>15</v>
      </c>
      <c r="C1665" s="12">
        <f t="shared" si="225"/>
        <v>0.52499999999999991</v>
      </c>
      <c r="D1665" s="12">
        <f t="shared" si="226"/>
        <v>-0.75</v>
      </c>
      <c r="E1665" s="12">
        <f t="shared" si="227"/>
        <v>11.102880568888887</v>
      </c>
      <c r="F1665" s="12">
        <f t="shared" si="228"/>
        <v>11.102880568888887</v>
      </c>
      <c r="G1665" s="12">
        <f t="shared" si="229"/>
        <v>14.547818239999998</v>
      </c>
      <c r="H1665" s="12">
        <f t="shared" si="230"/>
        <v>14.547818239999998</v>
      </c>
      <c r="I1665" s="1" t="str">
        <f t="shared" si="231"/>
        <v>No</v>
      </c>
      <c r="J1665" s="1" t="str">
        <f t="shared" si="232"/>
        <v>Si</v>
      </c>
      <c r="K1665" s="1" t="str">
        <f t="shared" si="233"/>
        <v/>
      </c>
    </row>
    <row r="1666" spans="1:11" x14ac:dyDescent="0.3">
      <c r="A1666" s="1">
        <v>32</v>
      </c>
      <c r="B1666" s="1">
        <v>16</v>
      </c>
      <c r="C1666" s="12">
        <f t="shared" si="225"/>
        <v>0.52499999999999991</v>
      </c>
      <c r="D1666" s="12">
        <f t="shared" si="226"/>
        <v>-0.67500000000000004</v>
      </c>
      <c r="E1666" s="12">
        <f t="shared" si="227"/>
        <v>11.100392476444442</v>
      </c>
      <c r="F1666" s="12">
        <f t="shared" si="228"/>
        <v>11.100392476444442</v>
      </c>
      <c r="G1666" s="12">
        <f t="shared" si="229"/>
        <v>14.544313884444442</v>
      </c>
      <c r="H1666" s="12">
        <f t="shared" si="230"/>
        <v>14.544313884444442</v>
      </c>
      <c r="I1666" s="1" t="str">
        <f t="shared" si="231"/>
        <v>No</v>
      </c>
      <c r="J1666" s="1" t="str">
        <f t="shared" si="232"/>
        <v>Si</v>
      </c>
      <c r="K1666" s="1" t="str">
        <f t="shared" si="233"/>
        <v/>
      </c>
    </row>
    <row r="1667" spans="1:11" x14ac:dyDescent="0.3">
      <c r="A1667" s="1">
        <v>32</v>
      </c>
      <c r="B1667" s="1">
        <v>17</v>
      </c>
      <c r="C1667" s="12">
        <f t="shared" si="225"/>
        <v>0.52499999999999991</v>
      </c>
      <c r="D1667" s="12">
        <f t="shared" si="226"/>
        <v>-0.60000000000000009</v>
      </c>
      <c r="E1667" s="12">
        <f t="shared" si="227"/>
        <v>11.097904383999998</v>
      </c>
      <c r="F1667" s="12">
        <f t="shared" si="228"/>
        <v>11.097904383999998</v>
      </c>
      <c r="G1667" s="12">
        <f t="shared" si="229"/>
        <v>14.540809528888888</v>
      </c>
      <c r="H1667" s="12">
        <f t="shared" si="230"/>
        <v>14.540809528888888</v>
      </c>
      <c r="I1667" s="1" t="str">
        <f t="shared" si="231"/>
        <v>No</v>
      </c>
      <c r="J1667" s="1" t="str">
        <f t="shared" si="232"/>
        <v>Si</v>
      </c>
      <c r="K1667" s="1" t="str">
        <f t="shared" si="233"/>
        <v/>
      </c>
    </row>
    <row r="1668" spans="1:11" x14ac:dyDescent="0.3">
      <c r="A1668" s="1">
        <v>32</v>
      </c>
      <c r="B1668" s="1">
        <v>18</v>
      </c>
      <c r="C1668" s="12">
        <f t="shared" si="225"/>
        <v>0.52499999999999991</v>
      </c>
      <c r="D1668" s="12">
        <f t="shared" si="226"/>
        <v>-0.52499999999999991</v>
      </c>
      <c r="E1668" s="12">
        <f t="shared" si="227"/>
        <v>11.095416291555553</v>
      </c>
      <c r="F1668" s="12">
        <f t="shared" si="228"/>
        <v>11.095416291555553</v>
      </c>
      <c r="G1668" s="12">
        <f t="shared" si="229"/>
        <v>14.537305173333332</v>
      </c>
      <c r="H1668" s="12">
        <f t="shared" si="230"/>
        <v>14.537305173333332</v>
      </c>
      <c r="I1668" s="1" t="str">
        <f t="shared" si="231"/>
        <v>No</v>
      </c>
      <c r="J1668" s="1" t="str">
        <f t="shared" si="232"/>
        <v>Si</v>
      </c>
      <c r="K1668" s="1" t="str">
        <f t="shared" si="233"/>
        <v/>
      </c>
    </row>
    <row r="1669" spans="1:11" x14ac:dyDescent="0.3">
      <c r="A1669" s="1">
        <v>32</v>
      </c>
      <c r="B1669" s="1">
        <v>19</v>
      </c>
      <c r="C1669" s="12">
        <f t="shared" si="225"/>
        <v>0.52499999999999991</v>
      </c>
      <c r="D1669" s="12">
        <f t="shared" si="226"/>
        <v>-0.44999999999999996</v>
      </c>
      <c r="E1669" s="12">
        <f t="shared" si="227"/>
        <v>11.09292819911111</v>
      </c>
      <c r="F1669" s="12">
        <f t="shared" si="228"/>
        <v>11.09292819911111</v>
      </c>
      <c r="G1669" s="12">
        <f t="shared" si="229"/>
        <v>14.533800817777776</v>
      </c>
      <c r="H1669" s="12">
        <f t="shared" si="230"/>
        <v>14.533800817777776</v>
      </c>
      <c r="I1669" s="1" t="str">
        <f t="shared" si="231"/>
        <v>No</v>
      </c>
      <c r="J1669" s="1" t="str">
        <f t="shared" si="232"/>
        <v>Si</v>
      </c>
      <c r="K1669" s="1" t="str">
        <f t="shared" si="233"/>
        <v/>
      </c>
    </row>
    <row r="1670" spans="1:11" x14ac:dyDescent="0.3">
      <c r="A1670" s="1">
        <v>32</v>
      </c>
      <c r="B1670" s="1">
        <v>20</v>
      </c>
      <c r="C1670" s="12">
        <f t="shared" si="225"/>
        <v>0.52499999999999991</v>
      </c>
      <c r="D1670" s="12">
        <f t="shared" si="226"/>
        <v>-0.375</v>
      </c>
      <c r="E1670" s="12">
        <f t="shared" si="227"/>
        <v>11.090440106666666</v>
      </c>
      <c r="F1670" s="12">
        <f t="shared" si="228"/>
        <v>11.090440106666666</v>
      </c>
      <c r="G1670" s="12">
        <f t="shared" si="229"/>
        <v>14.530296462222221</v>
      </c>
      <c r="H1670" s="12">
        <f t="shared" si="230"/>
        <v>14.530296462222221</v>
      </c>
      <c r="I1670" s="1" t="str">
        <f t="shared" si="231"/>
        <v>No</v>
      </c>
      <c r="J1670" s="1" t="str">
        <f t="shared" si="232"/>
        <v>Si</v>
      </c>
      <c r="K1670" s="1" t="str">
        <f t="shared" si="233"/>
        <v/>
      </c>
    </row>
    <row r="1671" spans="1:11" x14ac:dyDescent="0.3">
      <c r="A1671" s="1">
        <v>32</v>
      </c>
      <c r="B1671" s="1">
        <v>21</v>
      </c>
      <c r="C1671" s="12">
        <f t="shared" si="225"/>
        <v>0.52499999999999991</v>
      </c>
      <c r="D1671" s="12">
        <f t="shared" si="226"/>
        <v>-0.30000000000000004</v>
      </c>
      <c r="E1671" s="12">
        <f t="shared" si="227"/>
        <v>11.087952014222221</v>
      </c>
      <c r="F1671" s="12">
        <f t="shared" si="228"/>
        <v>11.087952014222221</v>
      </c>
      <c r="G1671" s="12">
        <f t="shared" si="229"/>
        <v>14.526792106666665</v>
      </c>
      <c r="H1671" s="12">
        <f t="shared" si="230"/>
        <v>14.526792106666665</v>
      </c>
      <c r="I1671" s="1" t="str">
        <f t="shared" si="231"/>
        <v>No</v>
      </c>
      <c r="J1671" s="1" t="str">
        <f t="shared" si="232"/>
        <v>Si</v>
      </c>
      <c r="K1671" s="1" t="str">
        <f t="shared" si="233"/>
        <v/>
      </c>
    </row>
    <row r="1672" spans="1:11" x14ac:dyDescent="0.3">
      <c r="A1672" s="1">
        <v>32</v>
      </c>
      <c r="B1672" s="1">
        <v>22</v>
      </c>
      <c r="C1672" s="12">
        <f t="shared" si="225"/>
        <v>0.52499999999999991</v>
      </c>
      <c r="D1672" s="12">
        <f t="shared" si="226"/>
        <v>-0.22500000000000009</v>
      </c>
      <c r="E1672" s="12">
        <f t="shared" si="227"/>
        <v>11.085463921777777</v>
      </c>
      <c r="F1672" s="12">
        <f t="shared" si="228"/>
        <v>11.085463921777777</v>
      </c>
      <c r="G1672" s="12">
        <f t="shared" si="229"/>
        <v>14.523287751111109</v>
      </c>
      <c r="H1672" s="12">
        <f t="shared" si="230"/>
        <v>14.523287751111109</v>
      </c>
      <c r="I1672" s="1" t="str">
        <f t="shared" si="231"/>
        <v>No</v>
      </c>
      <c r="J1672" s="1" t="str">
        <f t="shared" si="232"/>
        <v>Si</v>
      </c>
      <c r="K1672" s="1" t="str">
        <f t="shared" si="233"/>
        <v/>
      </c>
    </row>
    <row r="1673" spans="1:11" x14ac:dyDescent="0.3">
      <c r="A1673" s="1">
        <v>32</v>
      </c>
      <c r="B1673" s="1">
        <v>23</v>
      </c>
      <c r="C1673" s="12">
        <f t="shared" si="225"/>
        <v>0.52499999999999991</v>
      </c>
      <c r="D1673" s="12">
        <f t="shared" si="226"/>
        <v>-0.14999999999999991</v>
      </c>
      <c r="E1673" s="12">
        <f t="shared" si="227"/>
        <v>11.082975829333332</v>
      </c>
      <c r="F1673" s="12">
        <f t="shared" si="228"/>
        <v>11.082975829333332</v>
      </c>
      <c r="G1673" s="12">
        <f t="shared" si="229"/>
        <v>14.519783395555553</v>
      </c>
      <c r="H1673" s="12">
        <f t="shared" si="230"/>
        <v>14.519783395555553</v>
      </c>
      <c r="I1673" s="1" t="str">
        <f t="shared" si="231"/>
        <v>No</v>
      </c>
      <c r="J1673" s="1" t="str">
        <f t="shared" si="232"/>
        <v>Si</v>
      </c>
      <c r="K1673" s="1" t="str">
        <f t="shared" si="233"/>
        <v/>
      </c>
    </row>
    <row r="1674" spans="1:11" x14ac:dyDescent="0.3">
      <c r="A1674" s="1">
        <v>32</v>
      </c>
      <c r="B1674" s="1">
        <v>24</v>
      </c>
      <c r="C1674" s="12">
        <f t="shared" si="225"/>
        <v>0.52499999999999991</v>
      </c>
      <c r="D1674" s="12">
        <f t="shared" si="226"/>
        <v>-7.4999999999999956E-2</v>
      </c>
      <c r="E1674" s="12">
        <f t="shared" si="227"/>
        <v>11.080487736888887</v>
      </c>
      <c r="F1674" s="12">
        <f t="shared" si="228"/>
        <v>11.080487736888887</v>
      </c>
      <c r="G1674" s="12">
        <f t="shared" si="229"/>
        <v>14.516279039999999</v>
      </c>
      <c r="H1674" s="12">
        <f t="shared" si="230"/>
        <v>14.516279039999999</v>
      </c>
      <c r="I1674" s="1" t="str">
        <f t="shared" si="231"/>
        <v>No</v>
      </c>
      <c r="J1674" s="1" t="str">
        <f t="shared" si="232"/>
        <v>Si</v>
      </c>
      <c r="K1674" s="1" t="str">
        <f t="shared" si="233"/>
        <v/>
      </c>
    </row>
    <row r="1675" spans="1:11" x14ac:dyDescent="0.3">
      <c r="A1675" s="1">
        <v>32</v>
      </c>
      <c r="B1675" s="1">
        <v>25</v>
      </c>
      <c r="C1675" s="12">
        <f t="shared" si="225"/>
        <v>0.52499999999999991</v>
      </c>
      <c r="D1675" s="12">
        <f t="shared" si="226"/>
        <v>0</v>
      </c>
      <c r="E1675" s="12">
        <f t="shared" si="227"/>
        <v>11.077999644444443</v>
      </c>
      <c r="F1675" s="12">
        <f t="shared" si="228"/>
        <v>11.077999644444443</v>
      </c>
      <c r="G1675" s="12">
        <f t="shared" si="229"/>
        <v>14.512774684444443</v>
      </c>
      <c r="H1675" s="12">
        <f t="shared" si="230"/>
        <v>14.512774684444443</v>
      </c>
      <c r="I1675" s="1" t="str">
        <f t="shared" si="231"/>
        <v>No</v>
      </c>
      <c r="J1675" s="1" t="str">
        <f t="shared" si="232"/>
        <v>Si</v>
      </c>
      <c r="K1675" s="1" t="str">
        <f t="shared" si="233"/>
        <v/>
      </c>
    </row>
    <row r="1676" spans="1:11" x14ac:dyDescent="0.3">
      <c r="A1676" s="1">
        <v>32</v>
      </c>
      <c r="B1676" s="1">
        <v>26</v>
      </c>
      <c r="C1676" s="12">
        <f t="shared" si="225"/>
        <v>0.52499999999999991</v>
      </c>
      <c r="D1676" s="12">
        <f t="shared" si="226"/>
        <v>7.4999999999999956E-2</v>
      </c>
      <c r="E1676" s="12">
        <f t="shared" si="227"/>
        <v>11.075511551999998</v>
      </c>
      <c r="F1676" s="12">
        <f t="shared" si="228"/>
        <v>11.075511551999998</v>
      </c>
      <c r="G1676" s="12">
        <f t="shared" si="229"/>
        <v>14.509270328888887</v>
      </c>
      <c r="H1676" s="12">
        <f t="shared" si="230"/>
        <v>14.509270328888887</v>
      </c>
      <c r="I1676" s="1" t="str">
        <f t="shared" si="231"/>
        <v>No</v>
      </c>
      <c r="J1676" s="1" t="str">
        <f t="shared" si="232"/>
        <v>Si</v>
      </c>
      <c r="K1676" s="1" t="str">
        <f t="shared" si="233"/>
        <v/>
      </c>
    </row>
    <row r="1677" spans="1:11" x14ac:dyDescent="0.3">
      <c r="A1677" s="1">
        <v>32</v>
      </c>
      <c r="B1677" s="1">
        <v>27</v>
      </c>
      <c r="C1677" s="12">
        <f t="shared" si="225"/>
        <v>0.52499999999999991</v>
      </c>
      <c r="D1677" s="12">
        <f t="shared" si="226"/>
        <v>0.14999999999999991</v>
      </c>
      <c r="E1677" s="12">
        <f t="shared" si="227"/>
        <v>11.073023459555554</v>
      </c>
      <c r="F1677" s="12">
        <f t="shared" si="228"/>
        <v>11.073023459555554</v>
      </c>
      <c r="G1677" s="12">
        <f t="shared" si="229"/>
        <v>14.505765973333332</v>
      </c>
      <c r="H1677" s="12">
        <f t="shared" si="230"/>
        <v>14.505765973333332</v>
      </c>
      <c r="I1677" s="1" t="str">
        <f t="shared" si="231"/>
        <v>No</v>
      </c>
      <c r="J1677" s="1" t="str">
        <f t="shared" si="232"/>
        <v>Si</v>
      </c>
      <c r="K1677" s="1" t="str">
        <f t="shared" si="233"/>
        <v/>
      </c>
    </row>
    <row r="1678" spans="1:11" x14ac:dyDescent="0.3">
      <c r="A1678" s="1">
        <v>32</v>
      </c>
      <c r="B1678" s="1">
        <v>28</v>
      </c>
      <c r="C1678" s="12">
        <f t="shared" si="225"/>
        <v>0.52499999999999991</v>
      </c>
      <c r="D1678" s="12">
        <f t="shared" si="226"/>
        <v>0.22500000000000009</v>
      </c>
      <c r="E1678" s="12">
        <f t="shared" si="227"/>
        <v>11.070535367111109</v>
      </c>
      <c r="F1678" s="12">
        <f t="shared" si="228"/>
        <v>11.070535367111109</v>
      </c>
      <c r="G1678" s="12">
        <f t="shared" si="229"/>
        <v>14.502261617777776</v>
      </c>
      <c r="H1678" s="12">
        <f t="shared" si="230"/>
        <v>14.502261617777776</v>
      </c>
      <c r="I1678" s="1" t="str">
        <f t="shared" si="231"/>
        <v>No</v>
      </c>
      <c r="J1678" s="1" t="str">
        <f t="shared" si="232"/>
        <v>Si</v>
      </c>
      <c r="K1678" s="1" t="str">
        <f t="shared" si="233"/>
        <v/>
      </c>
    </row>
    <row r="1679" spans="1:11" x14ac:dyDescent="0.3">
      <c r="A1679" s="1">
        <v>32</v>
      </c>
      <c r="B1679" s="1">
        <v>29</v>
      </c>
      <c r="C1679" s="12">
        <f t="shared" si="225"/>
        <v>0.52499999999999991</v>
      </c>
      <c r="D1679" s="12">
        <f t="shared" si="226"/>
        <v>0.29999999999999982</v>
      </c>
      <c r="E1679" s="12">
        <f t="shared" si="227"/>
        <v>11.068047274666664</v>
      </c>
      <c r="F1679" s="12">
        <f t="shared" si="228"/>
        <v>11.068047274666664</v>
      </c>
      <c r="G1679" s="12">
        <f t="shared" si="229"/>
        <v>14.49875726222222</v>
      </c>
      <c r="H1679" s="12">
        <f t="shared" si="230"/>
        <v>14.49875726222222</v>
      </c>
      <c r="I1679" s="1" t="str">
        <f t="shared" si="231"/>
        <v>No</v>
      </c>
      <c r="J1679" s="1" t="str">
        <f t="shared" si="232"/>
        <v>Si</v>
      </c>
      <c r="K1679" s="1" t="str">
        <f t="shared" si="233"/>
        <v/>
      </c>
    </row>
    <row r="1680" spans="1:11" x14ac:dyDescent="0.3">
      <c r="A1680" s="1">
        <v>32</v>
      </c>
      <c r="B1680" s="1">
        <v>30</v>
      </c>
      <c r="C1680" s="12">
        <f t="shared" si="225"/>
        <v>0.52499999999999991</v>
      </c>
      <c r="D1680" s="12">
        <f t="shared" si="226"/>
        <v>0.375</v>
      </c>
      <c r="E1680" s="12">
        <f t="shared" si="227"/>
        <v>11.06555918222222</v>
      </c>
      <c r="F1680" s="12">
        <f t="shared" si="228"/>
        <v>11.06555918222222</v>
      </c>
      <c r="G1680" s="12">
        <f t="shared" si="229"/>
        <v>14.495252906666664</v>
      </c>
      <c r="H1680" s="12">
        <f t="shared" si="230"/>
        <v>14.495252906666664</v>
      </c>
      <c r="I1680" s="1" t="str">
        <f t="shared" si="231"/>
        <v>No</v>
      </c>
      <c r="J1680" s="1" t="str">
        <f t="shared" si="232"/>
        <v>Si</v>
      </c>
      <c r="K1680" s="1" t="str">
        <f t="shared" si="233"/>
        <v/>
      </c>
    </row>
    <row r="1681" spans="1:11" x14ac:dyDescent="0.3">
      <c r="A1681" s="1">
        <v>32</v>
      </c>
      <c r="B1681" s="1">
        <v>31</v>
      </c>
      <c r="C1681" s="12">
        <f t="shared" si="225"/>
        <v>0.52499999999999991</v>
      </c>
      <c r="D1681" s="12">
        <f t="shared" si="226"/>
        <v>0.45000000000000018</v>
      </c>
      <c r="E1681" s="12">
        <f t="shared" si="227"/>
        <v>11.063071089777775</v>
      </c>
      <c r="F1681" s="12">
        <f t="shared" si="228"/>
        <v>11.063071089777775</v>
      </c>
      <c r="G1681" s="12">
        <f t="shared" si="229"/>
        <v>14.49174855111111</v>
      </c>
      <c r="H1681" s="12">
        <f t="shared" si="230"/>
        <v>14.49174855111111</v>
      </c>
      <c r="I1681" s="1" t="str">
        <f t="shared" si="231"/>
        <v>No</v>
      </c>
      <c r="J1681" s="1" t="str">
        <f t="shared" si="232"/>
        <v>Si</v>
      </c>
      <c r="K1681" s="1" t="str">
        <f t="shared" si="233"/>
        <v/>
      </c>
    </row>
    <row r="1682" spans="1:11" x14ac:dyDescent="0.3">
      <c r="A1682" s="1">
        <v>32</v>
      </c>
      <c r="B1682" s="1">
        <v>32</v>
      </c>
      <c r="C1682" s="12">
        <f t="shared" ref="C1682:C1745" si="234">IF(OR(A1682&gt;inp_n_div_x,B1682&gt;inp_n_div_y),"",-inp_bx/2+A1682*inp_bx/inp_n_div_x)</f>
        <v>0.52499999999999991</v>
      </c>
      <c r="D1682" s="12">
        <f t="shared" ref="D1682:D1745" si="235">IF(C1682="","",-inp_by/2+B1682*inp_by/inp_n_div_y)</f>
        <v>0.52499999999999991</v>
      </c>
      <c r="E1682" s="12">
        <f t="shared" ref="E1682:E1745" si="236">IF(C1682="","",res_srv_p_tot/geo_area+res_srv_mx_tot/geo_ix*D1682+res_srv_my_tot/geo_iy*C1682)</f>
        <v>11.060582997333333</v>
      </c>
      <c r="F1682" s="12">
        <f t="shared" ref="F1682:F1745" si="237">IF(E1682="","",MAX(0,E1682))</f>
        <v>11.060582997333333</v>
      </c>
      <c r="G1682" s="12">
        <f t="shared" ref="G1682:G1745" si="238">IF(C1682="","",res_u_p_tot/geo_area+res_u_mx_tot/geo_ix*D1682+res_u_my_tot/geo_iy*C1682)</f>
        <v>14.488244195555554</v>
      </c>
      <c r="H1682" s="12">
        <f t="shared" ref="H1682:H1745" si="239">IF(G1682="","",MAX(0,G1682))</f>
        <v>14.488244195555554</v>
      </c>
      <c r="I1682" s="1" t="str">
        <f t="shared" ref="I1682:I1745" si="240">IF(C1682="","",IF(AND(C1682&gt;=inp_xc-inp_cx/2,C1682&lt;=inp_xc+inp_cx/2,D1682&gt;=inp_yc-inp_cy/2,D1682&lt;=inp_yc+inp_cy/2),"Si","No"))</f>
        <v>No</v>
      </c>
      <c r="J1682" s="1" t="str">
        <f t="shared" ref="J1682:J1745" si="241">IF(C1682="","","Si")</f>
        <v>Si</v>
      </c>
      <c r="K1682" s="1" t="str">
        <f t="shared" ref="K1682:K1745" si="242">IF(OR(E1682&lt;0,G1682&lt;0),"Presion negativa","")</f>
        <v/>
      </c>
    </row>
    <row r="1683" spans="1:11" x14ac:dyDescent="0.3">
      <c r="A1683" s="1">
        <v>32</v>
      </c>
      <c r="B1683" s="1">
        <v>33</v>
      </c>
      <c r="C1683" s="12">
        <f t="shared" si="234"/>
        <v>0.52499999999999991</v>
      </c>
      <c r="D1683" s="12">
        <f t="shared" si="235"/>
        <v>0.60000000000000009</v>
      </c>
      <c r="E1683" s="12">
        <f t="shared" si="236"/>
        <v>11.058094904888888</v>
      </c>
      <c r="F1683" s="12">
        <f t="shared" si="237"/>
        <v>11.058094904888888</v>
      </c>
      <c r="G1683" s="12">
        <f t="shared" si="238"/>
        <v>14.484739839999998</v>
      </c>
      <c r="H1683" s="12">
        <f t="shared" si="239"/>
        <v>14.484739839999998</v>
      </c>
      <c r="I1683" s="1" t="str">
        <f t="shared" si="240"/>
        <v>No</v>
      </c>
      <c r="J1683" s="1" t="str">
        <f t="shared" si="241"/>
        <v>Si</v>
      </c>
      <c r="K1683" s="1" t="str">
        <f t="shared" si="242"/>
        <v/>
      </c>
    </row>
    <row r="1684" spans="1:11" x14ac:dyDescent="0.3">
      <c r="A1684" s="1">
        <v>32</v>
      </c>
      <c r="B1684" s="1">
        <v>34</v>
      </c>
      <c r="C1684" s="12">
        <f t="shared" si="234"/>
        <v>0.52499999999999991</v>
      </c>
      <c r="D1684" s="12">
        <f t="shared" si="235"/>
        <v>0.67499999999999982</v>
      </c>
      <c r="E1684" s="12">
        <f t="shared" si="236"/>
        <v>11.055606812444443</v>
      </c>
      <c r="F1684" s="12">
        <f t="shared" si="237"/>
        <v>11.055606812444443</v>
      </c>
      <c r="G1684" s="12">
        <f t="shared" si="238"/>
        <v>14.481235484444444</v>
      </c>
      <c r="H1684" s="12">
        <f t="shared" si="239"/>
        <v>14.481235484444444</v>
      </c>
      <c r="I1684" s="1" t="str">
        <f t="shared" si="240"/>
        <v>No</v>
      </c>
      <c r="J1684" s="1" t="str">
        <f t="shared" si="241"/>
        <v>Si</v>
      </c>
      <c r="K1684" s="1" t="str">
        <f t="shared" si="242"/>
        <v/>
      </c>
    </row>
    <row r="1685" spans="1:11" x14ac:dyDescent="0.3">
      <c r="A1685" s="1">
        <v>32</v>
      </c>
      <c r="B1685" s="1">
        <v>35</v>
      </c>
      <c r="C1685" s="12">
        <f t="shared" si="234"/>
        <v>0.52499999999999991</v>
      </c>
      <c r="D1685" s="12">
        <f t="shared" si="235"/>
        <v>0.75</v>
      </c>
      <c r="E1685" s="12">
        <f t="shared" si="236"/>
        <v>11.053118719999999</v>
      </c>
      <c r="F1685" s="12">
        <f t="shared" si="237"/>
        <v>11.053118719999999</v>
      </c>
      <c r="G1685" s="12">
        <f t="shared" si="238"/>
        <v>14.477731128888887</v>
      </c>
      <c r="H1685" s="12">
        <f t="shared" si="239"/>
        <v>14.477731128888887</v>
      </c>
      <c r="I1685" s="1" t="str">
        <f t="shared" si="240"/>
        <v>No</v>
      </c>
      <c r="J1685" s="1" t="str">
        <f t="shared" si="241"/>
        <v>Si</v>
      </c>
      <c r="K1685" s="1" t="str">
        <f t="shared" si="242"/>
        <v/>
      </c>
    </row>
    <row r="1686" spans="1:11" x14ac:dyDescent="0.3">
      <c r="A1686" s="1">
        <v>32</v>
      </c>
      <c r="B1686" s="1">
        <v>36</v>
      </c>
      <c r="C1686" s="12">
        <f t="shared" si="234"/>
        <v>0.52499999999999991</v>
      </c>
      <c r="D1686" s="12">
        <f t="shared" si="235"/>
        <v>0.82500000000000018</v>
      </c>
      <c r="E1686" s="12">
        <f t="shared" si="236"/>
        <v>11.050630627555554</v>
      </c>
      <c r="F1686" s="12">
        <f t="shared" si="237"/>
        <v>11.050630627555554</v>
      </c>
      <c r="G1686" s="12">
        <f t="shared" si="238"/>
        <v>14.474226773333331</v>
      </c>
      <c r="H1686" s="12">
        <f t="shared" si="239"/>
        <v>14.474226773333331</v>
      </c>
      <c r="I1686" s="1" t="str">
        <f t="shared" si="240"/>
        <v>No</v>
      </c>
      <c r="J1686" s="1" t="str">
        <f t="shared" si="241"/>
        <v>Si</v>
      </c>
      <c r="K1686" s="1" t="str">
        <f t="shared" si="242"/>
        <v/>
      </c>
    </row>
    <row r="1687" spans="1:11" x14ac:dyDescent="0.3">
      <c r="A1687" s="1">
        <v>32</v>
      </c>
      <c r="B1687" s="1">
        <v>37</v>
      </c>
      <c r="C1687" s="12">
        <f t="shared" si="234"/>
        <v>0.52499999999999991</v>
      </c>
      <c r="D1687" s="12">
        <f t="shared" si="235"/>
        <v>0.89999999999999991</v>
      </c>
      <c r="E1687" s="12">
        <f t="shared" si="236"/>
        <v>11.04814253511111</v>
      </c>
      <c r="F1687" s="12">
        <f t="shared" si="237"/>
        <v>11.04814253511111</v>
      </c>
      <c r="G1687" s="12">
        <f t="shared" si="238"/>
        <v>14.470722417777775</v>
      </c>
      <c r="H1687" s="12">
        <f t="shared" si="239"/>
        <v>14.470722417777775</v>
      </c>
      <c r="I1687" s="1" t="str">
        <f t="shared" si="240"/>
        <v>No</v>
      </c>
      <c r="J1687" s="1" t="str">
        <f t="shared" si="241"/>
        <v>Si</v>
      </c>
      <c r="K1687" s="1" t="str">
        <f t="shared" si="242"/>
        <v/>
      </c>
    </row>
    <row r="1688" spans="1:11" x14ac:dyDescent="0.3">
      <c r="A1688" s="1">
        <v>32</v>
      </c>
      <c r="B1688" s="1">
        <v>38</v>
      </c>
      <c r="C1688" s="12">
        <f t="shared" si="234"/>
        <v>0.52499999999999991</v>
      </c>
      <c r="D1688" s="12">
        <f t="shared" si="235"/>
        <v>0.97500000000000009</v>
      </c>
      <c r="E1688" s="12">
        <f t="shared" si="236"/>
        <v>11.045654442666665</v>
      </c>
      <c r="F1688" s="12">
        <f t="shared" si="237"/>
        <v>11.045654442666665</v>
      </c>
      <c r="G1688" s="12">
        <f t="shared" si="238"/>
        <v>14.467218062222221</v>
      </c>
      <c r="H1688" s="12">
        <f t="shared" si="239"/>
        <v>14.467218062222221</v>
      </c>
      <c r="I1688" s="1" t="str">
        <f t="shared" si="240"/>
        <v>No</v>
      </c>
      <c r="J1688" s="1" t="str">
        <f t="shared" si="241"/>
        <v>Si</v>
      </c>
      <c r="K1688" s="1" t="str">
        <f t="shared" si="242"/>
        <v/>
      </c>
    </row>
    <row r="1689" spans="1:11" x14ac:dyDescent="0.3">
      <c r="A1689" s="1">
        <v>32</v>
      </c>
      <c r="B1689" s="1">
        <v>39</v>
      </c>
      <c r="C1689" s="12">
        <f t="shared" si="234"/>
        <v>0.52499999999999991</v>
      </c>
      <c r="D1689" s="12">
        <f t="shared" si="235"/>
        <v>1.0499999999999998</v>
      </c>
      <c r="E1689" s="12">
        <f t="shared" si="236"/>
        <v>11.04316635022222</v>
      </c>
      <c r="F1689" s="12">
        <f t="shared" si="237"/>
        <v>11.04316635022222</v>
      </c>
      <c r="G1689" s="12">
        <f t="shared" si="238"/>
        <v>14.463713706666665</v>
      </c>
      <c r="H1689" s="12">
        <f t="shared" si="239"/>
        <v>14.463713706666665</v>
      </c>
      <c r="I1689" s="1" t="str">
        <f t="shared" si="240"/>
        <v>No</v>
      </c>
      <c r="J1689" s="1" t="str">
        <f t="shared" si="241"/>
        <v>Si</v>
      </c>
      <c r="K1689" s="1" t="str">
        <f t="shared" si="242"/>
        <v/>
      </c>
    </row>
    <row r="1690" spans="1:11" x14ac:dyDescent="0.3">
      <c r="A1690" s="1">
        <v>32</v>
      </c>
      <c r="B1690" s="1">
        <v>40</v>
      </c>
      <c r="C1690" s="12">
        <f t="shared" si="234"/>
        <v>0.52499999999999991</v>
      </c>
      <c r="D1690" s="12">
        <f t="shared" si="235"/>
        <v>1.125</v>
      </c>
      <c r="E1690" s="12">
        <f t="shared" si="236"/>
        <v>11.040678257777776</v>
      </c>
      <c r="F1690" s="12">
        <f t="shared" si="237"/>
        <v>11.040678257777776</v>
      </c>
      <c r="G1690" s="12">
        <f t="shared" si="238"/>
        <v>14.460209351111109</v>
      </c>
      <c r="H1690" s="12">
        <f t="shared" si="239"/>
        <v>14.460209351111109</v>
      </c>
      <c r="I1690" s="1" t="str">
        <f t="shared" si="240"/>
        <v>No</v>
      </c>
      <c r="J1690" s="1" t="str">
        <f t="shared" si="241"/>
        <v>Si</v>
      </c>
      <c r="K1690" s="1" t="str">
        <f t="shared" si="242"/>
        <v/>
      </c>
    </row>
    <row r="1691" spans="1:11" x14ac:dyDescent="0.3">
      <c r="A1691" s="1">
        <v>32</v>
      </c>
      <c r="B1691" s="1">
        <v>41</v>
      </c>
      <c r="C1691" s="12">
        <f t="shared" si="234"/>
        <v>0.52499999999999991</v>
      </c>
      <c r="D1691" s="12">
        <f t="shared" si="235"/>
        <v>1.2000000000000002</v>
      </c>
      <c r="E1691" s="12">
        <f t="shared" si="236"/>
        <v>11.038190165333331</v>
      </c>
      <c r="F1691" s="12">
        <f t="shared" si="237"/>
        <v>11.038190165333331</v>
      </c>
      <c r="G1691" s="12">
        <f t="shared" si="238"/>
        <v>14.456704995555555</v>
      </c>
      <c r="H1691" s="12">
        <f t="shared" si="239"/>
        <v>14.456704995555555</v>
      </c>
      <c r="I1691" s="1" t="str">
        <f t="shared" si="240"/>
        <v>No</v>
      </c>
      <c r="J1691" s="1" t="str">
        <f t="shared" si="241"/>
        <v>Si</v>
      </c>
      <c r="K1691" s="1" t="str">
        <f t="shared" si="242"/>
        <v/>
      </c>
    </row>
    <row r="1692" spans="1:11" x14ac:dyDescent="0.3">
      <c r="A1692" s="1">
        <v>32</v>
      </c>
      <c r="B1692" s="1">
        <v>42</v>
      </c>
      <c r="C1692" s="12">
        <f t="shared" si="234"/>
        <v>0.52499999999999991</v>
      </c>
      <c r="D1692" s="12">
        <f t="shared" si="235"/>
        <v>1.2749999999999999</v>
      </c>
      <c r="E1692" s="12">
        <f t="shared" si="236"/>
        <v>11.035702072888887</v>
      </c>
      <c r="F1692" s="12">
        <f t="shared" si="237"/>
        <v>11.035702072888887</v>
      </c>
      <c r="G1692" s="12">
        <f t="shared" si="238"/>
        <v>14.453200639999999</v>
      </c>
      <c r="H1692" s="12">
        <f t="shared" si="239"/>
        <v>14.453200639999999</v>
      </c>
      <c r="I1692" s="1" t="str">
        <f t="shared" si="240"/>
        <v>No</v>
      </c>
      <c r="J1692" s="1" t="str">
        <f t="shared" si="241"/>
        <v>Si</v>
      </c>
      <c r="K1692" s="1" t="str">
        <f t="shared" si="242"/>
        <v/>
      </c>
    </row>
    <row r="1693" spans="1:11" x14ac:dyDescent="0.3">
      <c r="A1693" s="1">
        <v>32</v>
      </c>
      <c r="B1693" s="1">
        <v>43</v>
      </c>
      <c r="C1693" s="12">
        <f t="shared" si="234"/>
        <v>0.52499999999999991</v>
      </c>
      <c r="D1693" s="12">
        <f t="shared" si="235"/>
        <v>1.35</v>
      </c>
      <c r="E1693" s="12">
        <f t="shared" si="236"/>
        <v>11.033213980444442</v>
      </c>
      <c r="F1693" s="12">
        <f t="shared" si="237"/>
        <v>11.033213980444442</v>
      </c>
      <c r="G1693" s="12">
        <f t="shared" si="238"/>
        <v>14.449696284444443</v>
      </c>
      <c r="H1693" s="12">
        <f t="shared" si="239"/>
        <v>14.449696284444443</v>
      </c>
      <c r="I1693" s="1" t="str">
        <f t="shared" si="240"/>
        <v>No</v>
      </c>
      <c r="J1693" s="1" t="str">
        <f t="shared" si="241"/>
        <v>Si</v>
      </c>
      <c r="K1693" s="1" t="str">
        <f t="shared" si="242"/>
        <v/>
      </c>
    </row>
    <row r="1694" spans="1:11" x14ac:dyDescent="0.3">
      <c r="A1694" s="1">
        <v>32</v>
      </c>
      <c r="B1694" s="1">
        <v>44</v>
      </c>
      <c r="C1694" s="12">
        <f t="shared" si="234"/>
        <v>0.52499999999999991</v>
      </c>
      <c r="D1694" s="12">
        <f t="shared" si="235"/>
        <v>1.4249999999999998</v>
      </c>
      <c r="E1694" s="12">
        <f t="shared" si="236"/>
        <v>11.030725887999999</v>
      </c>
      <c r="F1694" s="12">
        <f t="shared" si="237"/>
        <v>11.030725887999999</v>
      </c>
      <c r="G1694" s="12">
        <f t="shared" si="238"/>
        <v>14.446191928888886</v>
      </c>
      <c r="H1694" s="12">
        <f t="shared" si="239"/>
        <v>14.446191928888886</v>
      </c>
      <c r="I1694" s="1" t="str">
        <f t="shared" si="240"/>
        <v>No</v>
      </c>
      <c r="J1694" s="1" t="str">
        <f t="shared" si="241"/>
        <v>Si</v>
      </c>
      <c r="K1694" s="1" t="str">
        <f t="shared" si="242"/>
        <v/>
      </c>
    </row>
    <row r="1695" spans="1:11" x14ac:dyDescent="0.3">
      <c r="A1695" s="1">
        <v>32</v>
      </c>
      <c r="B1695" s="1">
        <v>45</v>
      </c>
      <c r="C1695" s="12">
        <f t="shared" si="234"/>
        <v>0.52499999999999991</v>
      </c>
      <c r="D1695" s="12">
        <f t="shared" si="235"/>
        <v>1.5</v>
      </c>
      <c r="E1695" s="12">
        <f t="shared" si="236"/>
        <v>11.028237795555555</v>
      </c>
      <c r="F1695" s="12">
        <f t="shared" si="237"/>
        <v>11.028237795555555</v>
      </c>
      <c r="G1695" s="12">
        <f t="shared" si="238"/>
        <v>14.442687573333332</v>
      </c>
      <c r="H1695" s="12">
        <f t="shared" si="239"/>
        <v>14.442687573333332</v>
      </c>
      <c r="I1695" s="1" t="str">
        <f t="shared" si="240"/>
        <v>No</v>
      </c>
      <c r="J1695" s="1" t="str">
        <f t="shared" si="241"/>
        <v>Si</v>
      </c>
      <c r="K1695" s="1" t="str">
        <f t="shared" si="242"/>
        <v/>
      </c>
    </row>
    <row r="1696" spans="1:11" x14ac:dyDescent="0.3">
      <c r="A1696" s="1">
        <v>32</v>
      </c>
      <c r="B1696" s="1">
        <v>46</v>
      </c>
      <c r="C1696" s="12">
        <f t="shared" si="234"/>
        <v>0.52499999999999991</v>
      </c>
      <c r="D1696" s="12">
        <f t="shared" si="235"/>
        <v>1.5750000000000002</v>
      </c>
      <c r="E1696" s="12">
        <f t="shared" si="236"/>
        <v>11.02574970311111</v>
      </c>
      <c r="F1696" s="12">
        <f t="shared" si="237"/>
        <v>11.02574970311111</v>
      </c>
      <c r="G1696" s="12">
        <f t="shared" si="238"/>
        <v>14.439183217777776</v>
      </c>
      <c r="H1696" s="12">
        <f t="shared" si="239"/>
        <v>14.439183217777776</v>
      </c>
      <c r="I1696" s="1" t="str">
        <f t="shared" si="240"/>
        <v>No</v>
      </c>
      <c r="J1696" s="1" t="str">
        <f t="shared" si="241"/>
        <v>Si</v>
      </c>
      <c r="K1696" s="1" t="str">
        <f t="shared" si="242"/>
        <v/>
      </c>
    </row>
    <row r="1697" spans="1:11" x14ac:dyDescent="0.3">
      <c r="A1697" s="1">
        <v>32</v>
      </c>
      <c r="B1697" s="1">
        <v>47</v>
      </c>
      <c r="C1697" s="12">
        <f t="shared" si="234"/>
        <v>0.52499999999999991</v>
      </c>
      <c r="D1697" s="12">
        <f t="shared" si="235"/>
        <v>1.65</v>
      </c>
      <c r="E1697" s="12">
        <f t="shared" si="236"/>
        <v>11.023261610666665</v>
      </c>
      <c r="F1697" s="12">
        <f t="shared" si="237"/>
        <v>11.023261610666665</v>
      </c>
      <c r="G1697" s="12">
        <f t="shared" si="238"/>
        <v>14.43567886222222</v>
      </c>
      <c r="H1697" s="12">
        <f t="shared" si="239"/>
        <v>14.43567886222222</v>
      </c>
      <c r="I1697" s="1" t="str">
        <f t="shared" si="240"/>
        <v>No</v>
      </c>
      <c r="J1697" s="1" t="str">
        <f t="shared" si="241"/>
        <v>Si</v>
      </c>
      <c r="K1697" s="1" t="str">
        <f t="shared" si="242"/>
        <v/>
      </c>
    </row>
    <row r="1698" spans="1:11" x14ac:dyDescent="0.3">
      <c r="A1698" s="1">
        <v>32</v>
      </c>
      <c r="B1698" s="1">
        <v>48</v>
      </c>
      <c r="C1698" s="12">
        <f t="shared" si="234"/>
        <v>0.52499999999999991</v>
      </c>
      <c r="D1698" s="12">
        <f t="shared" si="235"/>
        <v>1.7250000000000001</v>
      </c>
      <c r="E1698" s="12">
        <f t="shared" si="236"/>
        <v>11.020773518222221</v>
      </c>
      <c r="F1698" s="12">
        <f t="shared" si="237"/>
        <v>11.020773518222221</v>
      </c>
      <c r="G1698" s="12">
        <f t="shared" si="238"/>
        <v>14.432174506666666</v>
      </c>
      <c r="H1698" s="12">
        <f t="shared" si="239"/>
        <v>14.432174506666666</v>
      </c>
      <c r="I1698" s="1" t="str">
        <f t="shared" si="240"/>
        <v>No</v>
      </c>
      <c r="J1698" s="1" t="str">
        <f t="shared" si="241"/>
        <v>Si</v>
      </c>
      <c r="K1698" s="1" t="str">
        <f t="shared" si="242"/>
        <v/>
      </c>
    </row>
    <row r="1699" spans="1:11" x14ac:dyDescent="0.3">
      <c r="A1699" s="1">
        <v>32</v>
      </c>
      <c r="B1699" s="1">
        <v>49</v>
      </c>
      <c r="C1699" s="12">
        <f t="shared" si="234"/>
        <v>0.52499999999999991</v>
      </c>
      <c r="D1699" s="12">
        <f t="shared" si="235"/>
        <v>1.7999999999999998</v>
      </c>
      <c r="E1699" s="12">
        <f t="shared" si="236"/>
        <v>11.018285425777776</v>
      </c>
      <c r="F1699" s="12">
        <f t="shared" si="237"/>
        <v>11.018285425777776</v>
      </c>
      <c r="G1699" s="12">
        <f t="shared" si="238"/>
        <v>14.42867015111111</v>
      </c>
      <c r="H1699" s="12">
        <f t="shared" si="239"/>
        <v>14.42867015111111</v>
      </c>
      <c r="I1699" s="1" t="str">
        <f t="shared" si="240"/>
        <v>No</v>
      </c>
      <c r="J1699" s="1" t="str">
        <f t="shared" si="241"/>
        <v>Si</v>
      </c>
      <c r="K1699" s="1" t="str">
        <f t="shared" si="242"/>
        <v/>
      </c>
    </row>
    <row r="1700" spans="1:11" x14ac:dyDescent="0.3">
      <c r="A1700" s="1">
        <v>32</v>
      </c>
      <c r="B1700" s="1">
        <v>50</v>
      </c>
      <c r="C1700" s="12">
        <f t="shared" si="234"/>
        <v>0.52499999999999991</v>
      </c>
      <c r="D1700" s="12">
        <f t="shared" si="235"/>
        <v>1.875</v>
      </c>
      <c r="E1700" s="12">
        <f t="shared" si="236"/>
        <v>11.015797333333332</v>
      </c>
      <c r="F1700" s="12">
        <f t="shared" si="237"/>
        <v>11.015797333333332</v>
      </c>
      <c r="G1700" s="12">
        <f t="shared" si="238"/>
        <v>14.425165795555554</v>
      </c>
      <c r="H1700" s="12">
        <f t="shared" si="239"/>
        <v>14.425165795555554</v>
      </c>
      <c r="I1700" s="1" t="str">
        <f t="shared" si="240"/>
        <v>No</v>
      </c>
      <c r="J1700" s="1" t="str">
        <f t="shared" si="241"/>
        <v>Si</v>
      </c>
      <c r="K1700" s="1" t="str">
        <f t="shared" si="242"/>
        <v/>
      </c>
    </row>
    <row r="1701" spans="1:11" x14ac:dyDescent="0.3">
      <c r="A1701" s="1">
        <v>33</v>
      </c>
      <c r="B1701" s="1">
        <v>0</v>
      </c>
      <c r="C1701" s="12">
        <f t="shared" si="234"/>
        <v>0.60000000000000009</v>
      </c>
      <c r="D1701" s="12">
        <f t="shared" si="235"/>
        <v>-1.875</v>
      </c>
      <c r="E1701" s="12">
        <f t="shared" si="236"/>
        <v>11.140896</v>
      </c>
      <c r="F1701" s="12">
        <f t="shared" si="237"/>
        <v>11.140896</v>
      </c>
      <c r="G1701" s="12">
        <f t="shared" si="238"/>
        <v>14.601421226666666</v>
      </c>
      <c r="H1701" s="12">
        <f t="shared" si="239"/>
        <v>14.601421226666666</v>
      </c>
      <c r="I1701" s="1" t="str">
        <f t="shared" si="240"/>
        <v>No</v>
      </c>
      <c r="J1701" s="1" t="str">
        <f t="shared" si="241"/>
        <v>Si</v>
      </c>
      <c r="K1701" s="1" t="str">
        <f t="shared" si="242"/>
        <v/>
      </c>
    </row>
    <row r="1702" spans="1:11" x14ac:dyDescent="0.3">
      <c r="A1702" s="1">
        <v>33</v>
      </c>
      <c r="B1702" s="1">
        <v>1</v>
      </c>
      <c r="C1702" s="12">
        <f t="shared" si="234"/>
        <v>0.60000000000000009</v>
      </c>
      <c r="D1702" s="12">
        <f t="shared" si="235"/>
        <v>-1.8</v>
      </c>
      <c r="E1702" s="12">
        <f t="shared" si="236"/>
        <v>11.138407907555555</v>
      </c>
      <c r="F1702" s="12">
        <f t="shared" si="237"/>
        <v>11.138407907555555</v>
      </c>
      <c r="G1702" s="12">
        <f t="shared" si="238"/>
        <v>14.59791687111111</v>
      </c>
      <c r="H1702" s="12">
        <f t="shared" si="239"/>
        <v>14.59791687111111</v>
      </c>
      <c r="I1702" s="1" t="str">
        <f t="shared" si="240"/>
        <v>No</v>
      </c>
      <c r="J1702" s="1" t="str">
        <f t="shared" si="241"/>
        <v>Si</v>
      </c>
      <c r="K1702" s="1" t="str">
        <f t="shared" si="242"/>
        <v/>
      </c>
    </row>
    <row r="1703" spans="1:11" x14ac:dyDescent="0.3">
      <c r="A1703" s="1">
        <v>33</v>
      </c>
      <c r="B1703" s="1">
        <v>2</v>
      </c>
      <c r="C1703" s="12">
        <f t="shared" si="234"/>
        <v>0.60000000000000009</v>
      </c>
      <c r="D1703" s="12">
        <f t="shared" si="235"/>
        <v>-1.7250000000000001</v>
      </c>
      <c r="E1703" s="12">
        <f t="shared" si="236"/>
        <v>11.135919815111111</v>
      </c>
      <c r="F1703" s="12">
        <f t="shared" si="237"/>
        <v>11.135919815111111</v>
      </c>
      <c r="G1703" s="12">
        <f t="shared" si="238"/>
        <v>14.594412515555554</v>
      </c>
      <c r="H1703" s="12">
        <f t="shared" si="239"/>
        <v>14.594412515555554</v>
      </c>
      <c r="I1703" s="1" t="str">
        <f t="shared" si="240"/>
        <v>No</v>
      </c>
      <c r="J1703" s="1" t="str">
        <f t="shared" si="241"/>
        <v>Si</v>
      </c>
      <c r="K1703" s="1" t="str">
        <f t="shared" si="242"/>
        <v/>
      </c>
    </row>
    <row r="1704" spans="1:11" x14ac:dyDescent="0.3">
      <c r="A1704" s="1">
        <v>33</v>
      </c>
      <c r="B1704" s="1">
        <v>3</v>
      </c>
      <c r="C1704" s="12">
        <f t="shared" si="234"/>
        <v>0.60000000000000009</v>
      </c>
      <c r="D1704" s="12">
        <f t="shared" si="235"/>
        <v>-1.65</v>
      </c>
      <c r="E1704" s="12">
        <f t="shared" si="236"/>
        <v>11.133431722666666</v>
      </c>
      <c r="F1704" s="12">
        <f t="shared" si="237"/>
        <v>11.133431722666666</v>
      </c>
      <c r="G1704" s="12">
        <f t="shared" si="238"/>
        <v>14.59090816</v>
      </c>
      <c r="H1704" s="12">
        <f t="shared" si="239"/>
        <v>14.59090816</v>
      </c>
      <c r="I1704" s="1" t="str">
        <f t="shared" si="240"/>
        <v>No</v>
      </c>
      <c r="J1704" s="1" t="str">
        <f t="shared" si="241"/>
        <v>Si</v>
      </c>
      <c r="K1704" s="1" t="str">
        <f t="shared" si="242"/>
        <v/>
      </c>
    </row>
    <row r="1705" spans="1:11" x14ac:dyDescent="0.3">
      <c r="A1705" s="1">
        <v>33</v>
      </c>
      <c r="B1705" s="1">
        <v>4</v>
      </c>
      <c r="C1705" s="12">
        <f t="shared" si="234"/>
        <v>0.60000000000000009</v>
      </c>
      <c r="D1705" s="12">
        <f t="shared" si="235"/>
        <v>-1.575</v>
      </c>
      <c r="E1705" s="12">
        <f t="shared" si="236"/>
        <v>11.130943630222221</v>
      </c>
      <c r="F1705" s="12">
        <f t="shared" si="237"/>
        <v>11.130943630222221</v>
      </c>
      <c r="G1705" s="12">
        <f t="shared" si="238"/>
        <v>14.587403804444444</v>
      </c>
      <c r="H1705" s="12">
        <f t="shared" si="239"/>
        <v>14.587403804444444</v>
      </c>
      <c r="I1705" s="1" t="str">
        <f t="shared" si="240"/>
        <v>No</v>
      </c>
      <c r="J1705" s="1" t="str">
        <f t="shared" si="241"/>
        <v>Si</v>
      </c>
      <c r="K1705" s="1" t="str">
        <f t="shared" si="242"/>
        <v/>
      </c>
    </row>
    <row r="1706" spans="1:11" x14ac:dyDescent="0.3">
      <c r="A1706" s="1">
        <v>33</v>
      </c>
      <c r="B1706" s="1">
        <v>5</v>
      </c>
      <c r="C1706" s="12">
        <f t="shared" si="234"/>
        <v>0.60000000000000009</v>
      </c>
      <c r="D1706" s="12">
        <f t="shared" si="235"/>
        <v>-1.5</v>
      </c>
      <c r="E1706" s="12">
        <f t="shared" si="236"/>
        <v>11.128455537777777</v>
      </c>
      <c r="F1706" s="12">
        <f t="shared" si="237"/>
        <v>11.128455537777777</v>
      </c>
      <c r="G1706" s="12">
        <f t="shared" si="238"/>
        <v>14.583899448888888</v>
      </c>
      <c r="H1706" s="12">
        <f t="shared" si="239"/>
        <v>14.583899448888888</v>
      </c>
      <c r="I1706" s="1" t="str">
        <f t="shared" si="240"/>
        <v>No</v>
      </c>
      <c r="J1706" s="1" t="str">
        <f t="shared" si="241"/>
        <v>Si</v>
      </c>
      <c r="K1706" s="1" t="str">
        <f t="shared" si="242"/>
        <v/>
      </c>
    </row>
    <row r="1707" spans="1:11" x14ac:dyDescent="0.3">
      <c r="A1707" s="1">
        <v>33</v>
      </c>
      <c r="B1707" s="1">
        <v>6</v>
      </c>
      <c r="C1707" s="12">
        <f t="shared" si="234"/>
        <v>0.60000000000000009</v>
      </c>
      <c r="D1707" s="12">
        <f t="shared" si="235"/>
        <v>-1.425</v>
      </c>
      <c r="E1707" s="12">
        <f t="shared" si="236"/>
        <v>11.125967445333332</v>
      </c>
      <c r="F1707" s="12">
        <f t="shared" si="237"/>
        <v>11.125967445333332</v>
      </c>
      <c r="G1707" s="12">
        <f t="shared" si="238"/>
        <v>14.580395093333333</v>
      </c>
      <c r="H1707" s="12">
        <f t="shared" si="239"/>
        <v>14.580395093333333</v>
      </c>
      <c r="I1707" s="1" t="str">
        <f t="shared" si="240"/>
        <v>No</v>
      </c>
      <c r="J1707" s="1" t="str">
        <f t="shared" si="241"/>
        <v>Si</v>
      </c>
      <c r="K1707" s="1" t="str">
        <f t="shared" si="242"/>
        <v/>
      </c>
    </row>
    <row r="1708" spans="1:11" x14ac:dyDescent="0.3">
      <c r="A1708" s="1">
        <v>33</v>
      </c>
      <c r="B1708" s="1">
        <v>7</v>
      </c>
      <c r="C1708" s="12">
        <f t="shared" si="234"/>
        <v>0.60000000000000009</v>
      </c>
      <c r="D1708" s="12">
        <f t="shared" si="235"/>
        <v>-1.35</v>
      </c>
      <c r="E1708" s="12">
        <f t="shared" si="236"/>
        <v>11.123479352888889</v>
      </c>
      <c r="F1708" s="12">
        <f t="shared" si="237"/>
        <v>11.123479352888889</v>
      </c>
      <c r="G1708" s="12">
        <f t="shared" si="238"/>
        <v>14.576890737777777</v>
      </c>
      <c r="H1708" s="12">
        <f t="shared" si="239"/>
        <v>14.576890737777777</v>
      </c>
      <c r="I1708" s="1" t="str">
        <f t="shared" si="240"/>
        <v>No</v>
      </c>
      <c r="J1708" s="1" t="str">
        <f t="shared" si="241"/>
        <v>Si</v>
      </c>
      <c r="K1708" s="1" t="str">
        <f t="shared" si="242"/>
        <v/>
      </c>
    </row>
    <row r="1709" spans="1:11" x14ac:dyDescent="0.3">
      <c r="A1709" s="1">
        <v>33</v>
      </c>
      <c r="B1709" s="1">
        <v>8</v>
      </c>
      <c r="C1709" s="12">
        <f t="shared" si="234"/>
        <v>0.60000000000000009</v>
      </c>
      <c r="D1709" s="12">
        <f t="shared" si="235"/>
        <v>-1.2749999999999999</v>
      </c>
      <c r="E1709" s="12">
        <f t="shared" si="236"/>
        <v>11.120991260444445</v>
      </c>
      <c r="F1709" s="12">
        <f t="shared" si="237"/>
        <v>11.120991260444445</v>
      </c>
      <c r="G1709" s="12">
        <f t="shared" si="238"/>
        <v>14.573386382222221</v>
      </c>
      <c r="H1709" s="12">
        <f t="shared" si="239"/>
        <v>14.573386382222221</v>
      </c>
      <c r="I1709" s="1" t="str">
        <f t="shared" si="240"/>
        <v>No</v>
      </c>
      <c r="J1709" s="1" t="str">
        <f t="shared" si="241"/>
        <v>Si</v>
      </c>
      <c r="K1709" s="1" t="str">
        <f t="shared" si="242"/>
        <v/>
      </c>
    </row>
    <row r="1710" spans="1:11" x14ac:dyDescent="0.3">
      <c r="A1710" s="1">
        <v>33</v>
      </c>
      <c r="B1710" s="1">
        <v>9</v>
      </c>
      <c r="C1710" s="12">
        <f t="shared" si="234"/>
        <v>0.60000000000000009</v>
      </c>
      <c r="D1710" s="12">
        <f t="shared" si="235"/>
        <v>-1.2</v>
      </c>
      <c r="E1710" s="12">
        <f t="shared" si="236"/>
        <v>11.118503168</v>
      </c>
      <c r="F1710" s="12">
        <f t="shared" si="237"/>
        <v>11.118503168</v>
      </c>
      <c r="G1710" s="12">
        <f t="shared" si="238"/>
        <v>14.569882026666665</v>
      </c>
      <c r="H1710" s="12">
        <f t="shared" si="239"/>
        <v>14.569882026666665</v>
      </c>
      <c r="I1710" s="1" t="str">
        <f t="shared" si="240"/>
        <v>No</v>
      </c>
      <c r="J1710" s="1" t="str">
        <f t="shared" si="241"/>
        <v>Si</v>
      </c>
      <c r="K1710" s="1" t="str">
        <f t="shared" si="242"/>
        <v/>
      </c>
    </row>
    <row r="1711" spans="1:11" x14ac:dyDescent="0.3">
      <c r="A1711" s="1">
        <v>33</v>
      </c>
      <c r="B1711" s="1">
        <v>10</v>
      </c>
      <c r="C1711" s="12">
        <f t="shared" si="234"/>
        <v>0.60000000000000009</v>
      </c>
      <c r="D1711" s="12">
        <f t="shared" si="235"/>
        <v>-1.125</v>
      </c>
      <c r="E1711" s="12">
        <f t="shared" si="236"/>
        <v>11.116015075555556</v>
      </c>
      <c r="F1711" s="12">
        <f t="shared" si="237"/>
        <v>11.116015075555556</v>
      </c>
      <c r="G1711" s="12">
        <f t="shared" si="238"/>
        <v>14.566377671111111</v>
      </c>
      <c r="H1711" s="12">
        <f t="shared" si="239"/>
        <v>14.566377671111111</v>
      </c>
      <c r="I1711" s="1" t="str">
        <f t="shared" si="240"/>
        <v>No</v>
      </c>
      <c r="J1711" s="1" t="str">
        <f t="shared" si="241"/>
        <v>Si</v>
      </c>
      <c r="K1711" s="1" t="str">
        <f t="shared" si="242"/>
        <v/>
      </c>
    </row>
    <row r="1712" spans="1:11" x14ac:dyDescent="0.3">
      <c r="A1712" s="1">
        <v>33</v>
      </c>
      <c r="B1712" s="1">
        <v>11</v>
      </c>
      <c r="C1712" s="12">
        <f t="shared" si="234"/>
        <v>0.60000000000000009</v>
      </c>
      <c r="D1712" s="12">
        <f t="shared" si="235"/>
        <v>-1.05</v>
      </c>
      <c r="E1712" s="12">
        <f t="shared" si="236"/>
        <v>11.113526983111111</v>
      </c>
      <c r="F1712" s="12">
        <f t="shared" si="237"/>
        <v>11.113526983111111</v>
      </c>
      <c r="G1712" s="12">
        <f t="shared" si="238"/>
        <v>14.562873315555555</v>
      </c>
      <c r="H1712" s="12">
        <f t="shared" si="239"/>
        <v>14.562873315555555</v>
      </c>
      <c r="I1712" s="1" t="str">
        <f t="shared" si="240"/>
        <v>No</v>
      </c>
      <c r="J1712" s="1" t="str">
        <f t="shared" si="241"/>
        <v>Si</v>
      </c>
      <c r="K1712" s="1" t="str">
        <f t="shared" si="242"/>
        <v/>
      </c>
    </row>
    <row r="1713" spans="1:11" x14ac:dyDescent="0.3">
      <c r="A1713" s="1">
        <v>33</v>
      </c>
      <c r="B1713" s="1">
        <v>12</v>
      </c>
      <c r="C1713" s="12">
        <f t="shared" si="234"/>
        <v>0.60000000000000009</v>
      </c>
      <c r="D1713" s="12">
        <f t="shared" si="235"/>
        <v>-0.97499999999999998</v>
      </c>
      <c r="E1713" s="12">
        <f t="shared" si="236"/>
        <v>11.111038890666666</v>
      </c>
      <c r="F1713" s="12">
        <f t="shared" si="237"/>
        <v>11.111038890666666</v>
      </c>
      <c r="G1713" s="12">
        <f t="shared" si="238"/>
        <v>14.559368959999999</v>
      </c>
      <c r="H1713" s="12">
        <f t="shared" si="239"/>
        <v>14.559368959999999</v>
      </c>
      <c r="I1713" s="1" t="str">
        <f t="shared" si="240"/>
        <v>No</v>
      </c>
      <c r="J1713" s="1" t="str">
        <f t="shared" si="241"/>
        <v>Si</v>
      </c>
      <c r="K1713" s="1" t="str">
        <f t="shared" si="242"/>
        <v/>
      </c>
    </row>
    <row r="1714" spans="1:11" x14ac:dyDescent="0.3">
      <c r="A1714" s="1">
        <v>33</v>
      </c>
      <c r="B1714" s="1">
        <v>13</v>
      </c>
      <c r="C1714" s="12">
        <f t="shared" si="234"/>
        <v>0.60000000000000009</v>
      </c>
      <c r="D1714" s="12">
        <f t="shared" si="235"/>
        <v>-0.9</v>
      </c>
      <c r="E1714" s="12">
        <f t="shared" si="236"/>
        <v>11.108550798222222</v>
      </c>
      <c r="F1714" s="12">
        <f t="shared" si="237"/>
        <v>11.108550798222222</v>
      </c>
      <c r="G1714" s="12">
        <f t="shared" si="238"/>
        <v>14.555864604444444</v>
      </c>
      <c r="H1714" s="12">
        <f t="shared" si="239"/>
        <v>14.555864604444444</v>
      </c>
      <c r="I1714" s="1" t="str">
        <f t="shared" si="240"/>
        <v>No</v>
      </c>
      <c r="J1714" s="1" t="str">
        <f t="shared" si="241"/>
        <v>Si</v>
      </c>
      <c r="K1714" s="1" t="str">
        <f t="shared" si="242"/>
        <v/>
      </c>
    </row>
    <row r="1715" spans="1:11" x14ac:dyDescent="0.3">
      <c r="A1715" s="1">
        <v>33</v>
      </c>
      <c r="B1715" s="1">
        <v>14</v>
      </c>
      <c r="C1715" s="12">
        <f t="shared" si="234"/>
        <v>0.60000000000000009</v>
      </c>
      <c r="D1715" s="12">
        <f t="shared" si="235"/>
        <v>-0.82499999999999996</v>
      </c>
      <c r="E1715" s="12">
        <f t="shared" si="236"/>
        <v>11.106062705777777</v>
      </c>
      <c r="F1715" s="12">
        <f t="shared" si="237"/>
        <v>11.106062705777777</v>
      </c>
      <c r="G1715" s="12">
        <f t="shared" si="238"/>
        <v>14.552360248888888</v>
      </c>
      <c r="H1715" s="12">
        <f t="shared" si="239"/>
        <v>14.552360248888888</v>
      </c>
      <c r="I1715" s="1" t="str">
        <f t="shared" si="240"/>
        <v>No</v>
      </c>
      <c r="J1715" s="1" t="str">
        <f t="shared" si="241"/>
        <v>Si</v>
      </c>
      <c r="K1715" s="1" t="str">
        <f t="shared" si="242"/>
        <v/>
      </c>
    </row>
    <row r="1716" spans="1:11" x14ac:dyDescent="0.3">
      <c r="A1716" s="1">
        <v>33</v>
      </c>
      <c r="B1716" s="1">
        <v>15</v>
      </c>
      <c r="C1716" s="12">
        <f t="shared" si="234"/>
        <v>0.60000000000000009</v>
      </c>
      <c r="D1716" s="12">
        <f t="shared" si="235"/>
        <v>-0.75</v>
      </c>
      <c r="E1716" s="12">
        <f t="shared" si="236"/>
        <v>11.103574613333333</v>
      </c>
      <c r="F1716" s="12">
        <f t="shared" si="237"/>
        <v>11.103574613333333</v>
      </c>
      <c r="G1716" s="12">
        <f t="shared" si="238"/>
        <v>14.548855893333332</v>
      </c>
      <c r="H1716" s="12">
        <f t="shared" si="239"/>
        <v>14.548855893333332</v>
      </c>
      <c r="I1716" s="1" t="str">
        <f t="shared" si="240"/>
        <v>No</v>
      </c>
      <c r="J1716" s="1" t="str">
        <f t="shared" si="241"/>
        <v>Si</v>
      </c>
      <c r="K1716" s="1" t="str">
        <f t="shared" si="242"/>
        <v/>
      </c>
    </row>
    <row r="1717" spans="1:11" x14ac:dyDescent="0.3">
      <c r="A1717" s="1">
        <v>33</v>
      </c>
      <c r="B1717" s="1">
        <v>16</v>
      </c>
      <c r="C1717" s="12">
        <f t="shared" si="234"/>
        <v>0.60000000000000009</v>
      </c>
      <c r="D1717" s="12">
        <f t="shared" si="235"/>
        <v>-0.67500000000000004</v>
      </c>
      <c r="E1717" s="12">
        <f t="shared" si="236"/>
        <v>11.101086520888888</v>
      </c>
      <c r="F1717" s="12">
        <f t="shared" si="237"/>
        <v>11.101086520888888</v>
      </c>
      <c r="G1717" s="12">
        <f t="shared" si="238"/>
        <v>14.545351537777776</v>
      </c>
      <c r="H1717" s="12">
        <f t="shared" si="239"/>
        <v>14.545351537777776</v>
      </c>
      <c r="I1717" s="1" t="str">
        <f t="shared" si="240"/>
        <v>No</v>
      </c>
      <c r="J1717" s="1" t="str">
        <f t="shared" si="241"/>
        <v>Si</v>
      </c>
      <c r="K1717" s="1" t="str">
        <f t="shared" si="242"/>
        <v/>
      </c>
    </row>
    <row r="1718" spans="1:11" x14ac:dyDescent="0.3">
      <c r="A1718" s="1">
        <v>33</v>
      </c>
      <c r="B1718" s="1">
        <v>17</v>
      </c>
      <c r="C1718" s="12">
        <f t="shared" si="234"/>
        <v>0.60000000000000009</v>
      </c>
      <c r="D1718" s="12">
        <f t="shared" si="235"/>
        <v>-0.60000000000000009</v>
      </c>
      <c r="E1718" s="12">
        <f t="shared" si="236"/>
        <v>11.098598428444443</v>
      </c>
      <c r="F1718" s="12">
        <f t="shared" si="237"/>
        <v>11.098598428444443</v>
      </c>
      <c r="G1718" s="12">
        <f t="shared" si="238"/>
        <v>14.541847182222222</v>
      </c>
      <c r="H1718" s="12">
        <f t="shared" si="239"/>
        <v>14.541847182222222</v>
      </c>
      <c r="I1718" s="1" t="str">
        <f t="shared" si="240"/>
        <v>No</v>
      </c>
      <c r="J1718" s="1" t="str">
        <f t="shared" si="241"/>
        <v>Si</v>
      </c>
      <c r="K1718" s="1" t="str">
        <f t="shared" si="242"/>
        <v/>
      </c>
    </row>
    <row r="1719" spans="1:11" x14ac:dyDescent="0.3">
      <c r="A1719" s="1">
        <v>33</v>
      </c>
      <c r="B1719" s="1">
        <v>18</v>
      </c>
      <c r="C1719" s="12">
        <f t="shared" si="234"/>
        <v>0.60000000000000009</v>
      </c>
      <c r="D1719" s="12">
        <f t="shared" si="235"/>
        <v>-0.52499999999999991</v>
      </c>
      <c r="E1719" s="12">
        <f t="shared" si="236"/>
        <v>11.096110335999999</v>
      </c>
      <c r="F1719" s="12">
        <f t="shared" si="237"/>
        <v>11.096110335999999</v>
      </c>
      <c r="G1719" s="12">
        <f t="shared" si="238"/>
        <v>14.538342826666666</v>
      </c>
      <c r="H1719" s="12">
        <f t="shared" si="239"/>
        <v>14.538342826666666</v>
      </c>
      <c r="I1719" s="1" t="str">
        <f t="shared" si="240"/>
        <v>No</v>
      </c>
      <c r="J1719" s="1" t="str">
        <f t="shared" si="241"/>
        <v>Si</v>
      </c>
      <c r="K1719" s="1" t="str">
        <f t="shared" si="242"/>
        <v/>
      </c>
    </row>
    <row r="1720" spans="1:11" x14ac:dyDescent="0.3">
      <c r="A1720" s="1">
        <v>33</v>
      </c>
      <c r="B1720" s="1">
        <v>19</v>
      </c>
      <c r="C1720" s="12">
        <f t="shared" si="234"/>
        <v>0.60000000000000009</v>
      </c>
      <c r="D1720" s="12">
        <f t="shared" si="235"/>
        <v>-0.44999999999999996</v>
      </c>
      <c r="E1720" s="12">
        <f t="shared" si="236"/>
        <v>11.093622243555556</v>
      </c>
      <c r="F1720" s="12">
        <f t="shared" si="237"/>
        <v>11.093622243555556</v>
      </c>
      <c r="G1720" s="12">
        <f t="shared" si="238"/>
        <v>14.53483847111111</v>
      </c>
      <c r="H1720" s="12">
        <f t="shared" si="239"/>
        <v>14.53483847111111</v>
      </c>
      <c r="I1720" s="1" t="str">
        <f t="shared" si="240"/>
        <v>No</v>
      </c>
      <c r="J1720" s="1" t="str">
        <f t="shared" si="241"/>
        <v>Si</v>
      </c>
      <c r="K1720" s="1" t="str">
        <f t="shared" si="242"/>
        <v/>
      </c>
    </row>
    <row r="1721" spans="1:11" x14ac:dyDescent="0.3">
      <c r="A1721" s="1">
        <v>33</v>
      </c>
      <c r="B1721" s="1">
        <v>20</v>
      </c>
      <c r="C1721" s="12">
        <f t="shared" si="234"/>
        <v>0.60000000000000009</v>
      </c>
      <c r="D1721" s="12">
        <f t="shared" si="235"/>
        <v>-0.375</v>
      </c>
      <c r="E1721" s="12">
        <f t="shared" si="236"/>
        <v>11.091134151111111</v>
      </c>
      <c r="F1721" s="12">
        <f t="shared" si="237"/>
        <v>11.091134151111111</v>
      </c>
      <c r="G1721" s="12">
        <f t="shared" si="238"/>
        <v>14.531334115555556</v>
      </c>
      <c r="H1721" s="12">
        <f t="shared" si="239"/>
        <v>14.531334115555556</v>
      </c>
      <c r="I1721" s="1" t="str">
        <f t="shared" si="240"/>
        <v>No</v>
      </c>
      <c r="J1721" s="1" t="str">
        <f t="shared" si="241"/>
        <v>Si</v>
      </c>
      <c r="K1721" s="1" t="str">
        <f t="shared" si="242"/>
        <v/>
      </c>
    </row>
    <row r="1722" spans="1:11" x14ac:dyDescent="0.3">
      <c r="A1722" s="1">
        <v>33</v>
      </c>
      <c r="B1722" s="1">
        <v>21</v>
      </c>
      <c r="C1722" s="12">
        <f t="shared" si="234"/>
        <v>0.60000000000000009</v>
      </c>
      <c r="D1722" s="12">
        <f t="shared" si="235"/>
        <v>-0.30000000000000004</v>
      </c>
      <c r="E1722" s="12">
        <f t="shared" si="236"/>
        <v>11.088646058666667</v>
      </c>
      <c r="F1722" s="12">
        <f t="shared" si="237"/>
        <v>11.088646058666667</v>
      </c>
      <c r="G1722" s="12">
        <f t="shared" si="238"/>
        <v>14.527829759999999</v>
      </c>
      <c r="H1722" s="12">
        <f t="shared" si="239"/>
        <v>14.527829759999999</v>
      </c>
      <c r="I1722" s="1" t="str">
        <f t="shared" si="240"/>
        <v>No</v>
      </c>
      <c r="J1722" s="1" t="str">
        <f t="shared" si="241"/>
        <v>Si</v>
      </c>
      <c r="K1722" s="1" t="str">
        <f t="shared" si="242"/>
        <v/>
      </c>
    </row>
    <row r="1723" spans="1:11" x14ac:dyDescent="0.3">
      <c r="A1723" s="1">
        <v>33</v>
      </c>
      <c r="B1723" s="1">
        <v>22</v>
      </c>
      <c r="C1723" s="12">
        <f t="shared" si="234"/>
        <v>0.60000000000000009</v>
      </c>
      <c r="D1723" s="12">
        <f t="shared" si="235"/>
        <v>-0.22500000000000009</v>
      </c>
      <c r="E1723" s="12">
        <f t="shared" si="236"/>
        <v>11.086157966222222</v>
      </c>
      <c r="F1723" s="12">
        <f t="shared" si="237"/>
        <v>11.086157966222222</v>
      </c>
      <c r="G1723" s="12">
        <f t="shared" si="238"/>
        <v>14.524325404444443</v>
      </c>
      <c r="H1723" s="12">
        <f t="shared" si="239"/>
        <v>14.524325404444443</v>
      </c>
      <c r="I1723" s="1" t="str">
        <f t="shared" si="240"/>
        <v>No</v>
      </c>
      <c r="J1723" s="1" t="str">
        <f t="shared" si="241"/>
        <v>Si</v>
      </c>
      <c r="K1723" s="1" t="str">
        <f t="shared" si="242"/>
        <v/>
      </c>
    </row>
    <row r="1724" spans="1:11" x14ac:dyDescent="0.3">
      <c r="A1724" s="1">
        <v>33</v>
      </c>
      <c r="B1724" s="1">
        <v>23</v>
      </c>
      <c r="C1724" s="12">
        <f t="shared" si="234"/>
        <v>0.60000000000000009</v>
      </c>
      <c r="D1724" s="12">
        <f t="shared" si="235"/>
        <v>-0.14999999999999991</v>
      </c>
      <c r="E1724" s="12">
        <f t="shared" si="236"/>
        <v>11.083669873777778</v>
      </c>
      <c r="F1724" s="12">
        <f t="shared" si="237"/>
        <v>11.083669873777778</v>
      </c>
      <c r="G1724" s="12">
        <f t="shared" si="238"/>
        <v>14.520821048888887</v>
      </c>
      <c r="H1724" s="12">
        <f t="shared" si="239"/>
        <v>14.520821048888887</v>
      </c>
      <c r="I1724" s="1" t="str">
        <f t="shared" si="240"/>
        <v>No</v>
      </c>
      <c r="J1724" s="1" t="str">
        <f t="shared" si="241"/>
        <v>Si</v>
      </c>
      <c r="K1724" s="1" t="str">
        <f t="shared" si="242"/>
        <v/>
      </c>
    </row>
    <row r="1725" spans="1:11" x14ac:dyDescent="0.3">
      <c r="A1725" s="1">
        <v>33</v>
      </c>
      <c r="B1725" s="1">
        <v>24</v>
      </c>
      <c r="C1725" s="12">
        <f t="shared" si="234"/>
        <v>0.60000000000000009</v>
      </c>
      <c r="D1725" s="12">
        <f t="shared" si="235"/>
        <v>-7.4999999999999956E-2</v>
      </c>
      <c r="E1725" s="12">
        <f t="shared" si="236"/>
        <v>11.081181781333333</v>
      </c>
      <c r="F1725" s="12">
        <f t="shared" si="237"/>
        <v>11.081181781333333</v>
      </c>
      <c r="G1725" s="12">
        <f t="shared" si="238"/>
        <v>14.517316693333333</v>
      </c>
      <c r="H1725" s="12">
        <f t="shared" si="239"/>
        <v>14.517316693333333</v>
      </c>
      <c r="I1725" s="1" t="str">
        <f t="shared" si="240"/>
        <v>No</v>
      </c>
      <c r="J1725" s="1" t="str">
        <f t="shared" si="241"/>
        <v>Si</v>
      </c>
      <c r="K1725" s="1" t="str">
        <f t="shared" si="242"/>
        <v/>
      </c>
    </row>
    <row r="1726" spans="1:11" x14ac:dyDescent="0.3">
      <c r="A1726" s="1">
        <v>33</v>
      </c>
      <c r="B1726" s="1">
        <v>25</v>
      </c>
      <c r="C1726" s="12">
        <f t="shared" si="234"/>
        <v>0.60000000000000009</v>
      </c>
      <c r="D1726" s="12">
        <f t="shared" si="235"/>
        <v>0</v>
      </c>
      <c r="E1726" s="12">
        <f t="shared" si="236"/>
        <v>11.078693688888889</v>
      </c>
      <c r="F1726" s="12">
        <f t="shared" si="237"/>
        <v>11.078693688888889</v>
      </c>
      <c r="G1726" s="12">
        <f t="shared" si="238"/>
        <v>14.513812337777777</v>
      </c>
      <c r="H1726" s="12">
        <f t="shared" si="239"/>
        <v>14.513812337777777</v>
      </c>
      <c r="I1726" s="1" t="str">
        <f t="shared" si="240"/>
        <v>No</v>
      </c>
      <c r="J1726" s="1" t="str">
        <f t="shared" si="241"/>
        <v>Si</v>
      </c>
      <c r="K1726" s="1" t="str">
        <f t="shared" si="242"/>
        <v/>
      </c>
    </row>
    <row r="1727" spans="1:11" x14ac:dyDescent="0.3">
      <c r="A1727" s="1">
        <v>33</v>
      </c>
      <c r="B1727" s="1">
        <v>26</v>
      </c>
      <c r="C1727" s="12">
        <f t="shared" si="234"/>
        <v>0.60000000000000009</v>
      </c>
      <c r="D1727" s="12">
        <f t="shared" si="235"/>
        <v>7.4999999999999956E-2</v>
      </c>
      <c r="E1727" s="12">
        <f t="shared" si="236"/>
        <v>11.076205596444444</v>
      </c>
      <c r="F1727" s="12">
        <f t="shared" si="237"/>
        <v>11.076205596444444</v>
      </c>
      <c r="G1727" s="12">
        <f t="shared" si="238"/>
        <v>14.510307982222221</v>
      </c>
      <c r="H1727" s="12">
        <f t="shared" si="239"/>
        <v>14.510307982222221</v>
      </c>
      <c r="I1727" s="1" t="str">
        <f t="shared" si="240"/>
        <v>No</v>
      </c>
      <c r="J1727" s="1" t="str">
        <f t="shared" si="241"/>
        <v>Si</v>
      </c>
      <c r="K1727" s="1" t="str">
        <f t="shared" si="242"/>
        <v/>
      </c>
    </row>
    <row r="1728" spans="1:11" x14ac:dyDescent="0.3">
      <c r="A1728" s="1">
        <v>33</v>
      </c>
      <c r="B1728" s="1">
        <v>27</v>
      </c>
      <c r="C1728" s="12">
        <f t="shared" si="234"/>
        <v>0.60000000000000009</v>
      </c>
      <c r="D1728" s="12">
        <f t="shared" si="235"/>
        <v>0.14999999999999991</v>
      </c>
      <c r="E1728" s="12">
        <f t="shared" si="236"/>
        <v>11.073717503999999</v>
      </c>
      <c r="F1728" s="12">
        <f t="shared" si="237"/>
        <v>11.073717503999999</v>
      </c>
      <c r="G1728" s="12">
        <f t="shared" si="238"/>
        <v>14.506803626666667</v>
      </c>
      <c r="H1728" s="12">
        <f t="shared" si="239"/>
        <v>14.506803626666667</v>
      </c>
      <c r="I1728" s="1" t="str">
        <f t="shared" si="240"/>
        <v>No</v>
      </c>
      <c r="J1728" s="1" t="str">
        <f t="shared" si="241"/>
        <v>Si</v>
      </c>
      <c r="K1728" s="1" t="str">
        <f t="shared" si="242"/>
        <v/>
      </c>
    </row>
    <row r="1729" spans="1:11" x14ac:dyDescent="0.3">
      <c r="A1729" s="1">
        <v>33</v>
      </c>
      <c r="B1729" s="1">
        <v>28</v>
      </c>
      <c r="C1729" s="12">
        <f t="shared" si="234"/>
        <v>0.60000000000000009</v>
      </c>
      <c r="D1729" s="12">
        <f t="shared" si="235"/>
        <v>0.22500000000000009</v>
      </c>
      <c r="E1729" s="12">
        <f t="shared" si="236"/>
        <v>11.071229411555555</v>
      </c>
      <c r="F1729" s="12">
        <f t="shared" si="237"/>
        <v>11.071229411555555</v>
      </c>
      <c r="G1729" s="12">
        <f t="shared" si="238"/>
        <v>14.503299271111111</v>
      </c>
      <c r="H1729" s="12">
        <f t="shared" si="239"/>
        <v>14.503299271111111</v>
      </c>
      <c r="I1729" s="1" t="str">
        <f t="shared" si="240"/>
        <v>No</v>
      </c>
      <c r="J1729" s="1" t="str">
        <f t="shared" si="241"/>
        <v>Si</v>
      </c>
      <c r="K1729" s="1" t="str">
        <f t="shared" si="242"/>
        <v/>
      </c>
    </row>
    <row r="1730" spans="1:11" x14ac:dyDescent="0.3">
      <c r="A1730" s="1">
        <v>33</v>
      </c>
      <c r="B1730" s="1">
        <v>29</v>
      </c>
      <c r="C1730" s="12">
        <f t="shared" si="234"/>
        <v>0.60000000000000009</v>
      </c>
      <c r="D1730" s="12">
        <f t="shared" si="235"/>
        <v>0.29999999999999982</v>
      </c>
      <c r="E1730" s="12">
        <f t="shared" si="236"/>
        <v>11.06874131911111</v>
      </c>
      <c r="F1730" s="12">
        <f t="shared" si="237"/>
        <v>11.06874131911111</v>
      </c>
      <c r="G1730" s="12">
        <f t="shared" si="238"/>
        <v>14.499794915555555</v>
      </c>
      <c r="H1730" s="12">
        <f t="shared" si="239"/>
        <v>14.499794915555555</v>
      </c>
      <c r="I1730" s="1" t="str">
        <f t="shared" si="240"/>
        <v>No</v>
      </c>
      <c r="J1730" s="1" t="str">
        <f t="shared" si="241"/>
        <v>Si</v>
      </c>
      <c r="K1730" s="1" t="str">
        <f t="shared" si="242"/>
        <v/>
      </c>
    </row>
    <row r="1731" spans="1:11" x14ac:dyDescent="0.3">
      <c r="A1731" s="1">
        <v>33</v>
      </c>
      <c r="B1731" s="1">
        <v>30</v>
      </c>
      <c r="C1731" s="12">
        <f t="shared" si="234"/>
        <v>0.60000000000000009</v>
      </c>
      <c r="D1731" s="12">
        <f t="shared" si="235"/>
        <v>0.375</v>
      </c>
      <c r="E1731" s="12">
        <f t="shared" si="236"/>
        <v>11.066253226666666</v>
      </c>
      <c r="F1731" s="12">
        <f t="shared" si="237"/>
        <v>11.066253226666666</v>
      </c>
      <c r="G1731" s="12">
        <f t="shared" si="238"/>
        <v>14.496290559999998</v>
      </c>
      <c r="H1731" s="12">
        <f t="shared" si="239"/>
        <v>14.496290559999998</v>
      </c>
      <c r="I1731" s="1" t="str">
        <f t="shared" si="240"/>
        <v>No</v>
      </c>
      <c r="J1731" s="1" t="str">
        <f t="shared" si="241"/>
        <v>Si</v>
      </c>
      <c r="K1731" s="1" t="str">
        <f t="shared" si="242"/>
        <v/>
      </c>
    </row>
    <row r="1732" spans="1:11" x14ac:dyDescent="0.3">
      <c r="A1732" s="1">
        <v>33</v>
      </c>
      <c r="B1732" s="1">
        <v>31</v>
      </c>
      <c r="C1732" s="12">
        <f t="shared" si="234"/>
        <v>0.60000000000000009</v>
      </c>
      <c r="D1732" s="12">
        <f t="shared" si="235"/>
        <v>0.45000000000000018</v>
      </c>
      <c r="E1732" s="12">
        <f t="shared" si="236"/>
        <v>11.063765134222221</v>
      </c>
      <c r="F1732" s="12">
        <f t="shared" si="237"/>
        <v>11.063765134222221</v>
      </c>
      <c r="G1732" s="12">
        <f t="shared" si="238"/>
        <v>14.492786204444444</v>
      </c>
      <c r="H1732" s="12">
        <f t="shared" si="239"/>
        <v>14.492786204444444</v>
      </c>
      <c r="I1732" s="1" t="str">
        <f t="shared" si="240"/>
        <v>No</v>
      </c>
      <c r="J1732" s="1" t="str">
        <f t="shared" si="241"/>
        <v>Si</v>
      </c>
      <c r="K1732" s="1" t="str">
        <f t="shared" si="242"/>
        <v/>
      </c>
    </row>
    <row r="1733" spans="1:11" x14ac:dyDescent="0.3">
      <c r="A1733" s="1">
        <v>33</v>
      </c>
      <c r="B1733" s="1">
        <v>32</v>
      </c>
      <c r="C1733" s="12">
        <f t="shared" si="234"/>
        <v>0.60000000000000009</v>
      </c>
      <c r="D1733" s="12">
        <f t="shared" si="235"/>
        <v>0.52499999999999991</v>
      </c>
      <c r="E1733" s="12">
        <f t="shared" si="236"/>
        <v>11.061277041777778</v>
      </c>
      <c r="F1733" s="12">
        <f t="shared" si="237"/>
        <v>11.061277041777778</v>
      </c>
      <c r="G1733" s="12">
        <f t="shared" si="238"/>
        <v>14.489281848888888</v>
      </c>
      <c r="H1733" s="12">
        <f t="shared" si="239"/>
        <v>14.489281848888888</v>
      </c>
      <c r="I1733" s="1" t="str">
        <f t="shared" si="240"/>
        <v>No</v>
      </c>
      <c r="J1733" s="1" t="str">
        <f t="shared" si="241"/>
        <v>Si</v>
      </c>
      <c r="K1733" s="1" t="str">
        <f t="shared" si="242"/>
        <v/>
      </c>
    </row>
    <row r="1734" spans="1:11" x14ac:dyDescent="0.3">
      <c r="A1734" s="1">
        <v>33</v>
      </c>
      <c r="B1734" s="1">
        <v>33</v>
      </c>
      <c r="C1734" s="12">
        <f t="shared" si="234"/>
        <v>0.60000000000000009</v>
      </c>
      <c r="D1734" s="12">
        <f t="shared" si="235"/>
        <v>0.60000000000000009</v>
      </c>
      <c r="E1734" s="12">
        <f t="shared" si="236"/>
        <v>11.058788949333334</v>
      </c>
      <c r="F1734" s="12">
        <f t="shared" si="237"/>
        <v>11.058788949333334</v>
      </c>
      <c r="G1734" s="12">
        <f t="shared" si="238"/>
        <v>14.485777493333332</v>
      </c>
      <c r="H1734" s="12">
        <f t="shared" si="239"/>
        <v>14.485777493333332</v>
      </c>
      <c r="I1734" s="1" t="str">
        <f t="shared" si="240"/>
        <v>No</v>
      </c>
      <c r="J1734" s="1" t="str">
        <f t="shared" si="241"/>
        <v>Si</v>
      </c>
      <c r="K1734" s="1" t="str">
        <f t="shared" si="242"/>
        <v/>
      </c>
    </row>
    <row r="1735" spans="1:11" x14ac:dyDescent="0.3">
      <c r="A1735" s="1">
        <v>33</v>
      </c>
      <c r="B1735" s="1">
        <v>34</v>
      </c>
      <c r="C1735" s="12">
        <f t="shared" si="234"/>
        <v>0.60000000000000009</v>
      </c>
      <c r="D1735" s="12">
        <f t="shared" si="235"/>
        <v>0.67499999999999982</v>
      </c>
      <c r="E1735" s="12">
        <f t="shared" si="236"/>
        <v>11.056300856888889</v>
      </c>
      <c r="F1735" s="12">
        <f t="shared" si="237"/>
        <v>11.056300856888889</v>
      </c>
      <c r="G1735" s="12">
        <f t="shared" si="238"/>
        <v>14.482273137777778</v>
      </c>
      <c r="H1735" s="12">
        <f t="shared" si="239"/>
        <v>14.482273137777778</v>
      </c>
      <c r="I1735" s="1" t="str">
        <f t="shared" si="240"/>
        <v>No</v>
      </c>
      <c r="J1735" s="1" t="str">
        <f t="shared" si="241"/>
        <v>Si</v>
      </c>
      <c r="K1735" s="1" t="str">
        <f t="shared" si="242"/>
        <v/>
      </c>
    </row>
    <row r="1736" spans="1:11" x14ac:dyDescent="0.3">
      <c r="A1736" s="1">
        <v>33</v>
      </c>
      <c r="B1736" s="1">
        <v>35</v>
      </c>
      <c r="C1736" s="12">
        <f t="shared" si="234"/>
        <v>0.60000000000000009</v>
      </c>
      <c r="D1736" s="12">
        <f t="shared" si="235"/>
        <v>0.75</v>
      </c>
      <c r="E1736" s="12">
        <f t="shared" si="236"/>
        <v>11.053812764444444</v>
      </c>
      <c r="F1736" s="12">
        <f t="shared" si="237"/>
        <v>11.053812764444444</v>
      </c>
      <c r="G1736" s="12">
        <f t="shared" si="238"/>
        <v>14.478768782222222</v>
      </c>
      <c r="H1736" s="12">
        <f t="shared" si="239"/>
        <v>14.478768782222222</v>
      </c>
      <c r="I1736" s="1" t="str">
        <f t="shared" si="240"/>
        <v>No</v>
      </c>
      <c r="J1736" s="1" t="str">
        <f t="shared" si="241"/>
        <v>Si</v>
      </c>
      <c r="K1736" s="1" t="str">
        <f t="shared" si="242"/>
        <v/>
      </c>
    </row>
    <row r="1737" spans="1:11" x14ac:dyDescent="0.3">
      <c r="A1737" s="1">
        <v>33</v>
      </c>
      <c r="B1737" s="1">
        <v>36</v>
      </c>
      <c r="C1737" s="12">
        <f t="shared" si="234"/>
        <v>0.60000000000000009</v>
      </c>
      <c r="D1737" s="12">
        <f t="shared" si="235"/>
        <v>0.82500000000000018</v>
      </c>
      <c r="E1737" s="12">
        <f t="shared" si="236"/>
        <v>11.051324672</v>
      </c>
      <c r="F1737" s="12">
        <f t="shared" si="237"/>
        <v>11.051324672</v>
      </c>
      <c r="G1737" s="12">
        <f t="shared" si="238"/>
        <v>14.475264426666666</v>
      </c>
      <c r="H1737" s="12">
        <f t="shared" si="239"/>
        <v>14.475264426666666</v>
      </c>
      <c r="I1737" s="1" t="str">
        <f t="shared" si="240"/>
        <v>No</v>
      </c>
      <c r="J1737" s="1" t="str">
        <f t="shared" si="241"/>
        <v>Si</v>
      </c>
      <c r="K1737" s="1" t="str">
        <f t="shared" si="242"/>
        <v/>
      </c>
    </row>
    <row r="1738" spans="1:11" x14ac:dyDescent="0.3">
      <c r="A1738" s="1">
        <v>33</v>
      </c>
      <c r="B1738" s="1">
        <v>37</v>
      </c>
      <c r="C1738" s="12">
        <f t="shared" si="234"/>
        <v>0.60000000000000009</v>
      </c>
      <c r="D1738" s="12">
        <f t="shared" si="235"/>
        <v>0.89999999999999991</v>
      </c>
      <c r="E1738" s="12">
        <f t="shared" si="236"/>
        <v>11.048836579555555</v>
      </c>
      <c r="F1738" s="12">
        <f t="shared" si="237"/>
        <v>11.048836579555555</v>
      </c>
      <c r="G1738" s="12">
        <f t="shared" si="238"/>
        <v>14.47176007111111</v>
      </c>
      <c r="H1738" s="12">
        <f t="shared" si="239"/>
        <v>14.47176007111111</v>
      </c>
      <c r="I1738" s="1" t="str">
        <f t="shared" si="240"/>
        <v>No</v>
      </c>
      <c r="J1738" s="1" t="str">
        <f t="shared" si="241"/>
        <v>Si</v>
      </c>
      <c r="K1738" s="1" t="str">
        <f t="shared" si="242"/>
        <v/>
      </c>
    </row>
    <row r="1739" spans="1:11" x14ac:dyDescent="0.3">
      <c r="A1739" s="1">
        <v>33</v>
      </c>
      <c r="B1739" s="1">
        <v>38</v>
      </c>
      <c r="C1739" s="12">
        <f t="shared" si="234"/>
        <v>0.60000000000000009</v>
      </c>
      <c r="D1739" s="12">
        <f t="shared" si="235"/>
        <v>0.97500000000000009</v>
      </c>
      <c r="E1739" s="12">
        <f t="shared" si="236"/>
        <v>11.046348487111111</v>
      </c>
      <c r="F1739" s="12">
        <f t="shared" si="237"/>
        <v>11.046348487111111</v>
      </c>
      <c r="G1739" s="12">
        <f t="shared" si="238"/>
        <v>14.468255715555555</v>
      </c>
      <c r="H1739" s="12">
        <f t="shared" si="239"/>
        <v>14.468255715555555</v>
      </c>
      <c r="I1739" s="1" t="str">
        <f t="shared" si="240"/>
        <v>No</v>
      </c>
      <c r="J1739" s="1" t="str">
        <f t="shared" si="241"/>
        <v>Si</v>
      </c>
      <c r="K1739" s="1" t="str">
        <f t="shared" si="242"/>
        <v/>
      </c>
    </row>
    <row r="1740" spans="1:11" x14ac:dyDescent="0.3">
      <c r="A1740" s="1">
        <v>33</v>
      </c>
      <c r="B1740" s="1">
        <v>39</v>
      </c>
      <c r="C1740" s="12">
        <f t="shared" si="234"/>
        <v>0.60000000000000009</v>
      </c>
      <c r="D1740" s="12">
        <f t="shared" si="235"/>
        <v>1.0499999999999998</v>
      </c>
      <c r="E1740" s="12">
        <f t="shared" si="236"/>
        <v>11.043860394666666</v>
      </c>
      <c r="F1740" s="12">
        <f t="shared" si="237"/>
        <v>11.043860394666666</v>
      </c>
      <c r="G1740" s="12">
        <f t="shared" si="238"/>
        <v>14.464751359999999</v>
      </c>
      <c r="H1740" s="12">
        <f t="shared" si="239"/>
        <v>14.464751359999999</v>
      </c>
      <c r="I1740" s="1" t="str">
        <f t="shared" si="240"/>
        <v>No</v>
      </c>
      <c r="J1740" s="1" t="str">
        <f t="shared" si="241"/>
        <v>Si</v>
      </c>
      <c r="K1740" s="1" t="str">
        <f t="shared" si="242"/>
        <v/>
      </c>
    </row>
    <row r="1741" spans="1:11" x14ac:dyDescent="0.3">
      <c r="A1741" s="1">
        <v>33</v>
      </c>
      <c r="B1741" s="1">
        <v>40</v>
      </c>
      <c r="C1741" s="12">
        <f t="shared" si="234"/>
        <v>0.60000000000000009</v>
      </c>
      <c r="D1741" s="12">
        <f t="shared" si="235"/>
        <v>1.125</v>
      </c>
      <c r="E1741" s="12">
        <f t="shared" si="236"/>
        <v>11.041372302222221</v>
      </c>
      <c r="F1741" s="12">
        <f t="shared" si="237"/>
        <v>11.041372302222221</v>
      </c>
      <c r="G1741" s="12">
        <f t="shared" si="238"/>
        <v>14.461247004444443</v>
      </c>
      <c r="H1741" s="12">
        <f t="shared" si="239"/>
        <v>14.461247004444443</v>
      </c>
      <c r="I1741" s="1" t="str">
        <f t="shared" si="240"/>
        <v>No</v>
      </c>
      <c r="J1741" s="1" t="str">
        <f t="shared" si="241"/>
        <v>Si</v>
      </c>
      <c r="K1741" s="1" t="str">
        <f t="shared" si="242"/>
        <v/>
      </c>
    </row>
    <row r="1742" spans="1:11" x14ac:dyDescent="0.3">
      <c r="A1742" s="1">
        <v>33</v>
      </c>
      <c r="B1742" s="1">
        <v>41</v>
      </c>
      <c r="C1742" s="12">
        <f t="shared" si="234"/>
        <v>0.60000000000000009</v>
      </c>
      <c r="D1742" s="12">
        <f t="shared" si="235"/>
        <v>1.2000000000000002</v>
      </c>
      <c r="E1742" s="12">
        <f t="shared" si="236"/>
        <v>11.038884209777777</v>
      </c>
      <c r="F1742" s="12">
        <f t="shared" si="237"/>
        <v>11.038884209777777</v>
      </c>
      <c r="G1742" s="12">
        <f t="shared" si="238"/>
        <v>14.457742648888889</v>
      </c>
      <c r="H1742" s="12">
        <f t="shared" si="239"/>
        <v>14.457742648888889</v>
      </c>
      <c r="I1742" s="1" t="str">
        <f t="shared" si="240"/>
        <v>No</v>
      </c>
      <c r="J1742" s="1" t="str">
        <f t="shared" si="241"/>
        <v>Si</v>
      </c>
      <c r="K1742" s="1" t="str">
        <f t="shared" si="242"/>
        <v/>
      </c>
    </row>
    <row r="1743" spans="1:11" x14ac:dyDescent="0.3">
      <c r="A1743" s="1">
        <v>33</v>
      </c>
      <c r="B1743" s="1">
        <v>42</v>
      </c>
      <c r="C1743" s="12">
        <f t="shared" si="234"/>
        <v>0.60000000000000009</v>
      </c>
      <c r="D1743" s="12">
        <f t="shared" si="235"/>
        <v>1.2749999999999999</v>
      </c>
      <c r="E1743" s="12">
        <f t="shared" si="236"/>
        <v>11.036396117333332</v>
      </c>
      <c r="F1743" s="12">
        <f t="shared" si="237"/>
        <v>11.036396117333332</v>
      </c>
      <c r="G1743" s="12">
        <f t="shared" si="238"/>
        <v>14.454238293333333</v>
      </c>
      <c r="H1743" s="12">
        <f t="shared" si="239"/>
        <v>14.454238293333333</v>
      </c>
      <c r="I1743" s="1" t="str">
        <f t="shared" si="240"/>
        <v>No</v>
      </c>
      <c r="J1743" s="1" t="str">
        <f t="shared" si="241"/>
        <v>Si</v>
      </c>
      <c r="K1743" s="1" t="str">
        <f t="shared" si="242"/>
        <v/>
      </c>
    </row>
    <row r="1744" spans="1:11" x14ac:dyDescent="0.3">
      <c r="A1744" s="1">
        <v>33</v>
      </c>
      <c r="B1744" s="1">
        <v>43</v>
      </c>
      <c r="C1744" s="12">
        <f t="shared" si="234"/>
        <v>0.60000000000000009</v>
      </c>
      <c r="D1744" s="12">
        <f t="shared" si="235"/>
        <v>1.35</v>
      </c>
      <c r="E1744" s="12">
        <f t="shared" si="236"/>
        <v>11.033908024888888</v>
      </c>
      <c r="F1744" s="12">
        <f t="shared" si="237"/>
        <v>11.033908024888888</v>
      </c>
      <c r="G1744" s="12">
        <f t="shared" si="238"/>
        <v>14.450733937777777</v>
      </c>
      <c r="H1744" s="12">
        <f t="shared" si="239"/>
        <v>14.450733937777777</v>
      </c>
      <c r="I1744" s="1" t="str">
        <f t="shared" si="240"/>
        <v>No</v>
      </c>
      <c r="J1744" s="1" t="str">
        <f t="shared" si="241"/>
        <v>Si</v>
      </c>
      <c r="K1744" s="1" t="str">
        <f t="shared" si="242"/>
        <v/>
      </c>
    </row>
    <row r="1745" spans="1:11" x14ac:dyDescent="0.3">
      <c r="A1745" s="1">
        <v>33</v>
      </c>
      <c r="B1745" s="1">
        <v>44</v>
      </c>
      <c r="C1745" s="12">
        <f t="shared" si="234"/>
        <v>0.60000000000000009</v>
      </c>
      <c r="D1745" s="12">
        <f t="shared" si="235"/>
        <v>1.4249999999999998</v>
      </c>
      <c r="E1745" s="12">
        <f t="shared" si="236"/>
        <v>11.031419932444445</v>
      </c>
      <c r="F1745" s="12">
        <f t="shared" si="237"/>
        <v>11.031419932444445</v>
      </c>
      <c r="G1745" s="12">
        <f t="shared" si="238"/>
        <v>14.447229582222221</v>
      </c>
      <c r="H1745" s="12">
        <f t="shared" si="239"/>
        <v>14.447229582222221</v>
      </c>
      <c r="I1745" s="1" t="str">
        <f t="shared" si="240"/>
        <v>No</v>
      </c>
      <c r="J1745" s="1" t="str">
        <f t="shared" si="241"/>
        <v>Si</v>
      </c>
      <c r="K1745" s="1" t="str">
        <f t="shared" si="242"/>
        <v/>
      </c>
    </row>
    <row r="1746" spans="1:11" x14ac:dyDescent="0.3">
      <c r="A1746" s="1">
        <v>33</v>
      </c>
      <c r="B1746" s="1">
        <v>45</v>
      </c>
      <c r="C1746" s="12">
        <f t="shared" ref="C1746:C1809" si="243">IF(OR(A1746&gt;inp_n_div_x,B1746&gt;inp_n_div_y),"",-inp_bx/2+A1746*inp_bx/inp_n_div_x)</f>
        <v>0.60000000000000009</v>
      </c>
      <c r="D1746" s="12">
        <f t="shared" ref="D1746:D1809" si="244">IF(C1746="","",-inp_by/2+B1746*inp_by/inp_n_div_y)</f>
        <v>1.5</v>
      </c>
      <c r="E1746" s="12">
        <f t="shared" ref="E1746:E1809" si="245">IF(C1746="","",res_srv_p_tot/geo_area+res_srv_mx_tot/geo_ix*D1746+res_srv_my_tot/geo_iy*C1746)</f>
        <v>11.02893184</v>
      </c>
      <c r="F1746" s="12">
        <f t="shared" ref="F1746:F1809" si="246">IF(E1746="","",MAX(0,E1746))</f>
        <v>11.02893184</v>
      </c>
      <c r="G1746" s="12">
        <f t="shared" ref="G1746:G1809" si="247">IF(C1746="","",res_u_p_tot/geo_area+res_u_mx_tot/geo_ix*D1746+res_u_my_tot/geo_iy*C1746)</f>
        <v>14.443725226666666</v>
      </c>
      <c r="H1746" s="12">
        <f t="shared" ref="H1746:H1809" si="248">IF(G1746="","",MAX(0,G1746))</f>
        <v>14.443725226666666</v>
      </c>
      <c r="I1746" s="1" t="str">
        <f t="shared" ref="I1746:I1809" si="249">IF(C1746="","",IF(AND(C1746&gt;=inp_xc-inp_cx/2,C1746&lt;=inp_xc+inp_cx/2,D1746&gt;=inp_yc-inp_cy/2,D1746&lt;=inp_yc+inp_cy/2),"Si","No"))</f>
        <v>No</v>
      </c>
      <c r="J1746" s="1" t="str">
        <f t="shared" ref="J1746:J1809" si="250">IF(C1746="","","Si")</f>
        <v>Si</v>
      </c>
      <c r="K1746" s="1" t="str">
        <f t="shared" ref="K1746:K1809" si="251">IF(OR(E1746&lt;0,G1746&lt;0),"Presion negativa","")</f>
        <v/>
      </c>
    </row>
    <row r="1747" spans="1:11" x14ac:dyDescent="0.3">
      <c r="A1747" s="1">
        <v>33</v>
      </c>
      <c r="B1747" s="1">
        <v>46</v>
      </c>
      <c r="C1747" s="12">
        <f t="shared" si="243"/>
        <v>0.60000000000000009</v>
      </c>
      <c r="D1747" s="12">
        <f t="shared" si="244"/>
        <v>1.5750000000000002</v>
      </c>
      <c r="E1747" s="12">
        <f t="shared" si="245"/>
        <v>11.026443747555556</v>
      </c>
      <c r="F1747" s="12">
        <f t="shared" si="246"/>
        <v>11.026443747555556</v>
      </c>
      <c r="G1747" s="12">
        <f t="shared" si="247"/>
        <v>14.44022087111111</v>
      </c>
      <c r="H1747" s="12">
        <f t="shared" si="248"/>
        <v>14.44022087111111</v>
      </c>
      <c r="I1747" s="1" t="str">
        <f t="shared" si="249"/>
        <v>No</v>
      </c>
      <c r="J1747" s="1" t="str">
        <f t="shared" si="250"/>
        <v>Si</v>
      </c>
      <c r="K1747" s="1" t="str">
        <f t="shared" si="251"/>
        <v/>
      </c>
    </row>
    <row r="1748" spans="1:11" x14ac:dyDescent="0.3">
      <c r="A1748" s="1">
        <v>33</v>
      </c>
      <c r="B1748" s="1">
        <v>47</v>
      </c>
      <c r="C1748" s="12">
        <f t="shared" si="243"/>
        <v>0.60000000000000009</v>
      </c>
      <c r="D1748" s="12">
        <f t="shared" si="244"/>
        <v>1.65</v>
      </c>
      <c r="E1748" s="12">
        <f t="shared" si="245"/>
        <v>11.023955655111111</v>
      </c>
      <c r="F1748" s="12">
        <f t="shared" si="246"/>
        <v>11.023955655111111</v>
      </c>
      <c r="G1748" s="12">
        <f t="shared" si="247"/>
        <v>14.436716515555554</v>
      </c>
      <c r="H1748" s="12">
        <f t="shared" si="248"/>
        <v>14.436716515555554</v>
      </c>
      <c r="I1748" s="1" t="str">
        <f t="shared" si="249"/>
        <v>No</v>
      </c>
      <c r="J1748" s="1" t="str">
        <f t="shared" si="250"/>
        <v>Si</v>
      </c>
      <c r="K1748" s="1" t="str">
        <f t="shared" si="251"/>
        <v/>
      </c>
    </row>
    <row r="1749" spans="1:11" x14ac:dyDescent="0.3">
      <c r="A1749" s="1">
        <v>33</v>
      </c>
      <c r="B1749" s="1">
        <v>48</v>
      </c>
      <c r="C1749" s="12">
        <f t="shared" si="243"/>
        <v>0.60000000000000009</v>
      </c>
      <c r="D1749" s="12">
        <f t="shared" si="244"/>
        <v>1.7250000000000001</v>
      </c>
      <c r="E1749" s="12">
        <f t="shared" si="245"/>
        <v>11.021467562666666</v>
      </c>
      <c r="F1749" s="12">
        <f t="shared" si="246"/>
        <v>11.021467562666666</v>
      </c>
      <c r="G1749" s="12">
        <f t="shared" si="247"/>
        <v>14.43321216</v>
      </c>
      <c r="H1749" s="12">
        <f t="shared" si="248"/>
        <v>14.43321216</v>
      </c>
      <c r="I1749" s="1" t="str">
        <f t="shared" si="249"/>
        <v>No</v>
      </c>
      <c r="J1749" s="1" t="str">
        <f t="shared" si="250"/>
        <v>Si</v>
      </c>
      <c r="K1749" s="1" t="str">
        <f t="shared" si="251"/>
        <v/>
      </c>
    </row>
    <row r="1750" spans="1:11" x14ac:dyDescent="0.3">
      <c r="A1750" s="1">
        <v>33</v>
      </c>
      <c r="B1750" s="1">
        <v>49</v>
      </c>
      <c r="C1750" s="12">
        <f t="shared" si="243"/>
        <v>0.60000000000000009</v>
      </c>
      <c r="D1750" s="12">
        <f t="shared" si="244"/>
        <v>1.7999999999999998</v>
      </c>
      <c r="E1750" s="12">
        <f t="shared" si="245"/>
        <v>11.018979470222222</v>
      </c>
      <c r="F1750" s="12">
        <f t="shared" si="246"/>
        <v>11.018979470222222</v>
      </c>
      <c r="G1750" s="12">
        <f t="shared" si="247"/>
        <v>14.429707804444444</v>
      </c>
      <c r="H1750" s="12">
        <f t="shared" si="248"/>
        <v>14.429707804444444</v>
      </c>
      <c r="I1750" s="1" t="str">
        <f t="shared" si="249"/>
        <v>No</v>
      </c>
      <c r="J1750" s="1" t="str">
        <f t="shared" si="250"/>
        <v>Si</v>
      </c>
      <c r="K1750" s="1" t="str">
        <f t="shared" si="251"/>
        <v/>
      </c>
    </row>
    <row r="1751" spans="1:11" x14ac:dyDescent="0.3">
      <c r="A1751" s="1">
        <v>33</v>
      </c>
      <c r="B1751" s="1">
        <v>50</v>
      </c>
      <c r="C1751" s="12">
        <f t="shared" si="243"/>
        <v>0.60000000000000009</v>
      </c>
      <c r="D1751" s="12">
        <f t="shared" si="244"/>
        <v>1.875</v>
      </c>
      <c r="E1751" s="12">
        <f t="shared" si="245"/>
        <v>11.016491377777777</v>
      </c>
      <c r="F1751" s="12">
        <f t="shared" si="246"/>
        <v>11.016491377777777</v>
      </c>
      <c r="G1751" s="12">
        <f t="shared" si="247"/>
        <v>14.426203448888888</v>
      </c>
      <c r="H1751" s="12">
        <f t="shared" si="248"/>
        <v>14.426203448888888</v>
      </c>
      <c r="I1751" s="1" t="str">
        <f t="shared" si="249"/>
        <v>No</v>
      </c>
      <c r="J1751" s="1" t="str">
        <f t="shared" si="250"/>
        <v>Si</v>
      </c>
      <c r="K1751" s="1" t="str">
        <f t="shared" si="251"/>
        <v/>
      </c>
    </row>
    <row r="1752" spans="1:11" x14ac:dyDescent="0.3">
      <c r="A1752" s="1">
        <v>34</v>
      </c>
      <c r="B1752" s="1">
        <v>0</v>
      </c>
      <c r="C1752" s="12">
        <f t="shared" si="243"/>
        <v>0.67499999999999982</v>
      </c>
      <c r="D1752" s="12">
        <f t="shared" si="244"/>
        <v>-1.875</v>
      </c>
      <c r="E1752" s="12">
        <f t="shared" si="245"/>
        <v>11.141590044444444</v>
      </c>
      <c r="F1752" s="12">
        <f t="shared" si="246"/>
        <v>11.141590044444444</v>
      </c>
      <c r="G1752" s="12">
        <f t="shared" si="247"/>
        <v>14.602458879999999</v>
      </c>
      <c r="H1752" s="12">
        <f t="shared" si="248"/>
        <v>14.602458879999999</v>
      </c>
      <c r="I1752" s="1" t="str">
        <f t="shared" si="249"/>
        <v>No</v>
      </c>
      <c r="J1752" s="1" t="str">
        <f t="shared" si="250"/>
        <v>Si</v>
      </c>
      <c r="K1752" s="1" t="str">
        <f t="shared" si="251"/>
        <v/>
      </c>
    </row>
    <row r="1753" spans="1:11" x14ac:dyDescent="0.3">
      <c r="A1753" s="1">
        <v>34</v>
      </c>
      <c r="B1753" s="1">
        <v>1</v>
      </c>
      <c r="C1753" s="12">
        <f t="shared" si="243"/>
        <v>0.67499999999999982</v>
      </c>
      <c r="D1753" s="12">
        <f t="shared" si="244"/>
        <v>-1.8</v>
      </c>
      <c r="E1753" s="12">
        <f t="shared" si="245"/>
        <v>11.139101951999999</v>
      </c>
      <c r="F1753" s="12">
        <f t="shared" si="246"/>
        <v>11.139101951999999</v>
      </c>
      <c r="G1753" s="12">
        <f t="shared" si="247"/>
        <v>14.598954524444443</v>
      </c>
      <c r="H1753" s="12">
        <f t="shared" si="248"/>
        <v>14.598954524444443</v>
      </c>
      <c r="I1753" s="1" t="str">
        <f t="shared" si="249"/>
        <v>No</v>
      </c>
      <c r="J1753" s="1" t="str">
        <f t="shared" si="250"/>
        <v>Si</v>
      </c>
      <c r="K1753" s="1" t="str">
        <f t="shared" si="251"/>
        <v/>
      </c>
    </row>
    <row r="1754" spans="1:11" x14ac:dyDescent="0.3">
      <c r="A1754" s="1">
        <v>34</v>
      </c>
      <c r="B1754" s="1">
        <v>2</v>
      </c>
      <c r="C1754" s="12">
        <f t="shared" si="243"/>
        <v>0.67499999999999982</v>
      </c>
      <c r="D1754" s="12">
        <f t="shared" si="244"/>
        <v>-1.7250000000000001</v>
      </c>
      <c r="E1754" s="12">
        <f t="shared" si="245"/>
        <v>11.136613859555554</v>
      </c>
      <c r="F1754" s="12">
        <f t="shared" si="246"/>
        <v>11.136613859555554</v>
      </c>
      <c r="G1754" s="12">
        <f t="shared" si="247"/>
        <v>14.595450168888886</v>
      </c>
      <c r="H1754" s="12">
        <f t="shared" si="248"/>
        <v>14.595450168888886</v>
      </c>
      <c r="I1754" s="1" t="str">
        <f t="shared" si="249"/>
        <v>No</v>
      </c>
      <c r="J1754" s="1" t="str">
        <f t="shared" si="250"/>
        <v>Si</v>
      </c>
      <c r="K1754" s="1" t="str">
        <f t="shared" si="251"/>
        <v/>
      </c>
    </row>
    <row r="1755" spans="1:11" x14ac:dyDescent="0.3">
      <c r="A1755" s="1">
        <v>34</v>
      </c>
      <c r="B1755" s="1">
        <v>3</v>
      </c>
      <c r="C1755" s="12">
        <f t="shared" si="243"/>
        <v>0.67499999999999982</v>
      </c>
      <c r="D1755" s="12">
        <f t="shared" si="244"/>
        <v>-1.65</v>
      </c>
      <c r="E1755" s="12">
        <f t="shared" si="245"/>
        <v>11.13412576711111</v>
      </c>
      <c r="F1755" s="12">
        <f t="shared" si="246"/>
        <v>11.13412576711111</v>
      </c>
      <c r="G1755" s="12">
        <f t="shared" si="247"/>
        <v>14.591945813333332</v>
      </c>
      <c r="H1755" s="12">
        <f t="shared" si="248"/>
        <v>14.591945813333332</v>
      </c>
      <c r="I1755" s="1" t="str">
        <f t="shared" si="249"/>
        <v>No</v>
      </c>
      <c r="J1755" s="1" t="str">
        <f t="shared" si="250"/>
        <v>Si</v>
      </c>
      <c r="K1755" s="1" t="str">
        <f t="shared" si="251"/>
        <v/>
      </c>
    </row>
    <row r="1756" spans="1:11" x14ac:dyDescent="0.3">
      <c r="A1756" s="1">
        <v>34</v>
      </c>
      <c r="B1756" s="1">
        <v>4</v>
      </c>
      <c r="C1756" s="12">
        <f t="shared" si="243"/>
        <v>0.67499999999999982</v>
      </c>
      <c r="D1756" s="12">
        <f t="shared" si="244"/>
        <v>-1.575</v>
      </c>
      <c r="E1756" s="12">
        <f t="shared" si="245"/>
        <v>11.131637674666665</v>
      </c>
      <c r="F1756" s="12">
        <f t="shared" si="246"/>
        <v>11.131637674666665</v>
      </c>
      <c r="G1756" s="12">
        <f t="shared" si="247"/>
        <v>14.588441457777776</v>
      </c>
      <c r="H1756" s="12">
        <f t="shared" si="248"/>
        <v>14.588441457777776</v>
      </c>
      <c r="I1756" s="1" t="str">
        <f t="shared" si="249"/>
        <v>No</v>
      </c>
      <c r="J1756" s="1" t="str">
        <f t="shared" si="250"/>
        <v>Si</v>
      </c>
      <c r="K1756" s="1" t="str">
        <f t="shared" si="251"/>
        <v/>
      </c>
    </row>
    <row r="1757" spans="1:11" x14ac:dyDescent="0.3">
      <c r="A1757" s="1">
        <v>34</v>
      </c>
      <c r="B1757" s="1">
        <v>5</v>
      </c>
      <c r="C1757" s="12">
        <f t="shared" si="243"/>
        <v>0.67499999999999982</v>
      </c>
      <c r="D1757" s="12">
        <f t="shared" si="244"/>
        <v>-1.5</v>
      </c>
      <c r="E1757" s="12">
        <f t="shared" si="245"/>
        <v>11.129149582222221</v>
      </c>
      <c r="F1757" s="12">
        <f t="shared" si="246"/>
        <v>11.129149582222221</v>
      </c>
      <c r="G1757" s="12">
        <f t="shared" si="247"/>
        <v>14.58493710222222</v>
      </c>
      <c r="H1757" s="12">
        <f t="shared" si="248"/>
        <v>14.58493710222222</v>
      </c>
      <c r="I1757" s="1" t="str">
        <f t="shared" si="249"/>
        <v>No</v>
      </c>
      <c r="J1757" s="1" t="str">
        <f t="shared" si="250"/>
        <v>Si</v>
      </c>
      <c r="K1757" s="1" t="str">
        <f t="shared" si="251"/>
        <v/>
      </c>
    </row>
    <row r="1758" spans="1:11" x14ac:dyDescent="0.3">
      <c r="A1758" s="1">
        <v>34</v>
      </c>
      <c r="B1758" s="1">
        <v>6</v>
      </c>
      <c r="C1758" s="12">
        <f t="shared" si="243"/>
        <v>0.67499999999999982</v>
      </c>
      <c r="D1758" s="12">
        <f t="shared" si="244"/>
        <v>-1.425</v>
      </c>
      <c r="E1758" s="12">
        <f t="shared" si="245"/>
        <v>11.126661489777776</v>
      </c>
      <c r="F1758" s="12">
        <f t="shared" si="246"/>
        <v>11.126661489777776</v>
      </c>
      <c r="G1758" s="12">
        <f t="shared" si="247"/>
        <v>14.581432746666666</v>
      </c>
      <c r="H1758" s="12">
        <f t="shared" si="248"/>
        <v>14.581432746666666</v>
      </c>
      <c r="I1758" s="1" t="str">
        <f t="shared" si="249"/>
        <v>No</v>
      </c>
      <c r="J1758" s="1" t="str">
        <f t="shared" si="250"/>
        <v>Si</v>
      </c>
      <c r="K1758" s="1" t="str">
        <f t="shared" si="251"/>
        <v/>
      </c>
    </row>
    <row r="1759" spans="1:11" x14ac:dyDescent="0.3">
      <c r="A1759" s="1">
        <v>34</v>
      </c>
      <c r="B1759" s="1">
        <v>7</v>
      </c>
      <c r="C1759" s="12">
        <f t="shared" si="243"/>
        <v>0.67499999999999982</v>
      </c>
      <c r="D1759" s="12">
        <f t="shared" si="244"/>
        <v>-1.35</v>
      </c>
      <c r="E1759" s="12">
        <f t="shared" si="245"/>
        <v>11.124173397333333</v>
      </c>
      <c r="F1759" s="12">
        <f t="shared" si="246"/>
        <v>11.124173397333333</v>
      </c>
      <c r="G1759" s="12">
        <f t="shared" si="247"/>
        <v>14.57792839111111</v>
      </c>
      <c r="H1759" s="12">
        <f t="shared" si="248"/>
        <v>14.57792839111111</v>
      </c>
      <c r="I1759" s="1" t="str">
        <f t="shared" si="249"/>
        <v>No</v>
      </c>
      <c r="J1759" s="1" t="str">
        <f t="shared" si="250"/>
        <v>Si</v>
      </c>
      <c r="K1759" s="1" t="str">
        <f t="shared" si="251"/>
        <v/>
      </c>
    </row>
    <row r="1760" spans="1:11" x14ac:dyDescent="0.3">
      <c r="A1760" s="1">
        <v>34</v>
      </c>
      <c r="B1760" s="1">
        <v>8</v>
      </c>
      <c r="C1760" s="12">
        <f t="shared" si="243"/>
        <v>0.67499999999999982</v>
      </c>
      <c r="D1760" s="12">
        <f t="shared" si="244"/>
        <v>-1.2749999999999999</v>
      </c>
      <c r="E1760" s="12">
        <f t="shared" si="245"/>
        <v>11.121685304888889</v>
      </c>
      <c r="F1760" s="12">
        <f t="shared" si="246"/>
        <v>11.121685304888889</v>
      </c>
      <c r="G1760" s="12">
        <f t="shared" si="247"/>
        <v>14.574424035555554</v>
      </c>
      <c r="H1760" s="12">
        <f t="shared" si="248"/>
        <v>14.574424035555554</v>
      </c>
      <c r="I1760" s="1" t="str">
        <f t="shared" si="249"/>
        <v>No</v>
      </c>
      <c r="J1760" s="1" t="str">
        <f t="shared" si="250"/>
        <v>Si</v>
      </c>
      <c r="K1760" s="1" t="str">
        <f t="shared" si="251"/>
        <v/>
      </c>
    </row>
    <row r="1761" spans="1:11" x14ac:dyDescent="0.3">
      <c r="A1761" s="1">
        <v>34</v>
      </c>
      <c r="B1761" s="1">
        <v>9</v>
      </c>
      <c r="C1761" s="12">
        <f t="shared" si="243"/>
        <v>0.67499999999999982</v>
      </c>
      <c r="D1761" s="12">
        <f t="shared" si="244"/>
        <v>-1.2</v>
      </c>
      <c r="E1761" s="12">
        <f t="shared" si="245"/>
        <v>11.119197212444444</v>
      </c>
      <c r="F1761" s="12">
        <f t="shared" si="246"/>
        <v>11.119197212444444</v>
      </c>
      <c r="G1761" s="12">
        <f t="shared" si="247"/>
        <v>14.570919679999998</v>
      </c>
      <c r="H1761" s="12">
        <f t="shared" si="248"/>
        <v>14.570919679999998</v>
      </c>
      <c r="I1761" s="1" t="str">
        <f t="shared" si="249"/>
        <v>No</v>
      </c>
      <c r="J1761" s="1" t="str">
        <f t="shared" si="250"/>
        <v>Si</v>
      </c>
      <c r="K1761" s="1" t="str">
        <f t="shared" si="251"/>
        <v/>
      </c>
    </row>
    <row r="1762" spans="1:11" x14ac:dyDescent="0.3">
      <c r="A1762" s="1">
        <v>34</v>
      </c>
      <c r="B1762" s="1">
        <v>10</v>
      </c>
      <c r="C1762" s="12">
        <f t="shared" si="243"/>
        <v>0.67499999999999982</v>
      </c>
      <c r="D1762" s="12">
        <f t="shared" si="244"/>
        <v>-1.125</v>
      </c>
      <c r="E1762" s="12">
        <f t="shared" si="245"/>
        <v>11.116709119999999</v>
      </c>
      <c r="F1762" s="12">
        <f t="shared" si="246"/>
        <v>11.116709119999999</v>
      </c>
      <c r="G1762" s="12">
        <f t="shared" si="247"/>
        <v>14.567415324444443</v>
      </c>
      <c r="H1762" s="12">
        <f t="shared" si="248"/>
        <v>14.567415324444443</v>
      </c>
      <c r="I1762" s="1" t="str">
        <f t="shared" si="249"/>
        <v>No</v>
      </c>
      <c r="J1762" s="1" t="str">
        <f t="shared" si="250"/>
        <v>Si</v>
      </c>
      <c r="K1762" s="1" t="str">
        <f t="shared" si="251"/>
        <v/>
      </c>
    </row>
    <row r="1763" spans="1:11" x14ac:dyDescent="0.3">
      <c r="A1763" s="1">
        <v>34</v>
      </c>
      <c r="B1763" s="1">
        <v>11</v>
      </c>
      <c r="C1763" s="12">
        <f t="shared" si="243"/>
        <v>0.67499999999999982</v>
      </c>
      <c r="D1763" s="12">
        <f t="shared" si="244"/>
        <v>-1.05</v>
      </c>
      <c r="E1763" s="12">
        <f t="shared" si="245"/>
        <v>11.114221027555555</v>
      </c>
      <c r="F1763" s="12">
        <f t="shared" si="246"/>
        <v>11.114221027555555</v>
      </c>
      <c r="G1763" s="12">
        <f t="shared" si="247"/>
        <v>14.563910968888887</v>
      </c>
      <c r="H1763" s="12">
        <f t="shared" si="248"/>
        <v>14.563910968888887</v>
      </c>
      <c r="I1763" s="1" t="str">
        <f t="shared" si="249"/>
        <v>No</v>
      </c>
      <c r="J1763" s="1" t="str">
        <f t="shared" si="250"/>
        <v>Si</v>
      </c>
      <c r="K1763" s="1" t="str">
        <f t="shared" si="251"/>
        <v/>
      </c>
    </row>
    <row r="1764" spans="1:11" x14ac:dyDescent="0.3">
      <c r="A1764" s="1">
        <v>34</v>
      </c>
      <c r="B1764" s="1">
        <v>12</v>
      </c>
      <c r="C1764" s="12">
        <f t="shared" si="243"/>
        <v>0.67499999999999982</v>
      </c>
      <c r="D1764" s="12">
        <f t="shared" si="244"/>
        <v>-0.97499999999999998</v>
      </c>
      <c r="E1764" s="12">
        <f t="shared" si="245"/>
        <v>11.11173293511111</v>
      </c>
      <c r="F1764" s="12">
        <f t="shared" si="246"/>
        <v>11.11173293511111</v>
      </c>
      <c r="G1764" s="12">
        <f t="shared" si="247"/>
        <v>14.560406613333331</v>
      </c>
      <c r="H1764" s="12">
        <f t="shared" si="248"/>
        <v>14.560406613333331</v>
      </c>
      <c r="I1764" s="1" t="str">
        <f t="shared" si="249"/>
        <v>No</v>
      </c>
      <c r="J1764" s="1" t="str">
        <f t="shared" si="250"/>
        <v>Si</v>
      </c>
      <c r="K1764" s="1" t="str">
        <f t="shared" si="251"/>
        <v/>
      </c>
    </row>
    <row r="1765" spans="1:11" x14ac:dyDescent="0.3">
      <c r="A1765" s="1">
        <v>34</v>
      </c>
      <c r="B1765" s="1">
        <v>13</v>
      </c>
      <c r="C1765" s="12">
        <f t="shared" si="243"/>
        <v>0.67499999999999982</v>
      </c>
      <c r="D1765" s="12">
        <f t="shared" si="244"/>
        <v>-0.9</v>
      </c>
      <c r="E1765" s="12">
        <f t="shared" si="245"/>
        <v>11.109244842666666</v>
      </c>
      <c r="F1765" s="12">
        <f t="shared" si="246"/>
        <v>11.109244842666666</v>
      </c>
      <c r="G1765" s="12">
        <f t="shared" si="247"/>
        <v>14.556902257777777</v>
      </c>
      <c r="H1765" s="12">
        <f t="shared" si="248"/>
        <v>14.556902257777777</v>
      </c>
      <c r="I1765" s="1" t="str">
        <f t="shared" si="249"/>
        <v>No</v>
      </c>
      <c r="J1765" s="1" t="str">
        <f t="shared" si="250"/>
        <v>Si</v>
      </c>
      <c r="K1765" s="1" t="str">
        <f t="shared" si="251"/>
        <v/>
      </c>
    </row>
    <row r="1766" spans="1:11" x14ac:dyDescent="0.3">
      <c r="A1766" s="1">
        <v>34</v>
      </c>
      <c r="B1766" s="1">
        <v>14</v>
      </c>
      <c r="C1766" s="12">
        <f t="shared" si="243"/>
        <v>0.67499999999999982</v>
      </c>
      <c r="D1766" s="12">
        <f t="shared" si="244"/>
        <v>-0.82499999999999996</v>
      </c>
      <c r="E1766" s="12">
        <f t="shared" si="245"/>
        <v>11.106756750222221</v>
      </c>
      <c r="F1766" s="12">
        <f t="shared" si="246"/>
        <v>11.106756750222221</v>
      </c>
      <c r="G1766" s="12">
        <f t="shared" si="247"/>
        <v>14.553397902222221</v>
      </c>
      <c r="H1766" s="12">
        <f t="shared" si="248"/>
        <v>14.553397902222221</v>
      </c>
      <c r="I1766" s="1" t="str">
        <f t="shared" si="249"/>
        <v>No</v>
      </c>
      <c r="J1766" s="1" t="str">
        <f t="shared" si="250"/>
        <v>Si</v>
      </c>
      <c r="K1766" s="1" t="str">
        <f t="shared" si="251"/>
        <v/>
      </c>
    </row>
    <row r="1767" spans="1:11" x14ac:dyDescent="0.3">
      <c r="A1767" s="1">
        <v>34</v>
      </c>
      <c r="B1767" s="1">
        <v>15</v>
      </c>
      <c r="C1767" s="12">
        <f t="shared" si="243"/>
        <v>0.67499999999999982</v>
      </c>
      <c r="D1767" s="12">
        <f t="shared" si="244"/>
        <v>-0.75</v>
      </c>
      <c r="E1767" s="12">
        <f t="shared" si="245"/>
        <v>11.104268657777776</v>
      </c>
      <c r="F1767" s="12">
        <f t="shared" si="246"/>
        <v>11.104268657777776</v>
      </c>
      <c r="G1767" s="12">
        <f t="shared" si="247"/>
        <v>14.549893546666665</v>
      </c>
      <c r="H1767" s="12">
        <f t="shared" si="248"/>
        <v>14.549893546666665</v>
      </c>
      <c r="I1767" s="1" t="str">
        <f t="shared" si="249"/>
        <v>No</v>
      </c>
      <c r="J1767" s="1" t="str">
        <f t="shared" si="250"/>
        <v>Si</v>
      </c>
      <c r="K1767" s="1" t="str">
        <f t="shared" si="251"/>
        <v/>
      </c>
    </row>
    <row r="1768" spans="1:11" x14ac:dyDescent="0.3">
      <c r="A1768" s="1">
        <v>34</v>
      </c>
      <c r="B1768" s="1">
        <v>16</v>
      </c>
      <c r="C1768" s="12">
        <f t="shared" si="243"/>
        <v>0.67499999999999982</v>
      </c>
      <c r="D1768" s="12">
        <f t="shared" si="244"/>
        <v>-0.67500000000000004</v>
      </c>
      <c r="E1768" s="12">
        <f t="shared" si="245"/>
        <v>11.101780565333332</v>
      </c>
      <c r="F1768" s="12">
        <f t="shared" si="246"/>
        <v>11.101780565333332</v>
      </c>
      <c r="G1768" s="12">
        <f t="shared" si="247"/>
        <v>14.546389191111109</v>
      </c>
      <c r="H1768" s="12">
        <f t="shared" si="248"/>
        <v>14.546389191111109</v>
      </c>
      <c r="I1768" s="1" t="str">
        <f t="shared" si="249"/>
        <v>No</v>
      </c>
      <c r="J1768" s="1" t="str">
        <f t="shared" si="250"/>
        <v>Si</v>
      </c>
      <c r="K1768" s="1" t="str">
        <f t="shared" si="251"/>
        <v/>
      </c>
    </row>
    <row r="1769" spans="1:11" x14ac:dyDescent="0.3">
      <c r="A1769" s="1">
        <v>34</v>
      </c>
      <c r="B1769" s="1">
        <v>17</v>
      </c>
      <c r="C1769" s="12">
        <f t="shared" si="243"/>
        <v>0.67499999999999982</v>
      </c>
      <c r="D1769" s="12">
        <f t="shared" si="244"/>
        <v>-0.60000000000000009</v>
      </c>
      <c r="E1769" s="12">
        <f t="shared" si="245"/>
        <v>11.099292472888887</v>
      </c>
      <c r="F1769" s="12">
        <f t="shared" si="246"/>
        <v>11.099292472888887</v>
      </c>
      <c r="G1769" s="12">
        <f t="shared" si="247"/>
        <v>14.542884835555554</v>
      </c>
      <c r="H1769" s="12">
        <f t="shared" si="248"/>
        <v>14.542884835555554</v>
      </c>
      <c r="I1769" s="1" t="str">
        <f t="shared" si="249"/>
        <v>No</v>
      </c>
      <c r="J1769" s="1" t="str">
        <f t="shared" si="250"/>
        <v>Si</v>
      </c>
      <c r="K1769" s="1" t="str">
        <f t="shared" si="251"/>
        <v/>
      </c>
    </row>
    <row r="1770" spans="1:11" x14ac:dyDescent="0.3">
      <c r="A1770" s="1">
        <v>34</v>
      </c>
      <c r="B1770" s="1">
        <v>18</v>
      </c>
      <c r="C1770" s="12">
        <f t="shared" si="243"/>
        <v>0.67499999999999982</v>
      </c>
      <c r="D1770" s="12">
        <f t="shared" si="244"/>
        <v>-0.52499999999999991</v>
      </c>
      <c r="E1770" s="12">
        <f t="shared" si="245"/>
        <v>11.096804380444443</v>
      </c>
      <c r="F1770" s="12">
        <f t="shared" si="246"/>
        <v>11.096804380444443</v>
      </c>
      <c r="G1770" s="12">
        <f t="shared" si="247"/>
        <v>14.539380479999998</v>
      </c>
      <c r="H1770" s="12">
        <f t="shared" si="248"/>
        <v>14.539380479999998</v>
      </c>
      <c r="I1770" s="1" t="str">
        <f t="shared" si="249"/>
        <v>No</v>
      </c>
      <c r="J1770" s="1" t="str">
        <f t="shared" si="250"/>
        <v>Si</v>
      </c>
      <c r="K1770" s="1" t="str">
        <f t="shared" si="251"/>
        <v/>
      </c>
    </row>
    <row r="1771" spans="1:11" x14ac:dyDescent="0.3">
      <c r="A1771" s="1">
        <v>34</v>
      </c>
      <c r="B1771" s="1">
        <v>19</v>
      </c>
      <c r="C1771" s="12">
        <f t="shared" si="243"/>
        <v>0.67499999999999982</v>
      </c>
      <c r="D1771" s="12">
        <f t="shared" si="244"/>
        <v>-0.44999999999999996</v>
      </c>
      <c r="E1771" s="12">
        <f t="shared" si="245"/>
        <v>11.094316288</v>
      </c>
      <c r="F1771" s="12">
        <f t="shared" si="246"/>
        <v>11.094316288</v>
      </c>
      <c r="G1771" s="12">
        <f t="shared" si="247"/>
        <v>14.535876124444442</v>
      </c>
      <c r="H1771" s="12">
        <f t="shared" si="248"/>
        <v>14.535876124444442</v>
      </c>
      <c r="I1771" s="1" t="str">
        <f t="shared" si="249"/>
        <v>No</v>
      </c>
      <c r="J1771" s="1" t="str">
        <f t="shared" si="250"/>
        <v>Si</v>
      </c>
      <c r="K1771" s="1" t="str">
        <f t="shared" si="251"/>
        <v/>
      </c>
    </row>
    <row r="1772" spans="1:11" x14ac:dyDescent="0.3">
      <c r="A1772" s="1">
        <v>34</v>
      </c>
      <c r="B1772" s="1">
        <v>20</v>
      </c>
      <c r="C1772" s="12">
        <f t="shared" si="243"/>
        <v>0.67499999999999982</v>
      </c>
      <c r="D1772" s="12">
        <f t="shared" si="244"/>
        <v>-0.375</v>
      </c>
      <c r="E1772" s="12">
        <f t="shared" si="245"/>
        <v>11.091828195555555</v>
      </c>
      <c r="F1772" s="12">
        <f t="shared" si="246"/>
        <v>11.091828195555555</v>
      </c>
      <c r="G1772" s="12">
        <f t="shared" si="247"/>
        <v>14.532371768888888</v>
      </c>
      <c r="H1772" s="12">
        <f t="shared" si="248"/>
        <v>14.532371768888888</v>
      </c>
      <c r="I1772" s="1" t="str">
        <f t="shared" si="249"/>
        <v>No</v>
      </c>
      <c r="J1772" s="1" t="str">
        <f t="shared" si="250"/>
        <v>Si</v>
      </c>
      <c r="K1772" s="1" t="str">
        <f t="shared" si="251"/>
        <v/>
      </c>
    </row>
    <row r="1773" spans="1:11" x14ac:dyDescent="0.3">
      <c r="A1773" s="1">
        <v>34</v>
      </c>
      <c r="B1773" s="1">
        <v>21</v>
      </c>
      <c r="C1773" s="12">
        <f t="shared" si="243"/>
        <v>0.67499999999999982</v>
      </c>
      <c r="D1773" s="12">
        <f t="shared" si="244"/>
        <v>-0.30000000000000004</v>
      </c>
      <c r="E1773" s="12">
        <f t="shared" si="245"/>
        <v>11.089340103111111</v>
      </c>
      <c r="F1773" s="12">
        <f t="shared" si="246"/>
        <v>11.089340103111111</v>
      </c>
      <c r="G1773" s="12">
        <f t="shared" si="247"/>
        <v>14.528867413333332</v>
      </c>
      <c r="H1773" s="12">
        <f t="shared" si="248"/>
        <v>14.528867413333332</v>
      </c>
      <c r="I1773" s="1" t="str">
        <f t="shared" si="249"/>
        <v>No</v>
      </c>
      <c r="J1773" s="1" t="str">
        <f t="shared" si="250"/>
        <v>Si</v>
      </c>
      <c r="K1773" s="1" t="str">
        <f t="shared" si="251"/>
        <v/>
      </c>
    </row>
    <row r="1774" spans="1:11" x14ac:dyDescent="0.3">
      <c r="A1774" s="1">
        <v>34</v>
      </c>
      <c r="B1774" s="1">
        <v>22</v>
      </c>
      <c r="C1774" s="12">
        <f t="shared" si="243"/>
        <v>0.67499999999999982</v>
      </c>
      <c r="D1774" s="12">
        <f t="shared" si="244"/>
        <v>-0.22500000000000009</v>
      </c>
      <c r="E1774" s="12">
        <f t="shared" si="245"/>
        <v>11.086852010666666</v>
      </c>
      <c r="F1774" s="12">
        <f t="shared" si="246"/>
        <v>11.086852010666666</v>
      </c>
      <c r="G1774" s="12">
        <f t="shared" si="247"/>
        <v>14.525363057777776</v>
      </c>
      <c r="H1774" s="12">
        <f t="shared" si="248"/>
        <v>14.525363057777776</v>
      </c>
      <c r="I1774" s="1" t="str">
        <f t="shared" si="249"/>
        <v>No</v>
      </c>
      <c r="J1774" s="1" t="str">
        <f t="shared" si="250"/>
        <v>Si</v>
      </c>
      <c r="K1774" s="1" t="str">
        <f t="shared" si="251"/>
        <v/>
      </c>
    </row>
    <row r="1775" spans="1:11" x14ac:dyDescent="0.3">
      <c r="A1775" s="1">
        <v>34</v>
      </c>
      <c r="B1775" s="1">
        <v>23</v>
      </c>
      <c r="C1775" s="12">
        <f t="shared" si="243"/>
        <v>0.67499999999999982</v>
      </c>
      <c r="D1775" s="12">
        <f t="shared" si="244"/>
        <v>-0.14999999999999991</v>
      </c>
      <c r="E1775" s="12">
        <f t="shared" si="245"/>
        <v>11.084363918222222</v>
      </c>
      <c r="F1775" s="12">
        <f t="shared" si="246"/>
        <v>11.084363918222222</v>
      </c>
      <c r="G1775" s="12">
        <f t="shared" si="247"/>
        <v>14.52185870222222</v>
      </c>
      <c r="H1775" s="12">
        <f t="shared" si="248"/>
        <v>14.52185870222222</v>
      </c>
      <c r="I1775" s="1" t="str">
        <f t="shared" si="249"/>
        <v>No</v>
      </c>
      <c r="J1775" s="1" t="str">
        <f t="shared" si="250"/>
        <v>Si</v>
      </c>
      <c r="K1775" s="1" t="str">
        <f t="shared" si="251"/>
        <v/>
      </c>
    </row>
    <row r="1776" spans="1:11" x14ac:dyDescent="0.3">
      <c r="A1776" s="1">
        <v>34</v>
      </c>
      <c r="B1776" s="1">
        <v>24</v>
      </c>
      <c r="C1776" s="12">
        <f t="shared" si="243"/>
        <v>0.67499999999999982</v>
      </c>
      <c r="D1776" s="12">
        <f t="shared" si="244"/>
        <v>-7.4999999999999956E-2</v>
      </c>
      <c r="E1776" s="12">
        <f t="shared" si="245"/>
        <v>11.081875825777777</v>
      </c>
      <c r="F1776" s="12">
        <f t="shared" si="246"/>
        <v>11.081875825777777</v>
      </c>
      <c r="G1776" s="12">
        <f t="shared" si="247"/>
        <v>14.518354346666666</v>
      </c>
      <c r="H1776" s="12">
        <f t="shared" si="248"/>
        <v>14.518354346666666</v>
      </c>
      <c r="I1776" s="1" t="str">
        <f t="shared" si="249"/>
        <v>No</v>
      </c>
      <c r="J1776" s="1" t="str">
        <f t="shared" si="250"/>
        <v>Si</v>
      </c>
      <c r="K1776" s="1" t="str">
        <f t="shared" si="251"/>
        <v/>
      </c>
    </row>
    <row r="1777" spans="1:11" x14ac:dyDescent="0.3">
      <c r="A1777" s="1">
        <v>34</v>
      </c>
      <c r="B1777" s="1">
        <v>25</v>
      </c>
      <c r="C1777" s="12">
        <f t="shared" si="243"/>
        <v>0.67499999999999982</v>
      </c>
      <c r="D1777" s="12">
        <f t="shared" si="244"/>
        <v>0</v>
      </c>
      <c r="E1777" s="12">
        <f t="shared" si="245"/>
        <v>11.079387733333332</v>
      </c>
      <c r="F1777" s="12">
        <f t="shared" si="246"/>
        <v>11.079387733333332</v>
      </c>
      <c r="G1777" s="12">
        <f t="shared" si="247"/>
        <v>14.51484999111111</v>
      </c>
      <c r="H1777" s="12">
        <f t="shared" si="248"/>
        <v>14.51484999111111</v>
      </c>
      <c r="I1777" s="1" t="str">
        <f t="shared" si="249"/>
        <v>No</v>
      </c>
      <c r="J1777" s="1" t="str">
        <f t="shared" si="250"/>
        <v>Si</v>
      </c>
      <c r="K1777" s="1" t="str">
        <f t="shared" si="251"/>
        <v/>
      </c>
    </row>
    <row r="1778" spans="1:11" x14ac:dyDescent="0.3">
      <c r="A1778" s="1">
        <v>34</v>
      </c>
      <c r="B1778" s="1">
        <v>26</v>
      </c>
      <c r="C1778" s="12">
        <f t="shared" si="243"/>
        <v>0.67499999999999982</v>
      </c>
      <c r="D1778" s="12">
        <f t="shared" si="244"/>
        <v>7.4999999999999956E-2</v>
      </c>
      <c r="E1778" s="12">
        <f t="shared" si="245"/>
        <v>11.076899640888888</v>
      </c>
      <c r="F1778" s="12">
        <f t="shared" si="246"/>
        <v>11.076899640888888</v>
      </c>
      <c r="G1778" s="12">
        <f t="shared" si="247"/>
        <v>14.511345635555553</v>
      </c>
      <c r="H1778" s="12">
        <f t="shared" si="248"/>
        <v>14.511345635555553</v>
      </c>
      <c r="I1778" s="1" t="str">
        <f t="shared" si="249"/>
        <v>No</v>
      </c>
      <c r="J1778" s="1" t="str">
        <f t="shared" si="250"/>
        <v>Si</v>
      </c>
      <c r="K1778" s="1" t="str">
        <f t="shared" si="251"/>
        <v/>
      </c>
    </row>
    <row r="1779" spans="1:11" x14ac:dyDescent="0.3">
      <c r="A1779" s="1">
        <v>34</v>
      </c>
      <c r="B1779" s="1">
        <v>27</v>
      </c>
      <c r="C1779" s="12">
        <f t="shared" si="243"/>
        <v>0.67499999999999982</v>
      </c>
      <c r="D1779" s="12">
        <f t="shared" si="244"/>
        <v>0.14999999999999991</v>
      </c>
      <c r="E1779" s="12">
        <f t="shared" si="245"/>
        <v>11.074411548444443</v>
      </c>
      <c r="F1779" s="12">
        <f t="shared" si="246"/>
        <v>11.074411548444443</v>
      </c>
      <c r="G1779" s="12">
        <f t="shared" si="247"/>
        <v>14.507841279999999</v>
      </c>
      <c r="H1779" s="12">
        <f t="shared" si="248"/>
        <v>14.507841279999999</v>
      </c>
      <c r="I1779" s="1" t="str">
        <f t="shared" si="249"/>
        <v>No</v>
      </c>
      <c r="J1779" s="1" t="str">
        <f t="shared" si="250"/>
        <v>Si</v>
      </c>
      <c r="K1779" s="1" t="str">
        <f t="shared" si="251"/>
        <v/>
      </c>
    </row>
    <row r="1780" spans="1:11" x14ac:dyDescent="0.3">
      <c r="A1780" s="1">
        <v>34</v>
      </c>
      <c r="B1780" s="1">
        <v>28</v>
      </c>
      <c r="C1780" s="12">
        <f t="shared" si="243"/>
        <v>0.67499999999999982</v>
      </c>
      <c r="D1780" s="12">
        <f t="shared" si="244"/>
        <v>0.22500000000000009</v>
      </c>
      <c r="E1780" s="12">
        <f t="shared" si="245"/>
        <v>11.071923455999999</v>
      </c>
      <c r="F1780" s="12">
        <f t="shared" si="246"/>
        <v>11.071923455999999</v>
      </c>
      <c r="G1780" s="12">
        <f t="shared" si="247"/>
        <v>14.504336924444443</v>
      </c>
      <c r="H1780" s="12">
        <f t="shared" si="248"/>
        <v>14.504336924444443</v>
      </c>
      <c r="I1780" s="1" t="str">
        <f t="shared" si="249"/>
        <v>No</v>
      </c>
      <c r="J1780" s="1" t="str">
        <f t="shared" si="250"/>
        <v>Si</v>
      </c>
      <c r="K1780" s="1" t="str">
        <f t="shared" si="251"/>
        <v/>
      </c>
    </row>
    <row r="1781" spans="1:11" x14ac:dyDescent="0.3">
      <c r="A1781" s="1">
        <v>34</v>
      </c>
      <c r="B1781" s="1">
        <v>29</v>
      </c>
      <c r="C1781" s="12">
        <f t="shared" si="243"/>
        <v>0.67499999999999982</v>
      </c>
      <c r="D1781" s="12">
        <f t="shared" si="244"/>
        <v>0.29999999999999982</v>
      </c>
      <c r="E1781" s="12">
        <f t="shared" si="245"/>
        <v>11.069435363555554</v>
      </c>
      <c r="F1781" s="12">
        <f t="shared" si="246"/>
        <v>11.069435363555554</v>
      </c>
      <c r="G1781" s="12">
        <f t="shared" si="247"/>
        <v>14.500832568888887</v>
      </c>
      <c r="H1781" s="12">
        <f t="shared" si="248"/>
        <v>14.500832568888887</v>
      </c>
      <c r="I1781" s="1" t="str">
        <f t="shared" si="249"/>
        <v>No</v>
      </c>
      <c r="J1781" s="1" t="str">
        <f t="shared" si="250"/>
        <v>Si</v>
      </c>
      <c r="K1781" s="1" t="str">
        <f t="shared" si="251"/>
        <v/>
      </c>
    </row>
    <row r="1782" spans="1:11" x14ac:dyDescent="0.3">
      <c r="A1782" s="1">
        <v>34</v>
      </c>
      <c r="B1782" s="1">
        <v>30</v>
      </c>
      <c r="C1782" s="12">
        <f t="shared" si="243"/>
        <v>0.67499999999999982</v>
      </c>
      <c r="D1782" s="12">
        <f t="shared" si="244"/>
        <v>0.375</v>
      </c>
      <c r="E1782" s="12">
        <f t="shared" si="245"/>
        <v>11.066947271111109</v>
      </c>
      <c r="F1782" s="12">
        <f t="shared" si="246"/>
        <v>11.066947271111109</v>
      </c>
      <c r="G1782" s="12">
        <f t="shared" si="247"/>
        <v>14.497328213333331</v>
      </c>
      <c r="H1782" s="12">
        <f t="shared" si="248"/>
        <v>14.497328213333331</v>
      </c>
      <c r="I1782" s="1" t="str">
        <f t="shared" si="249"/>
        <v>No</v>
      </c>
      <c r="J1782" s="1" t="str">
        <f t="shared" si="250"/>
        <v>Si</v>
      </c>
      <c r="K1782" s="1" t="str">
        <f t="shared" si="251"/>
        <v/>
      </c>
    </row>
    <row r="1783" spans="1:11" x14ac:dyDescent="0.3">
      <c r="A1783" s="1">
        <v>34</v>
      </c>
      <c r="B1783" s="1">
        <v>31</v>
      </c>
      <c r="C1783" s="12">
        <f t="shared" si="243"/>
        <v>0.67499999999999982</v>
      </c>
      <c r="D1783" s="12">
        <f t="shared" si="244"/>
        <v>0.45000000000000018</v>
      </c>
      <c r="E1783" s="12">
        <f t="shared" si="245"/>
        <v>11.064459178666665</v>
      </c>
      <c r="F1783" s="12">
        <f t="shared" si="246"/>
        <v>11.064459178666665</v>
      </c>
      <c r="G1783" s="12">
        <f t="shared" si="247"/>
        <v>14.493823857777777</v>
      </c>
      <c r="H1783" s="12">
        <f t="shared" si="248"/>
        <v>14.493823857777777</v>
      </c>
      <c r="I1783" s="1" t="str">
        <f t="shared" si="249"/>
        <v>No</v>
      </c>
      <c r="J1783" s="1" t="str">
        <f t="shared" si="250"/>
        <v>Si</v>
      </c>
      <c r="K1783" s="1" t="str">
        <f t="shared" si="251"/>
        <v/>
      </c>
    </row>
    <row r="1784" spans="1:11" x14ac:dyDescent="0.3">
      <c r="A1784" s="1">
        <v>34</v>
      </c>
      <c r="B1784" s="1">
        <v>32</v>
      </c>
      <c r="C1784" s="12">
        <f t="shared" si="243"/>
        <v>0.67499999999999982</v>
      </c>
      <c r="D1784" s="12">
        <f t="shared" si="244"/>
        <v>0.52499999999999991</v>
      </c>
      <c r="E1784" s="12">
        <f t="shared" si="245"/>
        <v>11.061971086222222</v>
      </c>
      <c r="F1784" s="12">
        <f t="shared" si="246"/>
        <v>11.061971086222222</v>
      </c>
      <c r="G1784" s="12">
        <f t="shared" si="247"/>
        <v>14.490319502222221</v>
      </c>
      <c r="H1784" s="12">
        <f t="shared" si="248"/>
        <v>14.490319502222221</v>
      </c>
      <c r="I1784" s="1" t="str">
        <f t="shared" si="249"/>
        <v>No</v>
      </c>
      <c r="J1784" s="1" t="str">
        <f t="shared" si="250"/>
        <v>Si</v>
      </c>
      <c r="K1784" s="1" t="str">
        <f t="shared" si="251"/>
        <v/>
      </c>
    </row>
    <row r="1785" spans="1:11" x14ac:dyDescent="0.3">
      <c r="A1785" s="1">
        <v>34</v>
      </c>
      <c r="B1785" s="1">
        <v>33</v>
      </c>
      <c r="C1785" s="12">
        <f t="shared" si="243"/>
        <v>0.67499999999999982</v>
      </c>
      <c r="D1785" s="12">
        <f t="shared" si="244"/>
        <v>0.60000000000000009</v>
      </c>
      <c r="E1785" s="12">
        <f t="shared" si="245"/>
        <v>11.059482993777777</v>
      </c>
      <c r="F1785" s="12">
        <f t="shared" si="246"/>
        <v>11.059482993777777</v>
      </c>
      <c r="G1785" s="12">
        <f t="shared" si="247"/>
        <v>14.486815146666665</v>
      </c>
      <c r="H1785" s="12">
        <f t="shared" si="248"/>
        <v>14.486815146666665</v>
      </c>
      <c r="I1785" s="1" t="str">
        <f t="shared" si="249"/>
        <v>No</v>
      </c>
      <c r="J1785" s="1" t="str">
        <f t="shared" si="250"/>
        <v>Si</v>
      </c>
      <c r="K1785" s="1" t="str">
        <f t="shared" si="251"/>
        <v/>
      </c>
    </row>
    <row r="1786" spans="1:11" x14ac:dyDescent="0.3">
      <c r="A1786" s="1">
        <v>34</v>
      </c>
      <c r="B1786" s="1">
        <v>34</v>
      </c>
      <c r="C1786" s="12">
        <f t="shared" si="243"/>
        <v>0.67499999999999982</v>
      </c>
      <c r="D1786" s="12">
        <f t="shared" si="244"/>
        <v>0.67499999999999982</v>
      </c>
      <c r="E1786" s="12">
        <f t="shared" si="245"/>
        <v>11.056994901333333</v>
      </c>
      <c r="F1786" s="12">
        <f t="shared" si="246"/>
        <v>11.056994901333333</v>
      </c>
      <c r="G1786" s="12">
        <f t="shared" si="247"/>
        <v>14.48331079111111</v>
      </c>
      <c r="H1786" s="12">
        <f t="shared" si="248"/>
        <v>14.48331079111111</v>
      </c>
      <c r="I1786" s="1" t="str">
        <f t="shared" si="249"/>
        <v>No</v>
      </c>
      <c r="J1786" s="1" t="str">
        <f t="shared" si="250"/>
        <v>Si</v>
      </c>
      <c r="K1786" s="1" t="str">
        <f t="shared" si="251"/>
        <v/>
      </c>
    </row>
    <row r="1787" spans="1:11" x14ac:dyDescent="0.3">
      <c r="A1787" s="1">
        <v>34</v>
      </c>
      <c r="B1787" s="1">
        <v>35</v>
      </c>
      <c r="C1787" s="12">
        <f t="shared" si="243"/>
        <v>0.67499999999999982</v>
      </c>
      <c r="D1787" s="12">
        <f t="shared" si="244"/>
        <v>0.75</v>
      </c>
      <c r="E1787" s="12">
        <f t="shared" si="245"/>
        <v>11.054506808888888</v>
      </c>
      <c r="F1787" s="12">
        <f t="shared" si="246"/>
        <v>11.054506808888888</v>
      </c>
      <c r="G1787" s="12">
        <f t="shared" si="247"/>
        <v>14.479806435555554</v>
      </c>
      <c r="H1787" s="12">
        <f t="shared" si="248"/>
        <v>14.479806435555554</v>
      </c>
      <c r="I1787" s="1" t="str">
        <f t="shared" si="249"/>
        <v>No</v>
      </c>
      <c r="J1787" s="1" t="str">
        <f t="shared" si="250"/>
        <v>Si</v>
      </c>
      <c r="K1787" s="1" t="str">
        <f t="shared" si="251"/>
        <v/>
      </c>
    </row>
    <row r="1788" spans="1:11" x14ac:dyDescent="0.3">
      <c r="A1788" s="1">
        <v>34</v>
      </c>
      <c r="B1788" s="1">
        <v>36</v>
      </c>
      <c r="C1788" s="12">
        <f t="shared" si="243"/>
        <v>0.67499999999999982</v>
      </c>
      <c r="D1788" s="12">
        <f t="shared" si="244"/>
        <v>0.82500000000000018</v>
      </c>
      <c r="E1788" s="12">
        <f t="shared" si="245"/>
        <v>11.052018716444444</v>
      </c>
      <c r="F1788" s="12">
        <f t="shared" si="246"/>
        <v>11.052018716444444</v>
      </c>
      <c r="G1788" s="12">
        <f t="shared" si="247"/>
        <v>14.476302079999998</v>
      </c>
      <c r="H1788" s="12">
        <f t="shared" si="248"/>
        <v>14.476302079999998</v>
      </c>
      <c r="I1788" s="1" t="str">
        <f t="shared" si="249"/>
        <v>No</v>
      </c>
      <c r="J1788" s="1" t="str">
        <f t="shared" si="250"/>
        <v>Si</v>
      </c>
      <c r="K1788" s="1" t="str">
        <f t="shared" si="251"/>
        <v/>
      </c>
    </row>
    <row r="1789" spans="1:11" x14ac:dyDescent="0.3">
      <c r="A1789" s="1">
        <v>34</v>
      </c>
      <c r="B1789" s="1">
        <v>37</v>
      </c>
      <c r="C1789" s="12">
        <f t="shared" si="243"/>
        <v>0.67499999999999982</v>
      </c>
      <c r="D1789" s="12">
        <f t="shared" si="244"/>
        <v>0.89999999999999991</v>
      </c>
      <c r="E1789" s="12">
        <f t="shared" si="245"/>
        <v>11.049530623999999</v>
      </c>
      <c r="F1789" s="12">
        <f t="shared" si="246"/>
        <v>11.049530623999999</v>
      </c>
      <c r="G1789" s="12">
        <f t="shared" si="247"/>
        <v>14.472797724444442</v>
      </c>
      <c r="H1789" s="12">
        <f t="shared" si="248"/>
        <v>14.472797724444442</v>
      </c>
      <c r="I1789" s="1" t="str">
        <f t="shared" si="249"/>
        <v>No</v>
      </c>
      <c r="J1789" s="1" t="str">
        <f t="shared" si="250"/>
        <v>Si</v>
      </c>
      <c r="K1789" s="1" t="str">
        <f t="shared" si="251"/>
        <v/>
      </c>
    </row>
    <row r="1790" spans="1:11" x14ac:dyDescent="0.3">
      <c r="A1790" s="1">
        <v>34</v>
      </c>
      <c r="B1790" s="1">
        <v>38</v>
      </c>
      <c r="C1790" s="12">
        <f t="shared" si="243"/>
        <v>0.67499999999999982</v>
      </c>
      <c r="D1790" s="12">
        <f t="shared" si="244"/>
        <v>0.97500000000000009</v>
      </c>
      <c r="E1790" s="12">
        <f t="shared" si="245"/>
        <v>11.047042531555554</v>
      </c>
      <c r="F1790" s="12">
        <f t="shared" si="246"/>
        <v>11.047042531555554</v>
      </c>
      <c r="G1790" s="12">
        <f t="shared" si="247"/>
        <v>14.469293368888888</v>
      </c>
      <c r="H1790" s="12">
        <f t="shared" si="248"/>
        <v>14.469293368888888</v>
      </c>
      <c r="I1790" s="1" t="str">
        <f t="shared" si="249"/>
        <v>No</v>
      </c>
      <c r="J1790" s="1" t="str">
        <f t="shared" si="250"/>
        <v>Si</v>
      </c>
      <c r="K1790" s="1" t="str">
        <f t="shared" si="251"/>
        <v/>
      </c>
    </row>
    <row r="1791" spans="1:11" x14ac:dyDescent="0.3">
      <c r="A1791" s="1">
        <v>34</v>
      </c>
      <c r="B1791" s="1">
        <v>39</v>
      </c>
      <c r="C1791" s="12">
        <f t="shared" si="243"/>
        <v>0.67499999999999982</v>
      </c>
      <c r="D1791" s="12">
        <f t="shared" si="244"/>
        <v>1.0499999999999998</v>
      </c>
      <c r="E1791" s="12">
        <f t="shared" si="245"/>
        <v>11.04455443911111</v>
      </c>
      <c r="F1791" s="12">
        <f t="shared" si="246"/>
        <v>11.04455443911111</v>
      </c>
      <c r="G1791" s="12">
        <f t="shared" si="247"/>
        <v>14.465789013333332</v>
      </c>
      <c r="H1791" s="12">
        <f t="shared" si="248"/>
        <v>14.465789013333332</v>
      </c>
      <c r="I1791" s="1" t="str">
        <f t="shared" si="249"/>
        <v>No</v>
      </c>
      <c r="J1791" s="1" t="str">
        <f t="shared" si="250"/>
        <v>Si</v>
      </c>
      <c r="K1791" s="1" t="str">
        <f t="shared" si="251"/>
        <v/>
      </c>
    </row>
    <row r="1792" spans="1:11" x14ac:dyDescent="0.3">
      <c r="A1792" s="1">
        <v>34</v>
      </c>
      <c r="B1792" s="1">
        <v>40</v>
      </c>
      <c r="C1792" s="12">
        <f t="shared" si="243"/>
        <v>0.67499999999999982</v>
      </c>
      <c r="D1792" s="12">
        <f t="shared" si="244"/>
        <v>1.125</v>
      </c>
      <c r="E1792" s="12">
        <f t="shared" si="245"/>
        <v>11.042066346666665</v>
      </c>
      <c r="F1792" s="12">
        <f t="shared" si="246"/>
        <v>11.042066346666665</v>
      </c>
      <c r="G1792" s="12">
        <f t="shared" si="247"/>
        <v>14.462284657777776</v>
      </c>
      <c r="H1792" s="12">
        <f t="shared" si="248"/>
        <v>14.462284657777776</v>
      </c>
      <c r="I1792" s="1" t="str">
        <f t="shared" si="249"/>
        <v>No</v>
      </c>
      <c r="J1792" s="1" t="str">
        <f t="shared" si="250"/>
        <v>Si</v>
      </c>
      <c r="K1792" s="1" t="str">
        <f t="shared" si="251"/>
        <v/>
      </c>
    </row>
    <row r="1793" spans="1:11" x14ac:dyDescent="0.3">
      <c r="A1793" s="1">
        <v>34</v>
      </c>
      <c r="B1793" s="1">
        <v>41</v>
      </c>
      <c r="C1793" s="12">
        <f t="shared" si="243"/>
        <v>0.67499999999999982</v>
      </c>
      <c r="D1793" s="12">
        <f t="shared" si="244"/>
        <v>1.2000000000000002</v>
      </c>
      <c r="E1793" s="12">
        <f t="shared" si="245"/>
        <v>11.039578254222221</v>
      </c>
      <c r="F1793" s="12">
        <f t="shared" si="246"/>
        <v>11.039578254222221</v>
      </c>
      <c r="G1793" s="12">
        <f t="shared" si="247"/>
        <v>14.458780302222221</v>
      </c>
      <c r="H1793" s="12">
        <f t="shared" si="248"/>
        <v>14.458780302222221</v>
      </c>
      <c r="I1793" s="1" t="str">
        <f t="shared" si="249"/>
        <v>No</v>
      </c>
      <c r="J1793" s="1" t="str">
        <f t="shared" si="250"/>
        <v>Si</v>
      </c>
      <c r="K1793" s="1" t="str">
        <f t="shared" si="251"/>
        <v/>
      </c>
    </row>
    <row r="1794" spans="1:11" x14ac:dyDescent="0.3">
      <c r="A1794" s="1">
        <v>34</v>
      </c>
      <c r="B1794" s="1">
        <v>42</v>
      </c>
      <c r="C1794" s="12">
        <f t="shared" si="243"/>
        <v>0.67499999999999982</v>
      </c>
      <c r="D1794" s="12">
        <f t="shared" si="244"/>
        <v>1.2749999999999999</v>
      </c>
      <c r="E1794" s="12">
        <f t="shared" si="245"/>
        <v>11.037090161777776</v>
      </c>
      <c r="F1794" s="12">
        <f t="shared" si="246"/>
        <v>11.037090161777776</v>
      </c>
      <c r="G1794" s="12">
        <f t="shared" si="247"/>
        <v>14.455275946666665</v>
      </c>
      <c r="H1794" s="12">
        <f t="shared" si="248"/>
        <v>14.455275946666665</v>
      </c>
      <c r="I1794" s="1" t="str">
        <f t="shared" si="249"/>
        <v>No</v>
      </c>
      <c r="J1794" s="1" t="str">
        <f t="shared" si="250"/>
        <v>Si</v>
      </c>
      <c r="K1794" s="1" t="str">
        <f t="shared" si="251"/>
        <v/>
      </c>
    </row>
    <row r="1795" spans="1:11" x14ac:dyDescent="0.3">
      <c r="A1795" s="1">
        <v>34</v>
      </c>
      <c r="B1795" s="1">
        <v>43</v>
      </c>
      <c r="C1795" s="12">
        <f t="shared" si="243"/>
        <v>0.67499999999999982</v>
      </c>
      <c r="D1795" s="12">
        <f t="shared" si="244"/>
        <v>1.35</v>
      </c>
      <c r="E1795" s="12">
        <f t="shared" si="245"/>
        <v>11.034602069333332</v>
      </c>
      <c r="F1795" s="12">
        <f t="shared" si="246"/>
        <v>11.034602069333332</v>
      </c>
      <c r="G1795" s="12">
        <f t="shared" si="247"/>
        <v>14.451771591111109</v>
      </c>
      <c r="H1795" s="12">
        <f t="shared" si="248"/>
        <v>14.451771591111109</v>
      </c>
      <c r="I1795" s="1" t="str">
        <f t="shared" si="249"/>
        <v>No</v>
      </c>
      <c r="J1795" s="1" t="str">
        <f t="shared" si="250"/>
        <v>Si</v>
      </c>
      <c r="K1795" s="1" t="str">
        <f t="shared" si="251"/>
        <v/>
      </c>
    </row>
    <row r="1796" spans="1:11" x14ac:dyDescent="0.3">
      <c r="A1796" s="1">
        <v>34</v>
      </c>
      <c r="B1796" s="1">
        <v>44</v>
      </c>
      <c r="C1796" s="12">
        <f t="shared" si="243"/>
        <v>0.67499999999999982</v>
      </c>
      <c r="D1796" s="12">
        <f t="shared" si="244"/>
        <v>1.4249999999999998</v>
      </c>
      <c r="E1796" s="12">
        <f t="shared" si="245"/>
        <v>11.032113976888889</v>
      </c>
      <c r="F1796" s="12">
        <f t="shared" si="246"/>
        <v>11.032113976888889</v>
      </c>
      <c r="G1796" s="12">
        <f t="shared" si="247"/>
        <v>14.448267235555553</v>
      </c>
      <c r="H1796" s="12">
        <f t="shared" si="248"/>
        <v>14.448267235555553</v>
      </c>
      <c r="I1796" s="1" t="str">
        <f t="shared" si="249"/>
        <v>No</v>
      </c>
      <c r="J1796" s="1" t="str">
        <f t="shared" si="250"/>
        <v>Si</v>
      </c>
      <c r="K1796" s="1" t="str">
        <f t="shared" si="251"/>
        <v/>
      </c>
    </row>
    <row r="1797" spans="1:11" x14ac:dyDescent="0.3">
      <c r="A1797" s="1">
        <v>34</v>
      </c>
      <c r="B1797" s="1">
        <v>45</v>
      </c>
      <c r="C1797" s="12">
        <f t="shared" si="243"/>
        <v>0.67499999999999982</v>
      </c>
      <c r="D1797" s="12">
        <f t="shared" si="244"/>
        <v>1.5</v>
      </c>
      <c r="E1797" s="12">
        <f t="shared" si="245"/>
        <v>11.029625884444444</v>
      </c>
      <c r="F1797" s="12">
        <f t="shared" si="246"/>
        <v>11.029625884444444</v>
      </c>
      <c r="G1797" s="12">
        <f t="shared" si="247"/>
        <v>14.444762879999999</v>
      </c>
      <c r="H1797" s="12">
        <f t="shared" si="248"/>
        <v>14.444762879999999</v>
      </c>
      <c r="I1797" s="1" t="str">
        <f t="shared" si="249"/>
        <v>No</v>
      </c>
      <c r="J1797" s="1" t="str">
        <f t="shared" si="250"/>
        <v>Si</v>
      </c>
      <c r="K1797" s="1" t="str">
        <f t="shared" si="251"/>
        <v/>
      </c>
    </row>
    <row r="1798" spans="1:11" x14ac:dyDescent="0.3">
      <c r="A1798" s="1">
        <v>34</v>
      </c>
      <c r="B1798" s="1">
        <v>46</v>
      </c>
      <c r="C1798" s="12">
        <f t="shared" si="243"/>
        <v>0.67499999999999982</v>
      </c>
      <c r="D1798" s="12">
        <f t="shared" si="244"/>
        <v>1.5750000000000002</v>
      </c>
      <c r="E1798" s="12">
        <f t="shared" si="245"/>
        <v>11.027137792</v>
      </c>
      <c r="F1798" s="12">
        <f t="shared" si="246"/>
        <v>11.027137792</v>
      </c>
      <c r="G1798" s="12">
        <f t="shared" si="247"/>
        <v>14.441258524444443</v>
      </c>
      <c r="H1798" s="12">
        <f t="shared" si="248"/>
        <v>14.441258524444443</v>
      </c>
      <c r="I1798" s="1" t="str">
        <f t="shared" si="249"/>
        <v>No</v>
      </c>
      <c r="J1798" s="1" t="str">
        <f t="shared" si="250"/>
        <v>Si</v>
      </c>
      <c r="K1798" s="1" t="str">
        <f t="shared" si="251"/>
        <v/>
      </c>
    </row>
    <row r="1799" spans="1:11" x14ac:dyDescent="0.3">
      <c r="A1799" s="1">
        <v>34</v>
      </c>
      <c r="B1799" s="1">
        <v>47</v>
      </c>
      <c r="C1799" s="12">
        <f t="shared" si="243"/>
        <v>0.67499999999999982</v>
      </c>
      <c r="D1799" s="12">
        <f t="shared" si="244"/>
        <v>1.65</v>
      </c>
      <c r="E1799" s="12">
        <f t="shared" si="245"/>
        <v>11.024649699555555</v>
      </c>
      <c r="F1799" s="12">
        <f t="shared" si="246"/>
        <v>11.024649699555555</v>
      </c>
      <c r="G1799" s="12">
        <f t="shared" si="247"/>
        <v>14.437754168888887</v>
      </c>
      <c r="H1799" s="12">
        <f t="shared" si="248"/>
        <v>14.437754168888887</v>
      </c>
      <c r="I1799" s="1" t="str">
        <f t="shared" si="249"/>
        <v>No</v>
      </c>
      <c r="J1799" s="1" t="str">
        <f t="shared" si="250"/>
        <v>Si</v>
      </c>
      <c r="K1799" s="1" t="str">
        <f t="shared" si="251"/>
        <v/>
      </c>
    </row>
    <row r="1800" spans="1:11" x14ac:dyDescent="0.3">
      <c r="A1800" s="1">
        <v>34</v>
      </c>
      <c r="B1800" s="1">
        <v>48</v>
      </c>
      <c r="C1800" s="12">
        <f t="shared" si="243"/>
        <v>0.67499999999999982</v>
      </c>
      <c r="D1800" s="12">
        <f t="shared" si="244"/>
        <v>1.7250000000000001</v>
      </c>
      <c r="E1800" s="12">
        <f t="shared" si="245"/>
        <v>11.02216160711111</v>
      </c>
      <c r="F1800" s="12">
        <f t="shared" si="246"/>
        <v>11.02216160711111</v>
      </c>
      <c r="G1800" s="12">
        <f t="shared" si="247"/>
        <v>14.434249813333333</v>
      </c>
      <c r="H1800" s="12">
        <f t="shared" si="248"/>
        <v>14.434249813333333</v>
      </c>
      <c r="I1800" s="1" t="str">
        <f t="shared" si="249"/>
        <v>No</v>
      </c>
      <c r="J1800" s="1" t="str">
        <f t="shared" si="250"/>
        <v>Si</v>
      </c>
      <c r="K1800" s="1" t="str">
        <f t="shared" si="251"/>
        <v/>
      </c>
    </row>
    <row r="1801" spans="1:11" x14ac:dyDescent="0.3">
      <c r="A1801" s="1">
        <v>34</v>
      </c>
      <c r="B1801" s="1">
        <v>49</v>
      </c>
      <c r="C1801" s="12">
        <f t="shared" si="243"/>
        <v>0.67499999999999982</v>
      </c>
      <c r="D1801" s="12">
        <f t="shared" si="244"/>
        <v>1.7999999999999998</v>
      </c>
      <c r="E1801" s="12">
        <f t="shared" si="245"/>
        <v>11.019673514666666</v>
      </c>
      <c r="F1801" s="12">
        <f t="shared" si="246"/>
        <v>11.019673514666666</v>
      </c>
      <c r="G1801" s="12">
        <f t="shared" si="247"/>
        <v>14.430745457777777</v>
      </c>
      <c r="H1801" s="12">
        <f t="shared" si="248"/>
        <v>14.430745457777777</v>
      </c>
      <c r="I1801" s="1" t="str">
        <f t="shared" si="249"/>
        <v>No</v>
      </c>
      <c r="J1801" s="1" t="str">
        <f t="shared" si="250"/>
        <v>Si</v>
      </c>
      <c r="K1801" s="1" t="str">
        <f t="shared" si="251"/>
        <v/>
      </c>
    </row>
    <row r="1802" spans="1:11" x14ac:dyDescent="0.3">
      <c r="A1802" s="1">
        <v>34</v>
      </c>
      <c r="B1802" s="1">
        <v>50</v>
      </c>
      <c r="C1802" s="12">
        <f t="shared" si="243"/>
        <v>0.67499999999999982</v>
      </c>
      <c r="D1802" s="12">
        <f t="shared" si="244"/>
        <v>1.875</v>
      </c>
      <c r="E1802" s="12">
        <f t="shared" si="245"/>
        <v>11.017185422222221</v>
      </c>
      <c r="F1802" s="12">
        <f t="shared" si="246"/>
        <v>11.017185422222221</v>
      </c>
      <c r="G1802" s="12">
        <f t="shared" si="247"/>
        <v>14.42724110222222</v>
      </c>
      <c r="H1802" s="12">
        <f t="shared" si="248"/>
        <v>14.42724110222222</v>
      </c>
      <c r="I1802" s="1" t="str">
        <f t="shared" si="249"/>
        <v>No</v>
      </c>
      <c r="J1802" s="1" t="str">
        <f t="shared" si="250"/>
        <v>Si</v>
      </c>
      <c r="K1802" s="1" t="str">
        <f t="shared" si="251"/>
        <v/>
      </c>
    </row>
    <row r="1803" spans="1:11" x14ac:dyDescent="0.3">
      <c r="A1803" s="1">
        <v>35</v>
      </c>
      <c r="B1803" s="1">
        <v>0</v>
      </c>
      <c r="C1803" s="12">
        <f t="shared" si="243"/>
        <v>0.75</v>
      </c>
      <c r="D1803" s="12">
        <f t="shared" si="244"/>
        <v>-1.875</v>
      </c>
      <c r="E1803" s="12">
        <f t="shared" si="245"/>
        <v>11.142284088888887</v>
      </c>
      <c r="F1803" s="12">
        <f t="shared" si="246"/>
        <v>11.142284088888887</v>
      </c>
      <c r="G1803" s="12">
        <f t="shared" si="247"/>
        <v>14.603496533333333</v>
      </c>
      <c r="H1803" s="12">
        <f t="shared" si="248"/>
        <v>14.603496533333333</v>
      </c>
      <c r="I1803" s="1" t="str">
        <f t="shared" si="249"/>
        <v>No</v>
      </c>
      <c r="J1803" s="1" t="str">
        <f t="shared" si="250"/>
        <v>Si</v>
      </c>
      <c r="K1803" s="1" t="str">
        <f t="shared" si="251"/>
        <v/>
      </c>
    </row>
    <row r="1804" spans="1:11" x14ac:dyDescent="0.3">
      <c r="A1804" s="1">
        <v>35</v>
      </c>
      <c r="B1804" s="1">
        <v>1</v>
      </c>
      <c r="C1804" s="12">
        <f t="shared" si="243"/>
        <v>0.75</v>
      </c>
      <c r="D1804" s="12">
        <f t="shared" si="244"/>
        <v>-1.8</v>
      </c>
      <c r="E1804" s="12">
        <f t="shared" si="245"/>
        <v>11.139795996444443</v>
      </c>
      <c r="F1804" s="12">
        <f t="shared" si="246"/>
        <v>11.139795996444443</v>
      </c>
      <c r="G1804" s="12">
        <f t="shared" si="247"/>
        <v>14.599992177777777</v>
      </c>
      <c r="H1804" s="12">
        <f t="shared" si="248"/>
        <v>14.599992177777777</v>
      </c>
      <c r="I1804" s="1" t="str">
        <f t="shared" si="249"/>
        <v>No</v>
      </c>
      <c r="J1804" s="1" t="str">
        <f t="shared" si="250"/>
        <v>Si</v>
      </c>
      <c r="K1804" s="1" t="str">
        <f t="shared" si="251"/>
        <v/>
      </c>
    </row>
    <row r="1805" spans="1:11" x14ac:dyDescent="0.3">
      <c r="A1805" s="1">
        <v>35</v>
      </c>
      <c r="B1805" s="1">
        <v>2</v>
      </c>
      <c r="C1805" s="12">
        <f t="shared" si="243"/>
        <v>0.75</v>
      </c>
      <c r="D1805" s="12">
        <f t="shared" si="244"/>
        <v>-1.7250000000000001</v>
      </c>
      <c r="E1805" s="12">
        <f t="shared" si="245"/>
        <v>11.137307903999998</v>
      </c>
      <c r="F1805" s="12">
        <f t="shared" si="246"/>
        <v>11.137307903999998</v>
      </c>
      <c r="G1805" s="12">
        <f t="shared" si="247"/>
        <v>14.596487822222221</v>
      </c>
      <c r="H1805" s="12">
        <f t="shared" si="248"/>
        <v>14.596487822222221</v>
      </c>
      <c r="I1805" s="1" t="str">
        <f t="shared" si="249"/>
        <v>No</v>
      </c>
      <c r="J1805" s="1" t="str">
        <f t="shared" si="250"/>
        <v>Si</v>
      </c>
      <c r="K1805" s="1" t="str">
        <f t="shared" si="251"/>
        <v/>
      </c>
    </row>
    <row r="1806" spans="1:11" x14ac:dyDescent="0.3">
      <c r="A1806" s="1">
        <v>35</v>
      </c>
      <c r="B1806" s="1">
        <v>3</v>
      </c>
      <c r="C1806" s="12">
        <f t="shared" si="243"/>
        <v>0.75</v>
      </c>
      <c r="D1806" s="12">
        <f t="shared" si="244"/>
        <v>-1.65</v>
      </c>
      <c r="E1806" s="12">
        <f t="shared" si="245"/>
        <v>11.134819811555554</v>
      </c>
      <c r="F1806" s="12">
        <f t="shared" si="246"/>
        <v>11.134819811555554</v>
      </c>
      <c r="G1806" s="12">
        <f t="shared" si="247"/>
        <v>14.592983466666666</v>
      </c>
      <c r="H1806" s="12">
        <f t="shared" si="248"/>
        <v>14.592983466666666</v>
      </c>
      <c r="I1806" s="1" t="str">
        <f t="shared" si="249"/>
        <v>No</v>
      </c>
      <c r="J1806" s="1" t="str">
        <f t="shared" si="250"/>
        <v>Si</v>
      </c>
      <c r="K1806" s="1" t="str">
        <f t="shared" si="251"/>
        <v/>
      </c>
    </row>
    <row r="1807" spans="1:11" x14ac:dyDescent="0.3">
      <c r="A1807" s="1">
        <v>35</v>
      </c>
      <c r="B1807" s="1">
        <v>4</v>
      </c>
      <c r="C1807" s="12">
        <f t="shared" si="243"/>
        <v>0.75</v>
      </c>
      <c r="D1807" s="12">
        <f t="shared" si="244"/>
        <v>-1.575</v>
      </c>
      <c r="E1807" s="12">
        <f t="shared" si="245"/>
        <v>11.132331719111109</v>
      </c>
      <c r="F1807" s="12">
        <f t="shared" si="246"/>
        <v>11.132331719111109</v>
      </c>
      <c r="G1807" s="12">
        <f t="shared" si="247"/>
        <v>14.58947911111111</v>
      </c>
      <c r="H1807" s="12">
        <f t="shared" si="248"/>
        <v>14.58947911111111</v>
      </c>
      <c r="I1807" s="1" t="str">
        <f t="shared" si="249"/>
        <v>No</v>
      </c>
      <c r="J1807" s="1" t="str">
        <f t="shared" si="250"/>
        <v>Si</v>
      </c>
      <c r="K1807" s="1" t="str">
        <f t="shared" si="251"/>
        <v/>
      </c>
    </row>
    <row r="1808" spans="1:11" x14ac:dyDescent="0.3">
      <c r="A1808" s="1">
        <v>35</v>
      </c>
      <c r="B1808" s="1">
        <v>5</v>
      </c>
      <c r="C1808" s="12">
        <f t="shared" si="243"/>
        <v>0.75</v>
      </c>
      <c r="D1808" s="12">
        <f t="shared" si="244"/>
        <v>-1.5</v>
      </c>
      <c r="E1808" s="12">
        <f t="shared" si="245"/>
        <v>11.129843626666664</v>
      </c>
      <c r="F1808" s="12">
        <f t="shared" si="246"/>
        <v>11.129843626666664</v>
      </c>
      <c r="G1808" s="12">
        <f t="shared" si="247"/>
        <v>14.585974755555554</v>
      </c>
      <c r="H1808" s="12">
        <f t="shared" si="248"/>
        <v>14.585974755555554</v>
      </c>
      <c r="I1808" s="1" t="str">
        <f t="shared" si="249"/>
        <v>No</v>
      </c>
      <c r="J1808" s="1" t="str">
        <f t="shared" si="250"/>
        <v>Si</v>
      </c>
      <c r="K1808" s="1" t="str">
        <f t="shared" si="251"/>
        <v/>
      </c>
    </row>
    <row r="1809" spans="1:11" x14ac:dyDescent="0.3">
      <c r="A1809" s="1">
        <v>35</v>
      </c>
      <c r="B1809" s="1">
        <v>6</v>
      </c>
      <c r="C1809" s="12">
        <f t="shared" si="243"/>
        <v>0.75</v>
      </c>
      <c r="D1809" s="12">
        <f t="shared" si="244"/>
        <v>-1.425</v>
      </c>
      <c r="E1809" s="12">
        <f t="shared" si="245"/>
        <v>11.12735553422222</v>
      </c>
      <c r="F1809" s="12">
        <f t="shared" si="246"/>
        <v>11.12735553422222</v>
      </c>
      <c r="G1809" s="12">
        <f t="shared" si="247"/>
        <v>14.5824704</v>
      </c>
      <c r="H1809" s="12">
        <f t="shared" si="248"/>
        <v>14.5824704</v>
      </c>
      <c r="I1809" s="1" t="str">
        <f t="shared" si="249"/>
        <v>No</v>
      </c>
      <c r="J1809" s="1" t="str">
        <f t="shared" si="250"/>
        <v>Si</v>
      </c>
      <c r="K1809" s="1" t="str">
        <f t="shared" si="251"/>
        <v/>
      </c>
    </row>
    <row r="1810" spans="1:11" x14ac:dyDescent="0.3">
      <c r="A1810" s="1">
        <v>35</v>
      </c>
      <c r="B1810" s="1">
        <v>7</v>
      </c>
      <c r="C1810" s="12">
        <f t="shared" ref="C1810:C1873" si="252">IF(OR(A1810&gt;inp_n_div_x,B1810&gt;inp_n_div_y),"",-inp_bx/2+A1810*inp_bx/inp_n_div_x)</f>
        <v>0.75</v>
      </c>
      <c r="D1810" s="12">
        <f t="shared" ref="D1810:D1873" si="253">IF(C1810="","",-inp_by/2+B1810*inp_by/inp_n_div_y)</f>
        <v>-1.35</v>
      </c>
      <c r="E1810" s="12">
        <f t="shared" ref="E1810:E1873" si="254">IF(C1810="","",res_srv_p_tot/geo_area+res_srv_mx_tot/geo_ix*D1810+res_srv_my_tot/geo_iy*C1810)</f>
        <v>11.124867441777777</v>
      </c>
      <c r="F1810" s="12">
        <f t="shared" ref="F1810:F1873" si="255">IF(E1810="","",MAX(0,E1810))</f>
        <v>11.124867441777777</v>
      </c>
      <c r="G1810" s="12">
        <f t="shared" ref="G1810:G1873" si="256">IF(C1810="","",res_u_p_tot/geo_area+res_u_mx_tot/geo_ix*D1810+res_u_my_tot/geo_iy*C1810)</f>
        <v>14.578966044444444</v>
      </c>
      <c r="H1810" s="12">
        <f t="shared" ref="H1810:H1873" si="257">IF(G1810="","",MAX(0,G1810))</f>
        <v>14.578966044444444</v>
      </c>
      <c r="I1810" s="1" t="str">
        <f t="shared" ref="I1810:I1873" si="258">IF(C1810="","",IF(AND(C1810&gt;=inp_xc-inp_cx/2,C1810&lt;=inp_xc+inp_cx/2,D1810&gt;=inp_yc-inp_cy/2,D1810&lt;=inp_yc+inp_cy/2),"Si","No"))</f>
        <v>No</v>
      </c>
      <c r="J1810" s="1" t="str">
        <f t="shared" ref="J1810:J1873" si="259">IF(C1810="","","Si")</f>
        <v>Si</v>
      </c>
      <c r="K1810" s="1" t="str">
        <f t="shared" ref="K1810:K1873" si="260">IF(OR(E1810&lt;0,G1810&lt;0),"Presion negativa","")</f>
        <v/>
      </c>
    </row>
    <row r="1811" spans="1:11" x14ac:dyDescent="0.3">
      <c r="A1811" s="1">
        <v>35</v>
      </c>
      <c r="B1811" s="1">
        <v>8</v>
      </c>
      <c r="C1811" s="12">
        <f t="shared" si="252"/>
        <v>0.75</v>
      </c>
      <c r="D1811" s="12">
        <f t="shared" si="253"/>
        <v>-1.2749999999999999</v>
      </c>
      <c r="E1811" s="12">
        <f t="shared" si="254"/>
        <v>11.122379349333332</v>
      </c>
      <c r="F1811" s="12">
        <f t="shared" si="255"/>
        <v>11.122379349333332</v>
      </c>
      <c r="G1811" s="12">
        <f t="shared" si="256"/>
        <v>14.575461688888888</v>
      </c>
      <c r="H1811" s="12">
        <f t="shared" si="257"/>
        <v>14.575461688888888</v>
      </c>
      <c r="I1811" s="1" t="str">
        <f t="shared" si="258"/>
        <v>No</v>
      </c>
      <c r="J1811" s="1" t="str">
        <f t="shared" si="259"/>
        <v>Si</v>
      </c>
      <c r="K1811" s="1" t="str">
        <f t="shared" si="260"/>
        <v/>
      </c>
    </row>
    <row r="1812" spans="1:11" x14ac:dyDescent="0.3">
      <c r="A1812" s="1">
        <v>35</v>
      </c>
      <c r="B1812" s="1">
        <v>9</v>
      </c>
      <c r="C1812" s="12">
        <f t="shared" si="252"/>
        <v>0.75</v>
      </c>
      <c r="D1812" s="12">
        <f t="shared" si="253"/>
        <v>-1.2</v>
      </c>
      <c r="E1812" s="12">
        <f t="shared" si="254"/>
        <v>11.119891256888888</v>
      </c>
      <c r="F1812" s="12">
        <f t="shared" si="255"/>
        <v>11.119891256888888</v>
      </c>
      <c r="G1812" s="12">
        <f t="shared" si="256"/>
        <v>14.571957333333332</v>
      </c>
      <c r="H1812" s="12">
        <f t="shared" si="257"/>
        <v>14.571957333333332</v>
      </c>
      <c r="I1812" s="1" t="str">
        <f t="shared" si="258"/>
        <v>No</v>
      </c>
      <c r="J1812" s="1" t="str">
        <f t="shared" si="259"/>
        <v>Si</v>
      </c>
      <c r="K1812" s="1" t="str">
        <f t="shared" si="260"/>
        <v/>
      </c>
    </row>
    <row r="1813" spans="1:11" x14ac:dyDescent="0.3">
      <c r="A1813" s="1">
        <v>35</v>
      </c>
      <c r="B1813" s="1">
        <v>10</v>
      </c>
      <c r="C1813" s="12">
        <f t="shared" si="252"/>
        <v>0.75</v>
      </c>
      <c r="D1813" s="12">
        <f t="shared" si="253"/>
        <v>-1.125</v>
      </c>
      <c r="E1813" s="12">
        <f t="shared" si="254"/>
        <v>11.117403164444443</v>
      </c>
      <c r="F1813" s="12">
        <f t="shared" si="255"/>
        <v>11.117403164444443</v>
      </c>
      <c r="G1813" s="12">
        <f t="shared" si="256"/>
        <v>14.568452977777778</v>
      </c>
      <c r="H1813" s="12">
        <f t="shared" si="257"/>
        <v>14.568452977777778</v>
      </c>
      <c r="I1813" s="1" t="str">
        <f t="shared" si="258"/>
        <v>No</v>
      </c>
      <c r="J1813" s="1" t="str">
        <f t="shared" si="259"/>
        <v>Si</v>
      </c>
      <c r="K1813" s="1" t="str">
        <f t="shared" si="260"/>
        <v/>
      </c>
    </row>
    <row r="1814" spans="1:11" x14ac:dyDescent="0.3">
      <c r="A1814" s="1">
        <v>35</v>
      </c>
      <c r="B1814" s="1">
        <v>11</v>
      </c>
      <c r="C1814" s="12">
        <f t="shared" si="252"/>
        <v>0.75</v>
      </c>
      <c r="D1814" s="12">
        <f t="shared" si="253"/>
        <v>-1.05</v>
      </c>
      <c r="E1814" s="12">
        <f t="shared" si="254"/>
        <v>11.114915071999999</v>
      </c>
      <c r="F1814" s="12">
        <f t="shared" si="255"/>
        <v>11.114915071999999</v>
      </c>
      <c r="G1814" s="12">
        <f t="shared" si="256"/>
        <v>14.564948622222222</v>
      </c>
      <c r="H1814" s="12">
        <f t="shared" si="257"/>
        <v>14.564948622222222</v>
      </c>
      <c r="I1814" s="1" t="str">
        <f t="shared" si="258"/>
        <v>No</v>
      </c>
      <c r="J1814" s="1" t="str">
        <f t="shared" si="259"/>
        <v>Si</v>
      </c>
      <c r="K1814" s="1" t="str">
        <f t="shared" si="260"/>
        <v/>
      </c>
    </row>
    <row r="1815" spans="1:11" x14ac:dyDescent="0.3">
      <c r="A1815" s="1">
        <v>35</v>
      </c>
      <c r="B1815" s="1">
        <v>12</v>
      </c>
      <c r="C1815" s="12">
        <f t="shared" si="252"/>
        <v>0.75</v>
      </c>
      <c r="D1815" s="12">
        <f t="shared" si="253"/>
        <v>-0.97499999999999998</v>
      </c>
      <c r="E1815" s="12">
        <f t="shared" si="254"/>
        <v>11.112426979555554</v>
      </c>
      <c r="F1815" s="12">
        <f t="shared" si="255"/>
        <v>11.112426979555554</v>
      </c>
      <c r="G1815" s="12">
        <f t="shared" si="256"/>
        <v>14.561444266666665</v>
      </c>
      <c r="H1815" s="12">
        <f t="shared" si="257"/>
        <v>14.561444266666665</v>
      </c>
      <c r="I1815" s="1" t="str">
        <f t="shared" si="258"/>
        <v>No</v>
      </c>
      <c r="J1815" s="1" t="str">
        <f t="shared" si="259"/>
        <v>Si</v>
      </c>
      <c r="K1815" s="1" t="str">
        <f t="shared" si="260"/>
        <v/>
      </c>
    </row>
    <row r="1816" spans="1:11" x14ac:dyDescent="0.3">
      <c r="A1816" s="1">
        <v>35</v>
      </c>
      <c r="B1816" s="1">
        <v>13</v>
      </c>
      <c r="C1816" s="12">
        <f t="shared" si="252"/>
        <v>0.75</v>
      </c>
      <c r="D1816" s="12">
        <f t="shared" si="253"/>
        <v>-0.9</v>
      </c>
      <c r="E1816" s="12">
        <f t="shared" si="254"/>
        <v>11.10993888711111</v>
      </c>
      <c r="F1816" s="12">
        <f t="shared" si="255"/>
        <v>11.10993888711111</v>
      </c>
      <c r="G1816" s="12">
        <f t="shared" si="256"/>
        <v>14.557939911111111</v>
      </c>
      <c r="H1816" s="12">
        <f t="shared" si="257"/>
        <v>14.557939911111111</v>
      </c>
      <c r="I1816" s="1" t="str">
        <f t="shared" si="258"/>
        <v>No</v>
      </c>
      <c r="J1816" s="1" t="str">
        <f t="shared" si="259"/>
        <v>Si</v>
      </c>
      <c r="K1816" s="1" t="str">
        <f t="shared" si="260"/>
        <v/>
      </c>
    </row>
    <row r="1817" spans="1:11" x14ac:dyDescent="0.3">
      <c r="A1817" s="1">
        <v>35</v>
      </c>
      <c r="B1817" s="1">
        <v>14</v>
      </c>
      <c r="C1817" s="12">
        <f t="shared" si="252"/>
        <v>0.75</v>
      </c>
      <c r="D1817" s="12">
        <f t="shared" si="253"/>
        <v>-0.82499999999999996</v>
      </c>
      <c r="E1817" s="12">
        <f t="shared" si="254"/>
        <v>11.107450794666665</v>
      </c>
      <c r="F1817" s="12">
        <f t="shared" si="255"/>
        <v>11.107450794666665</v>
      </c>
      <c r="G1817" s="12">
        <f t="shared" si="256"/>
        <v>14.554435555555555</v>
      </c>
      <c r="H1817" s="12">
        <f t="shared" si="257"/>
        <v>14.554435555555555</v>
      </c>
      <c r="I1817" s="1" t="str">
        <f t="shared" si="258"/>
        <v>No</v>
      </c>
      <c r="J1817" s="1" t="str">
        <f t="shared" si="259"/>
        <v>Si</v>
      </c>
      <c r="K1817" s="1" t="str">
        <f t="shared" si="260"/>
        <v/>
      </c>
    </row>
    <row r="1818" spans="1:11" x14ac:dyDescent="0.3">
      <c r="A1818" s="1">
        <v>35</v>
      </c>
      <c r="B1818" s="1">
        <v>15</v>
      </c>
      <c r="C1818" s="12">
        <f t="shared" si="252"/>
        <v>0.75</v>
      </c>
      <c r="D1818" s="12">
        <f t="shared" si="253"/>
        <v>-0.75</v>
      </c>
      <c r="E1818" s="12">
        <f t="shared" si="254"/>
        <v>11.10496270222222</v>
      </c>
      <c r="F1818" s="12">
        <f t="shared" si="255"/>
        <v>11.10496270222222</v>
      </c>
      <c r="G1818" s="12">
        <f t="shared" si="256"/>
        <v>14.550931199999999</v>
      </c>
      <c r="H1818" s="12">
        <f t="shared" si="257"/>
        <v>14.550931199999999</v>
      </c>
      <c r="I1818" s="1" t="str">
        <f t="shared" si="258"/>
        <v>No</v>
      </c>
      <c r="J1818" s="1" t="str">
        <f t="shared" si="259"/>
        <v>Si</v>
      </c>
      <c r="K1818" s="1" t="str">
        <f t="shared" si="260"/>
        <v/>
      </c>
    </row>
    <row r="1819" spans="1:11" x14ac:dyDescent="0.3">
      <c r="A1819" s="1">
        <v>35</v>
      </c>
      <c r="B1819" s="1">
        <v>16</v>
      </c>
      <c r="C1819" s="12">
        <f t="shared" si="252"/>
        <v>0.75</v>
      </c>
      <c r="D1819" s="12">
        <f t="shared" si="253"/>
        <v>-0.67500000000000004</v>
      </c>
      <c r="E1819" s="12">
        <f t="shared" si="254"/>
        <v>11.102474609777776</v>
      </c>
      <c r="F1819" s="12">
        <f t="shared" si="255"/>
        <v>11.102474609777776</v>
      </c>
      <c r="G1819" s="12">
        <f t="shared" si="256"/>
        <v>14.547426844444443</v>
      </c>
      <c r="H1819" s="12">
        <f t="shared" si="257"/>
        <v>14.547426844444443</v>
      </c>
      <c r="I1819" s="1" t="str">
        <f t="shared" si="258"/>
        <v>No</v>
      </c>
      <c r="J1819" s="1" t="str">
        <f t="shared" si="259"/>
        <v>Si</v>
      </c>
      <c r="K1819" s="1" t="str">
        <f t="shared" si="260"/>
        <v/>
      </c>
    </row>
    <row r="1820" spans="1:11" x14ac:dyDescent="0.3">
      <c r="A1820" s="1">
        <v>35</v>
      </c>
      <c r="B1820" s="1">
        <v>17</v>
      </c>
      <c r="C1820" s="12">
        <f t="shared" si="252"/>
        <v>0.75</v>
      </c>
      <c r="D1820" s="12">
        <f t="shared" si="253"/>
        <v>-0.60000000000000009</v>
      </c>
      <c r="E1820" s="12">
        <f t="shared" si="254"/>
        <v>11.099986517333331</v>
      </c>
      <c r="F1820" s="12">
        <f t="shared" si="255"/>
        <v>11.099986517333331</v>
      </c>
      <c r="G1820" s="12">
        <f t="shared" si="256"/>
        <v>14.543922488888889</v>
      </c>
      <c r="H1820" s="12">
        <f t="shared" si="257"/>
        <v>14.543922488888889</v>
      </c>
      <c r="I1820" s="1" t="str">
        <f t="shared" si="258"/>
        <v>No</v>
      </c>
      <c r="J1820" s="1" t="str">
        <f t="shared" si="259"/>
        <v>Si</v>
      </c>
      <c r="K1820" s="1" t="str">
        <f t="shared" si="260"/>
        <v/>
      </c>
    </row>
    <row r="1821" spans="1:11" x14ac:dyDescent="0.3">
      <c r="A1821" s="1">
        <v>35</v>
      </c>
      <c r="B1821" s="1">
        <v>18</v>
      </c>
      <c r="C1821" s="12">
        <f t="shared" si="252"/>
        <v>0.75</v>
      </c>
      <c r="D1821" s="12">
        <f t="shared" si="253"/>
        <v>-0.52499999999999991</v>
      </c>
      <c r="E1821" s="12">
        <f t="shared" si="254"/>
        <v>11.097498424888887</v>
      </c>
      <c r="F1821" s="12">
        <f t="shared" si="255"/>
        <v>11.097498424888887</v>
      </c>
      <c r="G1821" s="12">
        <f t="shared" si="256"/>
        <v>14.540418133333333</v>
      </c>
      <c r="H1821" s="12">
        <f t="shared" si="257"/>
        <v>14.540418133333333</v>
      </c>
      <c r="I1821" s="1" t="str">
        <f t="shared" si="258"/>
        <v>No</v>
      </c>
      <c r="J1821" s="1" t="str">
        <f t="shared" si="259"/>
        <v>Si</v>
      </c>
      <c r="K1821" s="1" t="str">
        <f t="shared" si="260"/>
        <v/>
      </c>
    </row>
    <row r="1822" spans="1:11" x14ac:dyDescent="0.3">
      <c r="A1822" s="1">
        <v>35</v>
      </c>
      <c r="B1822" s="1">
        <v>19</v>
      </c>
      <c r="C1822" s="12">
        <f t="shared" si="252"/>
        <v>0.75</v>
      </c>
      <c r="D1822" s="12">
        <f t="shared" si="253"/>
        <v>-0.44999999999999996</v>
      </c>
      <c r="E1822" s="12">
        <f t="shared" si="254"/>
        <v>11.095010332444444</v>
      </c>
      <c r="F1822" s="12">
        <f t="shared" si="255"/>
        <v>11.095010332444444</v>
      </c>
      <c r="G1822" s="12">
        <f t="shared" si="256"/>
        <v>14.536913777777777</v>
      </c>
      <c r="H1822" s="12">
        <f t="shared" si="257"/>
        <v>14.536913777777777</v>
      </c>
      <c r="I1822" s="1" t="str">
        <f t="shared" si="258"/>
        <v>No</v>
      </c>
      <c r="J1822" s="1" t="str">
        <f t="shared" si="259"/>
        <v>Si</v>
      </c>
      <c r="K1822" s="1" t="str">
        <f t="shared" si="260"/>
        <v/>
      </c>
    </row>
    <row r="1823" spans="1:11" x14ac:dyDescent="0.3">
      <c r="A1823" s="1">
        <v>35</v>
      </c>
      <c r="B1823" s="1">
        <v>20</v>
      </c>
      <c r="C1823" s="12">
        <f t="shared" si="252"/>
        <v>0.75</v>
      </c>
      <c r="D1823" s="12">
        <f t="shared" si="253"/>
        <v>-0.375</v>
      </c>
      <c r="E1823" s="12">
        <f t="shared" si="254"/>
        <v>11.092522239999999</v>
      </c>
      <c r="F1823" s="12">
        <f t="shared" si="255"/>
        <v>11.092522239999999</v>
      </c>
      <c r="G1823" s="12">
        <f t="shared" si="256"/>
        <v>14.533409422222222</v>
      </c>
      <c r="H1823" s="12">
        <f t="shared" si="257"/>
        <v>14.533409422222222</v>
      </c>
      <c r="I1823" s="1" t="str">
        <f t="shared" si="258"/>
        <v>No</v>
      </c>
      <c r="J1823" s="1" t="str">
        <f t="shared" si="259"/>
        <v>Si</v>
      </c>
      <c r="K1823" s="1" t="str">
        <f t="shared" si="260"/>
        <v/>
      </c>
    </row>
    <row r="1824" spans="1:11" x14ac:dyDescent="0.3">
      <c r="A1824" s="1">
        <v>35</v>
      </c>
      <c r="B1824" s="1">
        <v>21</v>
      </c>
      <c r="C1824" s="12">
        <f t="shared" si="252"/>
        <v>0.75</v>
      </c>
      <c r="D1824" s="12">
        <f t="shared" si="253"/>
        <v>-0.30000000000000004</v>
      </c>
      <c r="E1824" s="12">
        <f t="shared" si="254"/>
        <v>11.090034147555555</v>
      </c>
      <c r="F1824" s="12">
        <f t="shared" si="255"/>
        <v>11.090034147555555</v>
      </c>
      <c r="G1824" s="12">
        <f t="shared" si="256"/>
        <v>14.529905066666666</v>
      </c>
      <c r="H1824" s="12">
        <f t="shared" si="257"/>
        <v>14.529905066666666</v>
      </c>
      <c r="I1824" s="1" t="str">
        <f t="shared" si="258"/>
        <v>No</v>
      </c>
      <c r="J1824" s="1" t="str">
        <f t="shared" si="259"/>
        <v>Si</v>
      </c>
      <c r="K1824" s="1" t="str">
        <f t="shared" si="260"/>
        <v/>
      </c>
    </row>
    <row r="1825" spans="1:11" x14ac:dyDescent="0.3">
      <c r="A1825" s="1">
        <v>35</v>
      </c>
      <c r="B1825" s="1">
        <v>22</v>
      </c>
      <c r="C1825" s="12">
        <f t="shared" si="252"/>
        <v>0.75</v>
      </c>
      <c r="D1825" s="12">
        <f t="shared" si="253"/>
        <v>-0.22500000000000009</v>
      </c>
      <c r="E1825" s="12">
        <f t="shared" si="254"/>
        <v>11.08754605511111</v>
      </c>
      <c r="F1825" s="12">
        <f t="shared" si="255"/>
        <v>11.08754605511111</v>
      </c>
      <c r="G1825" s="12">
        <f t="shared" si="256"/>
        <v>14.52640071111111</v>
      </c>
      <c r="H1825" s="12">
        <f t="shared" si="257"/>
        <v>14.52640071111111</v>
      </c>
      <c r="I1825" s="1" t="str">
        <f t="shared" si="258"/>
        <v>No</v>
      </c>
      <c r="J1825" s="1" t="str">
        <f t="shared" si="259"/>
        <v>Si</v>
      </c>
      <c r="K1825" s="1" t="str">
        <f t="shared" si="260"/>
        <v/>
      </c>
    </row>
    <row r="1826" spans="1:11" x14ac:dyDescent="0.3">
      <c r="A1826" s="1">
        <v>35</v>
      </c>
      <c r="B1826" s="1">
        <v>23</v>
      </c>
      <c r="C1826" s="12">
        <f t="shared" si="252"/>
        <v>0.75</v>
      </c>
      <c r="D1826" s="12">
        <f t="shared" si="253"/>
        <v>-0.14999999999999991</v>
      </c>
      <c r="E1826" s="12">
        <f t="shared" si="254"/>
        <v>11.085057962666665</v>
      </c>
      <c r="F1826" s="12">
        <f t="shared" si="255"/>
        <v>11.085057962666665</v>
      </c>
      <c r="G1826" s="12">
        <f t="shared" si="256"/>
        <v>14.522896355555554</v>
      </c>
      <c r="H1826" s="12">
        <f t="shared" si="257"/>
        <v>14.522896355555554</v>
      </c>
      <c r="I1826" s="1" t="str">
        <f t="shared" si="258"/>
        <v>No</v>
      </c>
      <c r="J1826" s="1" t="str">
        <f t="shared" si="259"/>
        <v>Si</v>
      </c>
      <c r="K1826" s="1" t="str">
        <f t="shared" si="260"/>
        <v/>
      </c>
    </row>
    <row r="1827" spans="1:11" x14ac:dyDescent="0.3">
      <c r="A1827" s="1">
        <v>35</v>
      </c>
      <c r="B1827" s="1">
        <v>24</v>
      </c>
      <c r="C1827" s="12">
        <f t="shared" si="252"/>
        <v>0.75</v>
      </c>
      <c r="D1827" s="12">
        <f t="shared" si="253"/>
        <v>-7.4999999999999956E-2</v>
      </c>
      <c r="E1827" s="12">
        <f t="shared" si="254"/>
        <v>11.082569870222221</v>
      </c>
      <c r="F1827" s="12">
        <f t="shared" si="255"/>
        <v>11.082569870222221</v>
      </c>
      <c r="G1827" s="12">
        <f t="shared" si="256"/>
        <v>14.519392</v>
      </c>
      <c r="H1827" s="12">
        <f t="shared" si="257"/>
        <v>14.519392</v>
      </c>
      <c r="I1827" s="1" t="str">
        <f t="shared" si="258"/>
        <v>No</v>
      </c>
      <c r="J1827" s="1" t="str">
        <f t="shared" si="259"/>
        <v>Si</v>
      </c>
      <c r="K1827" s="1" t="str">
        <f t="shared" si="260"/>
        <v/>
      </c>
    </row>
    <row r="1828" spans="1:11" x14ac:dyDescent="0.3">
      <c r="A1828" s="1">
        <v>35</v>
      </c>
      <c r="B1828" s="1">
        <v>25</v>
      </c>
      <c r="C1828" s="12">
        <f t="shared" si="252"/>
        <v>0.75</v>
      </c>
      <c r="D1828" s="12">
        <f t="shared" si="253"/>
        <v>0</v>
      </c>
      <c r="E1828" s="12">
        <f t="shared" si="254"/>
        <v>11.080081777777776</v>
      </c>
      <c r="F1828" s="12">
        <f t="shared" si="255"/>
        <v>11.080081777777776</v>
      </c>
      <c r="G1828" s="12">
        <f t="shared" si="256"/>
        <v>14.515887644444444</v>
      </c>
      <c r="H1828" s="12">
        <f t="shared" si="257"/>
        <v>14.515887644444444</v>
      </c>
      <c r="I1828" s="1" t="str">
        <f t="shared" si="258"/>
        <v>No</v>
      </c>
      <c r="J1828" s="1" t="str">
        <f t="shared" si="259"/>
        <v>Si</v>
      </c>
      <c r="K1828" s="1" t="str">
        <f t="shared" si="260"/>
        <v/>
      </c>
    </row>
    <row r="1829" spans="1:11" x14ac:dyDescent="0.3">
      <c r="A1829" s="1">
        <v>35</v>
      </c>
      <c r="B1829" s="1">
        <v>26</v>
      </c>
      <c r="C1829" s="12">
        <f t="shared" si="252"/>
        <v>0.75</v>
      </c>
      <c r="D1829" s="12">
        <f t="shared" si="253"/>
        <v>7.4999999999999956E-2</v>
      </c>
      <c r="E1829" s="12">
        <f t="shared" si="254"/>
        <v>11.077593685333332</v>
      </c>
      <c r="F1829" s="12">
        <f t="shared" si="255"/>
        <v>11.077593685333332</v>
      </c>
      <c r="G1829" s="12">
        <f t="shared" si="256"/>
        <v>14.512383288888888</v>
      </c>
      <c r="H1829" s="12">
        <f t="shared" si="257"/>
        <v>14.512383288888888</v>
      </c>
      <c r="I1829" s="1" t="str">
        <f t="shared" si="258"/>
        <v>No</v>
      </c>
      <c r="J1829" s="1" t="str">
        <f t="shared" si="259"/>
        <v>Si</v>
      </c>
      <c r="K1829" s="1" t="str">
        <f t="shared" si="260"/>
        <v/>
      </c>
    </row>
    <row r="1830" spans="1:11" x14ac:dyDescent="0.3">
      <c r="A1830" s="1">
        <v>35</v>
      </c>
      <c r="B1830" s="1">
        <v>27</v>
      </c>
      <c r="C1830" s="12">
        <f t="shared" si="252"/>
        <v>0.75</v>
      </c>
      <c r="D1830" s="12">
        <f t="shared" si="253"/>
        <v>0.14999999999999991</v>
      </c>
      <c r="E1830" s="12">
        <f t="shared" si="254"/>
        <v>11.075105592888887</v>
      </c>
      <c r="F1830" s="12">
        <f t="shared" si="255"/>
        <v>11.075105592888887</v>
      </c>
      <c r="G1830" s="12">
        <f t="shared" si="256"/>
        <v>14.508878933333333</v>
      </c>
      <c r="H1830" s="12">
        <f t="shared" si="257"/>
        <v>14.508878933333333</v>
      </c>
      <c r="I1830" s="1" t="str">
        <f t="shared" si="258"/>
        <v>No</v>
      </c>
      <c r="J1830" s="1" t="str">
        <f t="shared" si="259"/>
        <v>Si</v>
      </c>
      <c r="K1830" s="1" t="str">
        <f t="shared" si="260"/>
        <v/>
      </c>
    </row>
    <row r="1831" spans="1:11" x14ac:dyDescent="0.3">
      <c r="A1831" s="1">
        <v>35</v>
      </c>
      <c r="B1831" s="1">
        <v>28</v>
      </c>
      <c r="C1831" s="12">
        <f t="shared" si="252"/>
        <v>0.75</v>
      </c>
      <c r="D1831" s="12">
        <f t="shared" si="253"/>
        <v>0.22500000000000009</v>
      </c>
      <c r="E1831" s="12">
        <f t="shared" si="254"/>
        <v>11.072617500444442</v>
      </c>
      <c r="F1831" s="12">
        <f t="shared" si="255"/>
        <v>11.072617500444442</v>
      </c>
      <c r="G1831" s="12">
        <f t="shared" si="256"/>
        <v>14.505374577777777</v>
      </c>
      <c r="H1831" s="12">
        <f t="shared" si="257"/>
        <v>14.505374577777777</v>
      </c>
      <c r="I1831" s="1" t="str">
        <f t="shared" si="258"/>
        <v>No</v>
      </c>
      <c r="J1831" s="1" t="str">
        <f t="shared" si="259"/>
        <v>Si</v>
      </c>
      <c r="K1831" s="1" t="str">
        <f t="shared" si="260"/>
        <v/>
      </c>
    </row>
    <row r="1832" spans="1:11" x14ac:dyDescent="0.3">
      <c r="A1832" s="1">
        <v>35</v>
      </c>
      <c r="B1832" s="1">
        <v>29</v>
      </c>
      <c r="C1832" s="12">
        <f t="shared" si="252"/>
        <v>0.75</v>
      </c>
      <c r="D1832" s="12">
        <f t="shared" si="253"/>
        <v>0.29999999999999982</v>
      </c>
      <c r="E1832" s="12">
        <f t="shared" si="254"/>
        <v>11.070129407999998</v>
      </c>
      <c r="F1832" s="12">
        <f t="shared" si="255"/>
        <v>11.070129407999998</v>
      </c>
      <c r="G1832" s="12">
        <f t="shared" si="256"/>
        <v>14.501870222222221</v>
      </c>
      <c r="H1832" s="12">
        <f t="shared" si="257"/>
        <v>14.501870222222221</v>
      </c>
      <c r="I1832" s="1" t="str">
        <f t="shared" si="258"/>
        <v>No</v>
      </c>
      <c r="J1832" s="1" t="str">
        <f t="shared" si="259"/>
        <v>Si</v>
      </c>
      <c r="K1832" s="1" t="str">
        <f t="shared" si="260"/>
        <v/>
      </c>
    </row>
    <row r="1833" spans="1:11" x14ac:dyDescent="0.3">
      <c r="A1833" s="1">
        <v>35</v>
      </c>
      <c r="B1833" s="1">
        <v>30</v>
      </c>
      <c r="C1833" s="12">
        <f t="shared" si="252"/>
        <v>0.75</v>
      </c>
      <c r="D1833" s="12">
        <f t="shared" si="253"/>
        <v>0.375</v>
      </c>
      <c r="E1833" s="12">
        <f t="shared" si="254"/>
        <v>11.067641315555553</v>
      </c>
      <c r="F1833" s="12">
        <f t="shared" si="255"/>
        <v>11.067641315555553</v>
      </c>
      <c r="G1833" s="12">
        <f t="shared" si="256"/>
        <v>14.498365866666665</v>
      </c>
      <c r="H1833" s="12">
        <f t="shared" si="257"/>
        <v>14.498365866666665</v>
      </c>
      <c r="I1833" s="1" t="str">
        <f t="shared" si="258"/>
        <v>No</v>
      </c>
      <c r="J1833" s="1" t="str">
        <f t="shared" si="259"/>
        <v>Si</v>
      </c>
      <c r="K1833" s="1" t="str">
        <f t="shared" si="260"/>
        <v/>
      </c>
    </row>
    <row r="1834" spans="1:11" x14ac:dyDescent="0.3">
      <c r="A1834" s="1">
        <v>35</v>
      </c>
      <c r="B1834" s="1">
        <v>31</v>
      </c>
      <c r="C1834" s="12">
        <f t="shared" si="252"/>
        <v>0.75</v>
      </c>
      <c r="D1834" s="12">
        <f t="shared" si="253"/>
        <v>0.45000000000000018</v>
      </c>
      <c r="E1834" s="12">
        <f t="shared" si="254"/>
        <v>11.065153223111109</v>
      </c>
      <c r="F1834" s="12">
        <f t="shared" si="255"/>
        <v>11.065153223111109</v>
      </c>
      <c r="G1834" s="12">
        <f t="shared" si="256"/>
        <v>14.494861511111111</v>
      </c>
      <c r="H1834" s="12">
        <f t="shared" si="257"/>
        <v>14.494861511111111</v>
      </c>
      <c r="I1834" s="1" t="str">
        <f t="shared" si="258"/>
        <v>No</v>
      </c>
      <c r="J1834" s="1" t="str">
        <f t="shared" si="259"/>
        <v>Si</v>
      </c>
      <c r="K1834" s="1" t="str">
        <f t="shared" si="260"/>
        <v/>
      </c>
    </row>
    <row r="1835" spans="1:11" x14ac:dyDescent="0.3">
      <c r="A1835" s="1">
        <v>35</v>
      </c>
      <c r="B1835" s="1">
        <v>32</v>
      </c>
      <c r="C1835" s="12">
        <f t="shared" si="252"/>
        <v>0.75</v>
      </c>
      <c r="D1835" s="12">
        <f t="shared" si="253"/>
        <v>0.52499999999999991</v>
      </c>
      <c r="E1835" s="12">
        <f t="shared" si="254"/>
        <v>11.062665130666666</v>
      </c>
      <c r="F1835" s="12">
        <f t="shared" si="255"/>
        <v>11.062665130666666</v>
      </c>
      <c r="G1835" s="12">
        <f t="shared" si="256"/>
        <v>14.491357155555555</v>
      </c>
      <c r="H1835" s="12">
        <f t="shared" si="257"/>
        <v>14.491357155555555</v>
      </c>
      <c r="I1835" s="1" t="str">
        <f t="shared" si="258"/>
        <v>No</v>
      </c>
      <c r="J1835" s="1" t="str">
        <f t="shared" si="259"/>
        <v>Si</v>
      </c>
      <c r="K1835" s="1" t="str">
        <f t="shared" si="260"/>
        <v/>
      </c>
    </row>
    <row r="1836" spans="1:11" x14ac:dyDescent="0.3">
      <c r="A1836" s="1">
        <v>35</v>
      </c>
      <c r="B1836" s="1">
        <v>33</v>
      </c>
      <c r="C1836" s="12">
        <f t="shared" si="252"/>
        <v>0.75</v>
      </c>
      <c r="D1836" s="12">
        <f t="shared" si="253"/>
        <v>0.60000000000000009</v>
      </c>
      <c r="E1836" s="12">
        <f t="shared" si="254"/>
        <v>11.060177038222221</v>
      </c>
      <c r="F1836" s="12">
        <f t="shared" si="255"/>
        <v>11.060177038222221</v>
      </c>
      <c r="G1836" s="12">
        <f t="shared" si="256"/>
        <v>14.487852799999999</v>
      </c>
      <c r="H1836" s="12">
        <f t="shared" si="257"/>
        <v>14.487852799999999</v>
      </c>
      <c r="I1836" s="1" t="str">
        <f t="shared" si="258"/>
        <v>No</v>
      </c>
      <c r="J1836" s="1" t="str">
        <f t="shared" si="259"/>
        <v>Si</v>
      </c>
      <c r="K1836" s="1" t="str">
        <f t="shared" si="260"/>
        <v/>
      </c>
    </row>
    <row r="1837" spans="1:11" x14ac:dyDescent="0.3">
      <c r="A1837" s="1">
        <v>35</v>
      </c>
      <c r="B1837" s="1">
        <v>34</v>
      </c>
      <c r="C1837" s="12">
        <f t="shared" si="252"/>
        <v>0.75</v>
      </c>
      <c r="D1837" s="12">
        <f t="shared" si="253"/>
        <v>0.67499999999999982</v>
      </c>
      <c r="E1837" s="12">
        <f t="shared" si="254"/>
        <v>11.057688945777777</v>
      </c>
      <c r="F1837" s="12">
        <f t="shared" si="255"/>
        <v>11.057688945777777</v>
      </c>
      <c r="G1837" s="12">
        <f t="shared" si="256"/>
        <v>14.484348444444445</v>
      </c>
      <c r="H1837" s="12">
        <f t="shared" si="257"/>
        <v>14.484348444444445</v>
      </c>
      <c r="I1837" s="1" t="str">
        <f t="shared" si="258"/>
        <v>No</v>
      </c>
      <c r="J1837" s="1" t="str">
        <f t="shared" si="259"/>
        <v>Si</v>
      </c>
      <c r="K1837" s="1" t="str">
        <f t="shared" si="260"/>
        <v/>
      </c>
    </row>
    <row r="1838" spans="1:11" x14ac:dyDescent="0.3">
      <c r="A1838" s="1">
        <v>35</v>
      </c>
      <c r="B1838" s="1">
        <v>35</v>
      </c>
      <c r="C1838" s="12">
        <f t="shared" si="252"/>
        <v>0.75</v>
      </c>
      <c r="D1838" s="12">
        <f t="shared" si="253"/>
        <v>0.75</v>
      </c>
      <c r="E1838" s="12">
        <f t="shared" si="254"/>
        <v>11.055200853333332</v>
      </c>
      <c r="F1838" s="12">
        <f t="shared" si="255"/>
        <v>11.055200853333332</v>
      </c>
      <c r="G1838" s="12">
        <f t="shared" si="256"/>
        <v>14.480844088888889</v>
      </c>
      <c r="H1838" s="12">
        <f t="shared" si="257"/>
        <v>14.480844088888889</v>
      </c>
      <c r="I1838" s="1" t="str">
        <f t="shared" si="258"/>
        <v>No</v>
      </c>
      <c r="J1838" s="1" t="str">
        <f t="shared" si="259"/>
        <v>Si</v>
      </c>
      <c r="K1838" s="1" t="str">
        <f t="shared" si="260"/>
        <v/>
      </c>
    </row>
    <row r="1839" spans="1:11" x14ac:dyDescent="0.3">
      <c r="A1839" s="1">
        <v>35</v>
      </c>
      <c r="B1839" s="1">
        <v>36</v>
      </c>
      <c r="C1839" s="12">
        <f t="shared" si="252"/>
        <v>0.75</v>
      </c>
      <c r="D1839" s="12">
        <f t="shared" si="253"/>
        <v>0.82500000000000018</v>
      </c>
      <c r="E1839" s="12">
        <f t="shared" si="254"/>
        <v>11.052712760888888</v>
      </c>
      <c r="F1839" s="12">
        <f t="shared" si="255"/>
        <v>11.052712760888888</v>
      </c>
      <c r="G1839" s="12">
        <f t="shared" si="256"/>
        <v>14.477339733333332</v>
      </c>
      <c r="H1839" s="12">
        <f t="shared" si="257"/>
        <v>14.477339733333332</v>
      </c>
      <c r="I1839" s="1" t="str">
        <f t="shared" si="258"/>
        <v>No</v>
      </c>
      <c r="J1839" s="1" t="str">
        <f t="shared" si="259"/>
        <v>Si</v>
      </c>
      <c r="K1839" s="1" t="str">
        <f t="shared" si="260"/>
        <v/>
      </c>
    </row>
    <row r="1840" spans="1:11" x14ac:dyDescent="0.3">
      <c r="A1840" s="1">
        <v>35</v>
      </c>
      <c r="B1840" s="1">
        <v>37</v>
      </c>
      <c r="C1840" s="12">
        <f t="shared" si="252"/>
        <v>0.75</v>
      </c>
      <c r="D1840" s="12">
        <f t="shared" si="253"/>
        <v>0.89999999999999991</v>
      </c>
      <c r="E1840" s="12">
        <f t="shared" si="254"/>
        <v>11.050224668444443</v>
      </c>
      <c r="F1840" s="12">
        <f t="shared" si="255"/>
        <v>11.050224668444443</v>
      </c>
      <c r="G1840" s="12">
        <f t="shared" si="256"/>
        <v>14.473835377777776</v>
      </c>
      <c r="H1840" s="12">
        <f t="shared" si="257"/>
        <v>14.473835377777776</v>
      </c>
      <c r="I1840" s="1" t="str">
        <f t="shared" si="258"/>
        <v>No</v>
      </c>
      <c r="J1840" s="1" t="str">
        <f t="shared" si="259"/>
        <v>Si</v>
      </c>
      <c r="K1840" s="1" t="str">
        <f t="shared" si="260"/>
        <v/>
      </c>
    </row>
    <row r="1841" spans="1:11" x14ac:dyDescent="0.3">
      <c r="A1841" s="1">
        <v>35</v>
      </c>
      <c r="B1841" s="1">
        <v>38</v>
      </c>
      <c r="C1841" s="12">
        <f t="shared" si="252"/>
        <v>0.75</v>
      </c>
      <c r="D1841" s="12">
        <f t="shared" si="253"/>
        <v>0.97500000000000009</v>
      </c>
      <c r="E1841" s="12">
        <f t="shared" si="254"/>
        <v>11.047736575999998</v>
      </c>
      <c r="F1841" s="12">
        <f t="shared" si="255"/>
        <v>11.047736575999998</v>
      </c>
      <c r="G1841" s="12">
        <f t="shared" si="256"/>
        <v>14.470331022222222</v>
      </c>
      <c r="H1841" s="12">
        <f t="shared" si="257"/>
        <v>14.470331022222222</v>
      </c>
      <c r="I1841" s="1" t="str">
        <f t="shared" si="258"/>
        <v>No</v>
      </c>
      <c r="J1841" s="1" t="str">
        <f t="shared" si="259"/>
        <v>Si</v>
      </c>
      <c r="K1841" s="1" t="str">
        <f t="shared" si="260"/>
        <v/>
      </c>
    </row>
    <row r="1842" spans="1:11" x14ac:dyDescent="0.3">
      <c r="A1842" s="1">
        <v>35</v>
      </c>
      <c r="B1842" s="1">
        <v>39</v>
      </c>
      <c r="C1842" s="12">
        <f t="shared" si="252"/>
        <v>0.75</v>
      </c>
      <c r="D1842" s="12">
        <f t="shared" si="253"/>
        <v>1.0499999999999998</v>
      </c>
      <c r="E1842" s="12">
        <f t="shared" si="254"/>
        <v>11.045248483555554</v>
      </c>
      <c r="F1842" s="12">
        <f t="shared" si="255"/>
        <v>11.045248483555554</v>
      </c>
      <c r="G1842" s="12">
        <f t="shared" si="256"/>
        <v>14.466826666666666</v>
      </c>
      <c r="H1842" s="12">
        <f t="shared" si="257"/>
        <v>14.466826666666666</v>
      </c>
      <c r="I1842" s="1" t="str">
        <f t="shared" si="258"/>
        <v>No</v>
      </c>
      <c r="J1842" s="1" t="str">
        <f t="shared" si="259"/>
        <v>Si</v>
      </c>
      <c r="K1842" s="1" t="str">
        <f t="shared" si="260"/>
        <v/>
      </c>
    </row>
    <row r="1843" spans="1:11" x14ac:dyDescent="0.3">
      <c r="A1843" s="1">
        <v>35</v>
      </c>
      <c r="B1843" s="1">
        <v>40</v>
      </c>
      <c r="C1843" s="12">
        <f t="shared" si="252"/>
        <v>0.75</v>
      </c>
      <c r="D1843" s="12">
        <f t="shared" si="253"/>
        <v>1.125</v>
      </c>
      <c r="E1843" s="12">
        <f t="shared" si="254"/>
        <v>11.042760391111109</v>
      </c>
      <c r="F1843" s="12">
        <f t="shared" si="255"/>
        <v>11.042760391111109</v>
      </c>
      <c r="G1843" s="12">
        <f t="shared" si="256"/>
        <v>14.46332231111111</v>
      </c>
      <c r="H1843" s="12">
        <f t="shared" si="257"/>
        <v>14.46332231111111</v>
      </c>
      <c r="I1843" s="1" t="str">
        <f t="shared" si="258"/>
        <v>No</v>
      </c>
      <c r="J1843" s="1" t="str">
        <f t="shared" si="259"/>
        <v>Si</v>
      </c>
      <c r="K1843" s="1" t="str">
        <f t="shared" si="260"/>
        <v/>
      </c>
    </row>
    <row r="1844" spans="1:11" x14ac:dyDescent="0.3">
      <c r="A1844" s="1">
        <v>35</v>
      </c>
      <c r="B1844" s="1">
        <v>41</v>
      </c>
      <c r="C1844" s="12">
        <f t="shared" si="252"/>
        <v>0.75</v>
      </c>
      <c r="D1844" s="12">
        <f t="shared" si="253"/>
        <v>1.2000000000000002</v>
      </c>
      <c r="E1844" s="12">
        <f t="shared" si="254"/>
        <v>11.040272298666665</v>
      </c>
      <c r="F1844" s="12">
        <f t="shared" si="255"/>
        <v>11.040272298666665</v>
      </c>
      <c r="G1844" s="12">
        <f t="shared" si="256"/>
        <v>14.459817955555556</v>
      </c>
      <c r="H1844" s="12">
        <f t="shared" si="257"/>
        <v>14.459817955555556</v>
      </c>
      <c r="I1844" s="1" t="str">
        <f t="shared" si="258"/>
        <v>No</v>
      </c>
      <c r="J1844" s="1" t="str">
        <f t="shared" si="259"/>
        <v>Si</v>
      </c>
      <c r="K1844" s="1" t="str">
        <f t="shared" si="260"/>
        <v/>
      </c>
    </row>
    <row r="1845" spans="1:11" x14ac:dyDescent="0.3">
      <c r="A1845" s="1">
        <v>35</v>
      </c>
      <c r="B1845" s="1">
        <v>42</v>
      </c>
      <c r="C1845" s="12">
        <f t="shared" si="252"/>
        <v>0.75</v>
      </c>
      <c r="D1845" s="12">
        <f t="shared" si="253"/>
        <v>1.2749999999999999</v>
      </c>
      <c r="E1845" s="12">
        <f t="shared" si="254"/>
        <v>11.03778420622222</v>
      </c>
      <c r="F1845" s="12">
        <f t="shared" si="255"/>
        <v>11.03778420622222</v>
      </c>
      <c r="G1845" s="12">
        <f t="shared" si="256"/>
        <v>14.4563136</v>
      </c>
      <c r="H1845" s="12">
        <f t="shared" si="257"/>
        <v>14.4563136</v>
      </c>
      <c r="I1845" s="1" t="str">
        <f t="shared" si="258"/>
        <v>No</v>
      </c>
      <c r="J1845" s="1" t="str">
        <f t="shared" si="259"/>
        <v>Si</v>
      </c>
      <c r="K1845" s="1" t="str">
        <f t="shared" si="260"/>
        <v/>
      </c>
    </row>
    <row r="1846" spans="1:11" x14ac:dyDescent="0.3">
      <c r="A1846" s="1">
        <v>35</v>
      </c>
      <c r="B1846" s="1">
        <v>43</v>
      </c>
      <c r="C1846" s="12">
        <f t="shared" si="252"/>
        <v>0.75</v>
      </c>
      <c r="D1846" s="12">
        <f t="shared" si="253"/>
        <v>1.35</v>
      </c>
      <c r="E1846" s="12">
        <f t="shared" si="254"/>
        <v>11.035296113777775</v>
      </c>
      <c r="F1846" s="12">
        <f t="shared" si="255"/>
        <v>11.035296113777775</v>
      </c>
      <c r="G1846" s="12">
        <f t="shared" si="256"/>
        <v>14.452809244444444</v>
      </c>
      <c r="H1846" s="12">
        <f t="shared" si="257"/>
        <v>14.452809244444444</v>
      </c>
      <c r="I1846" s="1" t="str">
        <f t="shared" si="258"/>
        <v>No</v>
      </c>
      <c r="J1846" s="1" t="str">
        <f t="shared" si="259"/>
        <v>Si</v>
      </c>
      <c r="K1846" s="1" t="str">
        <f t="shared" si="260"/>
        <v/>
      </c>
    </row>
    <row r="1847" spans="1:11" x14ac:dyDescent="0.3">
      <c r="A1847" s="1">
        <v>35</v>
      </c>
      <c r="B1847" s="1">
        <v>44</v>
      </c>
      <c r="C1847" s="12">
        <f t="shared" si="252"/>
        <v>0.75</v>
      </c>
      <c r="D1847" s="12">
        <f t="shared" si="253"/>
        <v>1.4249999999999998</v>
      </c>
      <c r="E1847" s="12">
        <f t="shared" si="254"/>
        <v>11.032808021333333</v>
      </c>
      <c r="F1847" s="12">
        <f t="shared" si="255"/>
        <v>11.032808021333333</v>
      </c>
      <c r="G1847" s="12">
        <f t="shared" si="256"/>
        <v>14.449304888888888</v>
      </c>
      <c r="H1847" s="12">
        <f t="shared" si="257"/>
        <v>14.449304888888888</v>
      </c>
      <c r="I1847" s="1" t="str">
        <f t="shared" si="258"/>
        <v>No</v>
      </c>
      <c r="J1847" s="1" t="str">
        <f t="shared" si="259"/>
        <v>Si</v>
      </c>
      <c r="K1847" s="1" t="str">
        <f t="shared" si="260"/>
        <v/>
      </c>
    </row>
    <row r="1848" spans="1:11" x14ac:dyDescent="0.3">
      <c r="A1848" s="1">
        <v>35</v>
      </c>
      <c r="B1848" s="1">
        <v>45</v>
      </c>
      <c r="C1848" s="12">
        <f t="shared" si="252"/>
        <v>0.75</v>
      </c>
      <c r="D1848" s="12">
        <f t="shared" si="253"/>
        <v>1.5</v>
      </c>
      <c r="E1848" s="12">
        <f t="shared" si="254"/>
        <v>11.030319928888888</v>
      </c>
      <c r="F1848" s="12">
        <f t="shared" si="255"/>
        <v>11.030319928888888</v>
      </c>
      <c r="G1848" s="12">
        <f t="shared" si="256"/>
        <v>14.445800533333333</v>
      </c>
      <c r="H1848" s="12">
        <f t="shared" si="257"/>
        <v>14.445800533333333</v>
      </c>
      <c r="I1848" s="1" t="str">
        <f t="shared" si="258"/>
        <v>No</v>
      </c>
      <c r="J1848" s="1" t="str">
        <f t="shared" si="259"/>
        <v>Si</v>
      </c>
      <c r="K1848" s="1" t="str">
        <f t="shared" si="260"/>
        <v/>
      </c>
    </row>
    <row r="1849" spans="1:11" x14ac:dyDescent="0.3">
      <c r="A1849" s="1">
        <v>35</v>
      </c>
      <c r="B1849" s="1">
        <v>46</v>
      </c>
      <c r="C1849" s="12">
        <f t="shared" si="252"/>
        <v>0.75</v>
      </c>
      <c r="D1849" s="12">
        <f t="shared" si="253"/>
        <v>1.5750000000000002</v>
      </c>
      <c r="E1849" s="12">
        <f t="shared" si="254"/>
        <v>11.027831836444443</v>
      </c>
      <c r="F1849" s="12">
        <f t="shared" si="255"/>
        <v>11.027831836444443</v>
      </c>
      <c r="G1849" s="12">
        <f t="shared" si="256"/>
        <v>14.442296177777777</v>
      </c>
      <c r="H1849" s="12">
        <f t="shared" si="257"/>
        <v>14.442296177777777</v>
      </c>
      <c r="I1849" s="1" t="str">
        <f t="shared" si="258"/>
        <v>No</v>
      </c>
      <c r="J1849" s="1" t="str">
        <f t="shared" si="259"/>
        <v>Si</v>
      </c>
      <c r="K1849" s="1" t="str">
        <f t="shared" si="260"/>
        <v/>
      </c>
    </row>
    <row r="1850" spans="1:11" x14ac:dyDescent="0.3">
      <c r="A1850" s="1">
        <v>35</v>
      </c>
      <c r="B1850" s="1">
        <v>47</v>
      </c>
      <c r="C1850" s="12">
        <f t="shared" si="252"/>
        <v>0.75</v>
      </c>
      <c r="D1850" s="12">
        <f t="shared" si="253"/>
        <v>1.65</v>
      </c>
      <c r="E1850" s="12">
        <f t="shared" si="254"/>
        <v>11.025343743999999</v>
      </c>
      <c r="F1850" s="12">
        <f t="shared" si="255"/>
        <v>11.025343743999999</v>
      </c>
      <c r="G1850" s="12">
        <f t="shared" si="256"/>
        <v>14.438791822222221</v>
      </c>
      <c r="H1850" s="12">
        <f t="shared" si="257"/>
        <v>14.438791822222221</v>
      </c>
      <c r="I1850" s="1" t="str">
        <f t="shared" si="258"/>
        <v>No</v>
      </c>
      <c r="J1850" s="1" t="str">
        <f t="shared" si="259"/>
        <v>Si</v>
      </c>
      <c r="K1850" s="1" t="str">
        <f t="shared" si="260"/>
        <v/>
      </c>
    </row>
    <row r="1851" spans="1:11" x14ac:dyDescent="0.3">
      <c r="A1851" s="1">
        <v>35</v>
      </c>
      <c r="B1851" s="1">
        <v>48</v>
      </c>
      <c r="C1851" s="12">
        <f t="shared" si="252"/>
        <v>0.75</v>
      </c>
      <c r="D1851" s="12">
        <f t="shared" si="253"/>
        <v>1.7250000000000001</v>
      </c>
      <c r="E1851" s="12">
        <f t="shared" si="254"/>
        <v>11.022855651555554</v>
      </c>
      <c r="F1851" s="12">
        <f t="shared" si="255"/>
        <v>11.022855651555554</v>
      </c>
      <c r="G1851" s="12">
        <f t="shared" si="256"/>
        <v>14.435287466666667</v>
      </c>
      <c r="H1851" s="12">
        <f t="shared" si="257"/>
        <v>14.435287466666667</v>
      </c>
      <c r="I1851" s="1" t="str">
        <f t="shared" si="258"/>
        <v>No</v>
      </c>
      <c r="J1851" s="1" t="str">
        <f t="shared" si="259"/>
        <v>Si</v>
      </c>
      <c r="K1851" s="1" t="str">
        <f t="shared" si="260"/>
        <v/>
      </c>
    </row>
    <row r="1852" spans="1:11" x14ac:dyDescent="0.3">
      <c r="A1852" s="1">
        <v>35</v>
      </c>
      <c r="B1852" s="1">
        <v>49</v>
      </c>
      <c r="C1852" s="12">
        <f t="shared" si="252"/>
        <v>0.75</v>
      </c>
      <c r="D1852" s="12">
        <f t="shared" si="253"/>
        <v>1.7999999999999998</v>
      </c>
      <c r="E1852" s="12">
        <f t="shared" si="254"/>
        <v>11.02036755911111</v>
      </c>
      <c r="F1852" s="12">
        <f t="shared" si="255"/>
        <v>11.02036755911111</v>
      </c>
      <c r="G1852" s="12">
        <f t="shared" si="256"/>
        <v>14.431783111111111</v>
      </c>
      <c r="H1852" s="12">
        <f t="shared" si="257"/>
        <v>14.431783111111111</v>
      </c>
      <c r="I1852" s="1" t="str">
        <f t="shared" si="258"/>
        <v>No</v>
      </c>
      <c r="J1852" s="1" t="str">
        <f t="shared" si="259"/>
        <v>Si</v>
      </c>
      <c r="K1852" s="1" t="str">
        <f t="shared" si="260"/>
        <v/>
      </c>
    </row>
    <row r="1853" spans="1:11" x14ac:dyDescent="0.3">
      <c r="A1853" s="1">
        <v>35</v>
      </c>
      <c r="B1853" s="1">
        <v>50</v>
      </c>
      <c r="C1853" s="12">
        <f t="shared" si="252"/>
        <v>0.75</v>
      </c>
      <c r="D1853" s="12">
        <f t="shared" si="253"/>
        <v>1.875</v>
      </c>
      <c r="E1853" s="12">
        <f t="shared" si="254"/>
        <v>11.017879466666665</v>
      </c>
      <c r="F1853" s="12">
        <f t="shared" si="255"/>
        <v>11.017879466666665</v>
      </c>
      <c r="G1853" s="12">
        <f t="shared" si="256"/>
        <v>14.428278755555555</v>
      </c>
      <c r="H1853" s="12">
        <f t="shared" si="257"/>
        <v>14.428278755555555</v>
      </c>
      <c r="I1853" s="1" t="str">
        <f t="shared" si="258"/>
        <v>No</v>
      </c>
      <c r="J1853" s="1" t="str">
        <f t="shared" si="259"/>
        <v>Si</v>
      </c>
      <c r="K1853" s="1" t="str">
        <f t="shared" si="260"/>
        <v/>
      </c>
    </row>
    <row r="1854" spans="1:11" x14ac:dyDescent="0.3">
      <c r="A1854" s="1">
        <v>36</v>
      </c>
      <c r="B1854" s="1">
        <v>0</v>
      </c>
      <c r="C1854" s="12">
        <f t="shared" si="252"/>
        <v>0.82500000000000018</v>
      </c>
      <c r="D1854" s="12">
        <f t="shared" si="253"/>
        <v>-1.875</v>
      </c>
      <c r="E1854" s="12">
        <f t="shared" si="254"/>
        <v>11.142978133333333</v>
      </c>
      <c r="F1854" s="12">
        <f t="shared" si="255"/>
        <v>11.142978133333333</v>
      </c>
      <c r="G1854" s="12">
        <f t="shared" si="256"/>
        <v>14.604534186666665</v>
      </c>
      <c r="H1854" s="12">
        <f t="shared" si="257"/>
        <v>14.604534186666665</v>
      </c>
      <c r="I1854" s="1" t="str">
        <f t="shared" si="258"/>
        <v>No</v>
      </c>
      <c r="J1854" s="1" t="str">
        <f t="shared" si="259"/>
        <v>Si</v>
      </c>
      <c r="K1854" s="1" t="str">
        <f t="shared" si="260"/>
        <v/>
      </c>
    </row>
    <row r="1855" spans="1:11" x14ac:dyDescent="0.3">
      <c r="A1855" s="1">
        <v>36</v>
      </c>
      <c r="B1855" s="1">
        <v>1</v>
      </c>
      <c r="C1855" s="12">
        <f t="shared" si="252"/>
        <v>0.82500000000000018</v>
      </c>
      <c r="D1855" s="12">
        <f t="shared" si="253"/>
        <v>-1.8</v>
      </c>
      <c r="E1855" s="12">
        <f t="shared" si="254"/>
        <v>11.140490040888889</v>
      </c>
      <c r="F1855" s="12">
        <f t="shared" si="255"/>
        <v>11.140490040888889</v>
      </c>
      <c r="G1855" s="12">
        <f t="shared" si="256"/>
        <v>14.601029831111109</v>
      </c>
      <c r="H1855" s="12">
        <f t="shared" si="257"/>
        <v>14.601029831111109</v>
      </c>
      <c r="I1855" s="1" t="str">
        <f t="shared" si="258"/>
        <v>No</v>
      </c>
      <c r="J1855" s="1" t="str">
        <f t="shared" si="259"/>
        <v>Si</v>
      </c>
      <c r="K1855" s="1" t="str">
        <f t="shared" si="260"/>
        <v/>
      </c>
    </row>
    <row r="1856" spans="1:11" x14ac:dyDescent="0.3">
      <c r="A1856" s="1">
        <v>36</v>
      </c>
      <c r="B1856" s="1">
        <v>2</v>
      </c>
      <c r="C1856" s="12">
        <f t="shared" si="252"/>
        <v>0.82500000000000018</v>
      </c>
      <c r="D1856" s="12">
        <f t="shared" si="253"/>
        <v>-1.7250000000000001</v>
      </c>
      <c r="E1856" s="12">
        <f t="shared" si="254"/>
        <v>11.138001948444444</v>
      </c>
      <c r="F1856" s="12">
        <f t="shared" si="255"/>
        <v>11.138001948444444</v>
      </c>
      <c r="G1856" s="12">
        <f t="shared" si="256"/>
        <v>14.597525475555553</v>
      </c>
      <c r="H1856" s="12">
        <f t="shared" si="257"/>
        <v>14.597525475555553</v>
      </c>
      <c r="I1856" s="1" t="str">
        <f t="shared" si="258"/>
        <v>No</v>
      </c>
      <c r="J1856" s="1" t="str">
        <f t="shared" si="259"/>
        <v>Si</v>
      </c>
      <c r="K1856" s="1" t="str">
        <f t="shared" si="260"/>
        <v/>
      </c>
    </row>
    <row r="1857" spans="1:11" x14ac:dyDescent="0.3">
      <c r="A1857" s="1">
        <v>36</v>
      </c>
      <c r="B1857" s="1">
        <v>3</v>
      </c>
      <c r="C1857" s="12">
        <f t="shared" si="252"/>
        <v>0.82500000000000018</v>
      </c>
      <c r="D1857" s="12">
        <f t="shared" si="253"/>
        <v>-1.65</v>
      </c>
      <c r="E1857" s="12">
        <f t="shared" si="254"/>
        <v>11.135513855999999</v>
      </c>
      <c r="F1857" s="12">
        <f t="shared" si="255"/>
        <v>11.135513855999999</v>
      </c>
      <c r="G1857" s="12">
        <f t="shared" si="256"/>
        <v>14.594021119999999</v>
      </c>
      <c r="H1857" s="12">
        <f t="shared" si="257"/>
        <v>14.594021119999999</v>
      </c>
      <c r="I1857" s="1" t="str">
        <f t="shared" si="258"/>
        <v>No</v>
      </c>
      <c r="J1857" s="1" t="str">
        <f t="shared" si="259"/>
        <v>Si</v>
      </c>
      <c r="K1857" s="1" t="str">
        <f t="shared" si="260"/>
        <v/>
      </c>
    </row>
    <row r="1858" spans="1:11" x14ac:dyDescent="0.3">
      <c r="A1858" s="1">
        <v>36</v>
      </c>
      <c r="B1858" s="1">
        <v>4</v>
      </c>
      <c r="C1858" s="12">
        <f t="shared" si="252"/>
        <v>0.82500000000000018</v>
      </c>
      <c r="D1858" s="12">
        <f t="shared" si="253"/>
        <v>-1.575</v>
      </c>
      <c r="E1858" s="12">
        <f t="shared" si="254"/>
        <v>11.133025763555555</v>
      </c>
      <c r="F1858" s="12">
        <f t="shared" si="255"/>
        <v>11.133025763555555</v>
      </c>
      <c r="G1858" s="12">
        <f t="shared" si="256"/>
        <v>14.590516764444443</v>
      </c>
      <c r="H1858" s="12">
        <f t="shared" si="257"/>
        <v>14.590516764444443</v>
      </c>
      <c r="I1858" s="1" t="str">
        <f t="shared" si="258"/>
        <v>No</v>
      </c>
      <c r="J1858" s="1" t="str">
        <f t="shared" si="259"/>
        <v>Si</v>
      </c>
      <c r="K1858" s="1" t="str">
        <f t="shared" si="260"/>
        <v/>
      </c>
    </row>
    <row r="1859" spans="1:11" x14ac:dyDescent="0.3">
      <c r="A1859" s="1">
        <v>36</v>
      </c>
      <c r="B1859" s="1">
        <v>5</v>
      </c>
      <c r="C1859" s="12">
        <f t="shared" si="252"/>
        <v>0.82500000000000018</v>
      </c>
      <c r="D1859" s="12">
        <f t="shared" si="253"/>
        <v>-1.5</v>
      </c>
      <c r="E1859" s="12">
        <f t="shared" si="254"/>
        <v>11.13053767111111</v>
      </c>
      <c r="F1859" s="12">
        <f t="shared" si="255"/>
        <v>11.13053767111111</v>
      </c>
      <c r="G1859" s="12">
        <f t="shared" si="256"/>
        <v>14.587012408888887</v>
      </c>
      <c r="H1859" s="12">
        <f t="shared" si="257"/>
        <v>14.587012408888887</v>
      </c>
      <c r="I1859" s="1" t="str">
        <f t="shared" si="258"/>
        <v>No</v>
      </c>
      <c r="J1859" s="1" t="str">
        <f t="shared" si="259"/>
        <v>Si</v>
      </c>
      <c r="K1859" s="1" t="str">
        <f t="shared" si="260"/>
        <v/>
      </c>
    </row>
    <row r="1860" spans="1:11" x14ac:dyDescent="0.3">
      <c r="A1860" s="1">
        <v>36</v>
      </c>
      <c r="B1860" s="1">
        <v>6</v>
      </c>
      <c r="C1860" s="12">
        <f t="shared" si="252"/>
        <v>0.82500000000000018</v>
      </c>
      <c r="D1860" s="12">
        <f t="shared" si="253"/>
        <v>-1.425</v>
      </c>
      <c r="E1860" s="12">
        <f t="shared" si="254"/>
        <v>11.128049578666666</v>
      </c>
      <c r="F1860" s="12">
        <f t="shared" si="255"/>
        <v>11.128049578666666</v>
      </c>
      <c r="G1860" s="12">
        <f t="shared" si="256"/>
        <v>14.583508053333333</v>
      </c>
      <c r="H1860" s="12">
        <f t="shared" si="257"/>
        <v>14.583508053333333</v>
      </c>
      <c r="I1860" s="1" t="str">
        <f t="shared" si="258"/>
        <v>No</v>
      </c>
      <c r="J1860" s="1" t="str">
        <f t="shared" si="259"/>
        <v>Si</v>
      </c>
      <c r="K1860" s="1" t="str">
        <f t="shared" si="260"/>
        <v/>
      </c>
    </row>
    <row r="1861" spans="1:11" x14ac:dyDescent="0.3">
      <c r="A1861" s="1">
        <v>36</v>
      </c>
      <c r="B1861" s="1">
        <v>7</v>
      </c>
      <c r="C1861" s="12">
        <f t="shared" si="252"/>
        <v>0.82500000000000018</v>
      </c>
      <c r="D1861" s="12">
        <f t="shared" si="253"/>
        <v>-1.35</v>
      </c>
      <c r="E1861" s="12">
        <f t="shared" si="254"/>
        <v>11.125561486222223</v>
      </c>
      <c r="F1861" s="12">
        <f t="shared" si="255"/>
        <v>11.125561486222223</v>
      </c>
      <c r="G1861" s="12">
        <f t="shared" si="256"/>
        <v>14.580003697777776</v>
      </c>
      <c r="H1861" s="12">
        <f t="shared" si="257"/>
        <v>14.580003697777776</v>
      </c>
      <c r="I1861" s="1" t="str">
        <f t="shared" si="258"/>
        <v>No</v>
      </c>
      <c r="J1861" s="1" t="str">
        <f t="shared" si="259"/>
        <v>Si</v>
      </c>
      <c r="K1861" s="1" t="str">
        <f t="shared" si="260"/>
        <v/>
      </c>
    </row>
    <row r="1862" spans="1:11" x14ac:dyDescent="0.3">
      <c r="A1862" s="1">
        <v>36</v>
      </c>
      <c r="B1862" s="1">
        <v>8</v>
      </c>
      <c r="C1862" s="12">
        <f t="shared" si="252"/>
        <v>0.82500000000000018</v>
      </c>
      <c r="D1862" s="12">
        <f t="shared" si="253"/>
        <v>-1.2749999999999999</v>
      </c>
      <c r="E1862" s="12">
        <f t="shared" si="254"/>
        <v>11.123073393777778</v>
      </c>
      <c r="F1862" s="12">
        <f t="shared" si="255"/>
        <v>11.123073393777778</v>
      </c>
      <c r="G1862" s="12">
        <f t="shared" si="256"/>
        <v>14.57649934222222</v>
      </c>
      <c r="H1862" s="12">
        <f t="shared" si="257"/>
        <v>14.57649934222222</v>
      </c>
      <c r="I1862" s="1" t="str">
        <f t="shared" si="258"/>
        <v>No</v>
      </c>
      <c r="J1862" s="1" t="str">
        <f t="shared" si="259"/>
        <v>Si</v>
      </c>
      <c r="K1862" s="1" t="str">
        <f t="shared" si="260"/>
        <v/>
      </c>
    </row>
    <row r="1863" spans="1:11" x14ac:dyDescent="0.3">
      <c r="A1863" s="1">
        <v>36</v>
      </c>
      <c r="B1863" s="1">
        <v>9</v>
      </c>
      <c r="C1863" s="12">
        <f t="shared" si="252"/>
        <v>0.82500000000000018</v>
      </c>
      <c r="D1863" s="12">
        <f t="shared" si="253"/>
        <v>-1.2</v>
      </c>
      <c r="E1863" s="12">
        <f t="shared" si="254"/>
        <v>11.120585301333334</v>
      </c>
      <c r="F1863" s="12">
        <f t="shared" si="255"/>
        <v>11.120585301333334</v>
      </c>
      <c r="G1863" s="12">
        <f t="shared" si="256"/>
        <v>14.572994986666664</v>
      </c>
      <c r="H1863" s="12">
        <f t="shared" si="257"/>
        <v>14.572994986666664</v>
      </c>
      <c r="I1863" s="1" t="str">
        <f t="shared" si="258"/>
        <v>No</v>
      </c>
      <c r="J1863" s="1" t="str">
        <f t="shared" si="259"/>
        <v>Si</v>
      </c>
      <c r="K1863" s="1" t="str">
        <f t="shared" si="260"/>
        <v/>
      </c>
    </row>
    <row r="1864" spans="1:11" x14ac:dyDescent="0.3">
      <c r="A1864" s="1">
        <v>36</v>
      </c>
      <c r="B1864" s="1">
        <v>10</v>
      </c>
      <c r="C1864" s="12">
        <f t="shared" si="252"/>
        <v>0.82500000000000018</v>
      </c>
      <c r="D1864" s="12">
        <f t="shared" si="253"/>
        <v>-1.125</v>
      </c>
      <c r="E1864" s="12">
        <f t="shared" si="254"/>
        <v>11.118097208888889</v>
      </c>
      <c r="F1864" s="12">
        <f t="shared" si="255"/>
        <v>11.118097208888889</v>
      </c>
      <c r="G1864" s="12">
        <f t="shared" si="256"/>
        <v>14.56949063111111</v>
      </c>
      <c r="H1864" s="12">
        <f t="shared" si="257"/>
        <v>14.56949063111111</v>
      </c>
      <c r="I1864" s="1" t="str">
        <f t="shared" si="258"/>
        <v>No</v>
      </c>
      <c r="J1864" s="1" t="str">
        <f t="shared" si="259"/>
        <v>Si</v>
      </c>
      <c r="K1864" s="1" t="str">
        <f t="shared" si="260"/>
        <v/>
      </c>
    </row>
    <row r="1865" spans="1:11" x14ac:dyDescent="0.3">
      <c r="A1865" s="1">
        <v>36</v>
      </c>
      <c r="B1865" s="1">
        <v>11</v>
      </c>
      <c r="C1865" s="12">
        <f t="shared" si="252"/>
        <v>0.82500000000000018</v>
      </c>
      <c r="D1865" s="12">
        <f t="shared" si="253"/>
        <v>-1.05</v>
      </c>
      <c r="E1865" s="12">
        <f t="shared" si="254"/>
        <v>11.115609116444444</v>
      </c>
      <c r="F1865" s="12">
        <f t="shared" si="255"/>
        <v>11.115609116444444</v>
      </c>
      <c r="G1865" s="12">
        <f t="shared" si="256"/>
        <v>14.565986275555554</v>
      </c>
      <c r="H1865" s="12">
        <f t="shared" si="257"/>
        <v>14.565986275555554</v>
      </c>
      <c r="I1865" s="1" t="str">
        <f t="shared" si="258"/>
        <v>No</v>
      </c>
      <c r="J1865" s="1" t="str">
        <f t="shared" si="259"/>
        <v>Si</v>
      </c>
      <c r="K1865" s="1" t="str">
        <f t="shared" si="260"/>
        <v/>
      </c>
    </row>
    <row r="1866" spans="1:11" x14ac:dyDescent="0.3">
      <c r="A1866" s="1">
        <v>36</v>
      </c>
      <c r="B1866" s="1">
        <v>12</v>
      </c>
      <c r="C1866" s="12">
        <f t="shared" si="252"/>
        <v>0.82500000000000018</v>
      </c>
      <c r="D1866" s="12">
        <f t="shared" si="253"/>
        <v>-0.97499999999999998</v>
      </c>
      <c r="E1866" s="12">
        <f t="shared" si="254"/>
        <v>11.113121024</v>
      </c>
      <c r="F1866" s="12">
        <f t="shared" si="255"/>
        <v>11.113121024</v>
      </c>
      <c r="G1866" s="12">
        <f t="shared" si="256"/>
        <v>14.562481919999998</v>
      </c>
      <c r="H1866" s="12">
        <f t="shared" si="257"/>
        <v>14.562481919999998</v>
      </c>
      <c r="I1866" s="1" t="str">
        <f t="shared" si="258"/>
        <v>No</v>
      </c>
      <c r="J1866" s="1" t="str">
        <f t="shared" si="259"/>
        <v>Si</v>
      </c>
      <c r="K1866" s="1" t="str">
        <f t="shared" si="260"/>
        <v/>
      </c>
    </row>
    <row r="1867" spans="1:11" x14ac:dyDescent="0.3">
      <c r="A1867" s="1">
        <v>36</v>
      </c>
      <c r="B1867" s="1">
        <v>13</v>
      </c>
      <c r="C1867" s="12">
        <f t="shared" si="252"/>
        <v>0.82500000000000018</v>
      </c>
      <c r="D1867" s="12">
        <f t="shared" si="253"/>
        <v>-0.9</v>
      </c>
      <c r="E1867" s="12">
        <f t="shared" si="254"/>
        <v>11.110632931555555</v>
      </c>
      <c r="F1867" s="12">
        <f t="shared" si="255"/>
        <v>11.110632931555555</v>
      </c>
      <c r="G1867" s="12">
        <f t="shared" si="256"/>
        <v>14.558977564444444</v>
      </c>
      <c r="H1867" s="12">
        <f t="shared" si="257"/>
        <v>14.558977564444444</v>
      </c>
      <c r="I1867" s="1" t="str">
        <f t="shared" si="258"/>
        <v>No</v>
      </c>
      <c r="J1867" s="1" t="str">
        <f t="shared" si="259"/>
        <v>Si</v>
      </c>
      <c r="K1867" s="1" t="str">
        <f t="shared" si="260"/>
        <v/>
      </c>
    </row>
    <row r="1868" spans="1:11" x14ac:dyDescent="0.3">
      <c r="A1868" s="1">
        <v>36</v>
      </c>
      <c r="B1868" s="1">
        <v>14</v>
      </c>
      <c r="C1868" s="12">
        <f t="shared" si="252"/>
        <v>0.82500000000000018</v>
      </c>
      <c r="D1868" s="12">
        <f t="shared" si="253"/>
        <v>-0.82499999999999996</v>
      </c>
      <c r="E1868" s="12">
        <f t="shared" si="254"/>
        <v>11.108144839111111</v>
      </c>
      <c r="F1868" s="12">
        <f t="shared" si="255"/>
        <v>11.108144839111111</v>
      </c>
      <c r="G1868" s="12">
        <f t="shared" si="256"/>
        <v>14.555473208888888</v>
      </c>
      <c r="H1868" s="12">
        <f t="shared" si="257"/>
        <v>14.555473208888888</v>
      </c>
      <c r="I1868" s="1" t="str">
        <f t="shared" si="258"/>
        <v>No</v>
      </c>
      <c r="J1868" s="1" t="str">
        <f t="shared" si="259"/>
        <v>Si</v>
      </c>
      <c r="K1868" s="1" t="str">
        <f t="shared" si="260"/>
        <v/>
      </c>
    </row>
    <row r="1869" spans="1:11" x14ac:dyDescent="0.3">
      <c r="A1869" s="1">
        <v>36</v>
      </c>
      <c r="B1869" s="1">
        <v>15</v>
      </c>
      <c r="C1869" s="12">
        <f t="shared" si="252"/>
        <v>0.82500000000000018</v>
      </c>
      <c r="D1869" s="12">
        <f t="shared" si="253"/>
        <v>-0.75</v>
      </c>
      <c r="E1869" s="12">
        <f t="shared" si="254"/>
        <v>11.105656746666666</v>
      </c>
      <c r="F1869" s="12">
        <f t="shared" si="255"/>
        <v>11.105656746666666</v>
      </c>
      <c r="G1869" s="12">
        <f t="shared" si="256"/>
        <v>14.551968853333332</v>
      </c>
      <c r="H1869" s="12">
        <f t="shared" si="257"/>
        <v>14.551968853333332</v>
      </c>
      <c r="I1869" s="1" t="str">
        <f t="shared" si="258"/>
        <v>No</v>
      </c>
      <c r="J1869" s="1" t="str">
        <f t="shared" si="259"/>
        <v>Si</v>
      </c>
      <c r="K1869" s="1" t="str">
        <f t="shared" si="260"/>
        <v/>
      </c>
    </row>
    <row r="1870" spans="1:11" x14ac:dyDescent="0.3">
      <c r="A1870" s="1">
        <v>36</v>
      </c>
      <c r="B1870" s="1">
        <v>16</v>
      </c>
      <c r="C1870" s="12">
        <f t="shared" si="252"/>
        <v>0.82500000000000018</v>
      </c>
      <c r="D1870" s="12">
        <f t="shared" si="253"/>
        <v>-0.67500000000000004</v>
      </c>
      <c r="E1870" s="12">
        <f t="shared" si="254"/>
        <v>11.103168654222221</v>
      </c>
      <c r="F1870" s="12">
        <f t="shared" si="255"/>
        <v>11.103168654222221</v>
      </c>
      <c r="G1870" s="12">
        <f t="shared" si="256"/>
        <v>14.548464497777776</v>
      </c>
      <c r="H1870" s="12">
        <f t="shared" si="257"/>
        <v>14.548464497777776</v>
      </c>
      <c r="I1870" s="1" t="str">
        <f t="shared" si="258"/>
        <v>No</v>
      </c>
      <c r="J1870" s="1" t="str">
        <f t="shared" si="259"/>
        <v>Si</v>
      </c>
      <c r="K1870" s="1" t="str">
        <f t="shared" si="260"/>
        <v/>
      </c>
    </row>
    <row r="1871" spans="1:11" x14ac:dyDescent="0.3">
      <c r="A1871" s="1">
        <v>36</v>
      </c>
      <c r="B1871" s="1">
        <v>17</v>
      </c>
      <c r="C1871" s="12">
        <f t="shared" si="252"/>
        <v>0.82500000000000018</v>
      </c>
      <c r="D1871" s="12">
        <f t="shared" si="253"/>
        <v>-0.60000000000000009</v>
      </c>
      <c r="E1871" s="12">
        <f t="shared" si="254"/>
        <v>11.100680561777777</v>
      </c>
      <c r="F1871" s="12">
        <f t="shared" si="255"/>
        <v>11.100680561777777</v>
      </c>
      <c r="G1871" s="12">
        <f t="shared" si="256"/>
        <v>14.544960142222221</v>
      </c>
      <c r="H1871" s="12">
        <f t="shared" si="257"/>
        <v>14.544960142222221</v>
      </c>
      <c r="I1871" s="1" t="str">
        <f t="shared" si="258"/>
        <v>No</v>
      </c>
      <c r="J1871" s="1" t="str">
        <f t="shared" si="259"/>
        <v>Si</v>
      </c>
      <c r="K1871" s="1" t="str">
        <f t="shared" si="260"/>
        <v/>
      </c>
    </row>
    <row r="1872" spans="1:11" x14ac:dyDescent="0.3">
      <c r="A1872" s="1">
        <v>36</v>
      </c>
      <c r="B1872" s="1">
        <v>18</v>
      </c>
      <c r="C1872" s="12">
        <f t="shared" si="252"/>
        <v>0.82500000000000018</v>
      </c>
      <c r="D1872" s="12">
        <f t="shared" si="253"/>
        <v>-0.52499999999999991</v>
      </c>
      <c r="E1872" s="12">
        <f t="shared" si="254"/>
        <v>11.098192469333332</v>
      </c>
      <c r="F1872" s="12">
        <f t="shared" si="255"/>
        <v>11.098192469333332</v>
      </c>
      <c r="G1872" s="12">
        <f t="shared" si="256"/>
        <v>14.541455786666665</v>
      </c>
      <c r="H1872" s="12">
        <f t="shared" si="257"/>
        <v>14.541455786666665</v>
      </c>
      <c r="I1872" s="1" t="str">
        <f t="shared" si="258"/>
        <v>No</v>
      </c>
      <c r="J1872" s="1" t="str">
        <f t="shared" si="259"/>
        <v>Si</v>
      </c>
      <c r="K1872" s="1" t="str">
        <f t="shared" si="260"/>
        <v/>
      </c>
    </row>
    <row r="1873" spans="1:11" x14ac:dyDescent="0.3">
      <c r="A1873" s="1">
        <v>36</v>
      </c>
      <c r="B1873" s="1">
        <v>19</v>
      </c>
      <c r="C1873" s="12">
        <f t="shared" si="252"/>
        <v>0.82500000000000018</v>
      </c>
      <c r="D1873" s="12">
        <f t="shared" si="253"/>
        <v>-0.44999999999999996</v>
      </c>
      <c r="E1873" s="12">
        <f t="shared" si="254"/>
        <v>11.095704376888889</v>
      </c>
      <c r="F1873" s="12">
        <f t="shared" si="255"/>
        <v>11.095704376888889</v>
      </c>
      <c r="G1873" s="12">
        <f t="shared" si="256"/>
        <v>14.537951431111109</v>
      </c>
      <c r="H1873" s="12">
        <f t="shared" si="257"/>
        <v>14.537951431111109</v>
      </c>
      <c r="I1873" s="1" t="str">
        <f t="shared" si="258"/>
        <v>No</v>
      </c>
      <c r="J1873" s="1" t="str">
        <f t="shared" si="259"/>
        <v>Si</v>
      </c>
      <c r="K1873" s="1" t="str">
        <f t="shared" si="260"/>
        <v/>
      </c>
    </row>
    <row r="1874" spans="1:11" x14ac:dyDescent="0.3">
      <c r="A1874" s="1">
        <v>36</v>
      </c>
      <c r="B1874" s="1">
        <v>20</v>
      </c>
      <c r="C1874" s="12">
        <f t="shared" ref="C1874:C1937" si="261">IF(OR(A1874&gt;inp_n_div_x,B1874&gt;inp_n_div_y),"",-inp_bx/2+A1874*inp_bx/inp_n_div_x)</f>
        <v>0.82500000000000018</v>
      </c>
      <c r="D1874" s="12">
        <f t="shared" ref="D1874:D1937" si="262">IF(C1874="","",-inp_by/2+B1874*inp_by/inp_n_div_y)</f>
        <v>-0.375</v>
      </c>
      <c r="E1874" s="12">
        <f t="shared" ref="E1874:E1937" si="263">IF(C1874="","",res_srv_p_tot/geo_area+res_srv_mx_tot/geo_ix*D1874+res_srv_my_tot/geo_iy*C1874)</f>
        <v>11.093216284444445</v>
      </c>
      <c r="F1874" s="12">
        <f t="shared" ref="F1874:F1937" si="264">IF(E1874="","",MAX(0,E1874))</f>
        <v>11.093216284444445</v>
      </c>
      <c r="G1874" s="12">
        <f t="shared" ref="G1874:G1937" si="265">IF(C1874="","",res_u_p_tot/geo_area+res_u_mx_tot/geo_ix*D1874+res_u_my_tot/geo_iy*C1874)</f>
        <v>14.534447075555555</v>
      </c>
      <c r="H1874" s="12">
        <f t="shared" ref="H1874:H1937" si="266">IF(G1874="","",MAX(0,G1874))</f>
        <v>14.534447075555555</v>
      </c>
      <c r="I1874" s="1" t="str">
        <f t="shared" ref="I1874:I1937" si="267">IF(C1874="","",IF(AND(C1874&gt;=inp_xc-inp_cx/2,C1874&lt;=inp_xc+inp_cx/2,D1874&gt;=inp_yc-inp_cy/2,D1874&lt;=inp_yc+inp_cy/2),"Si","No"))</f>
        <v>No</v>
      </c>
      <c r="J1874" s="1" t="str">
        <f t="shared" ref="J1874:J1937" si="268">IF(C1874="","","Si")</f>
        <v>Si</v>
      </c>
      <c r="K1874" s="1" t="str">
        <f t="shared" ref="K1874:K1937" si="269">IF(OR(E1874&lt;0,G1874&lt;0),"Presion negativa","")</f>
        <v/>
      </c>
    </row>
    <row r="1875" spans="1:11" x14ac:dyDescent="0.3">
      <c r="A1875" s="1">
        <v>36</v>
      </c>
      <c r="B1875" s="1">
        <v>21</v>
      </c>
      <c r="C1875" s="12">
        <f t="shared" si="261"/>
        <v>0.82500000000000018</v>
      </c>
      <c r="D1875" s="12">
        <f t="shared" si="262"/>
        <v>-0.30000000000000004</v>
      </c>
      <c r="E1875" s="12">
        <f t="shared" si="263"/>
        <v>11.090728192</v>
      </c>
      <c r="F1875" s="12">
        <f t="shared" si="264"/>
        <v>11.090728192</v>
      </c>
      <c r="G1875" s="12">
        <f t="shared" si="265"/>
        <v>14.530942719999999</v>
      </c>
      <c r="H1875" s="12">
        <f t="shared" si="266"/>
        <v>14.530942719999999</v>
      </c>
      <c r="I1875" s="1" t="str">
        <f t="shared" si="267"/>
        <v>No</v>
      </c>
      <c r="J1875" s="1" t="str">
        <f t="shared" si="268"/>
        <v>Si</v>
      </c>
      <c r="K1875" s="1" t="str">
        <f t="shared" si="269"/>
        <v/>
      </c>
    </row>
    <row r="1876" spans="1:11" x14ac:dyDescent="0.3">
      <c r="A1876" s="1">
        <v>36</v>
      </c>
      <c r="B1876" s="1">
        <v>22</v>
      </c>
      <c r="C1876" s="12">
        <f t="shared" si="261"/>
        <v>0.82500000000000018</v>
      </c>
      <c r="D1876" s="12">
        <f t="shared" si="262"/>
        <v>-0.22500000000000009</v>
      </c>
      <c r="E1876" s="12">
        <f t="shared" si="263"/>
        <v>11.088240099555556</v>
      </c>
      <c r="F1876" s="12">
        <f t="shared" si="264"/>
        <v>11.088240099555556</v>
      </c>
      <c r="G1876" s="12">
        <f t="shared" si="265"/>
        <v>14.527438364444443</v>
      </c>
      <c r="H1876" s="12">
        <f t="shared" si="266"/>
        <v>14.527438364444443</v>
      </c>
      <c r="I1876" s="1" t="str">
        <f t="shared" si="267"/>
        <v>No</v>
      </c>
      <c r="J1876" s="1" t="str">
        <f t="shared" si="268"/>
        <v>Si</v>
      </c>
      <c r="K1876" s="1" t="str">
        <f t="shared" si="269"/>
        <v/>
      </c>
    </row>
    <row r="1877" spans="1:11" x14ac:dyDescent="0.3">
      <c r="A1877" s="1">
        <v>36</v>
      </c>
      <c r="B1877" s="1">
        <v>23</v>
      </c>
      <c r="C1877" s="12">
        <f t="shared" si="261"/>
        <v>0.82500000000000018</v>
      </c>
      <c r="D1877" s="12">
        <f t="shared" si="262"/>
        <v>-0.14999999999999991</v>
      </c>
      <c r="E1877" s="12">
        <f t="shared" si="263"/>
        <v>11.085752007111111</v>
      </c>
      <c r="F1877" s="12">
        <f t="shared" si="264"/>
        <v>11.085752007111111</v>
      </c>
      <c r="G1877" s="12">
        <f t="shared" si="265"/>
        <v>14.523934008888887</v>
      </c>
      <c r="H1877" s="12">
        <f t="shared" si="266"/>
        <v>14.523934008888887</v>
      </c>
      <c r="I1877" s="1" t="str">
        <f t="shared" si="267"/>
        <v>No</v>
      </c>
      <c r="J1877" s="1" t="str">
        <f t="shared" si="268"/>
        <v>Si</v>
      </c>
      <c r="K1877" s="1" t="str">
        <f t="shared" si="269"/>
        <v/>
      </c>
    </row>
    <row r="1878" spans="1:11" x14ac:dyDescent="0.3">
      <c r="A1878" s="1">
        <v>36</v>
      </c>
      <c r="B1878" s="1">
        <v>24</v>
      </c>
      <c r="C1878" s="12">
        <f t="shared" si="261"/>
        <v>0.82500000000000018</v>
      </c>
      <c r="D1878" s="12">
        <f t="shared" si="262"/>
        <v>-7.4999999999999956E-2</v>
      </c>
      <c r="E1878" s="12">
        <f t="shared" si="263"/>
        <v>11.083263914666666</v>
      </c>
      <c r="F1878" s="12">
        <f t="shared" si="264"/>
        <v>11.083263914666666</v>
      </c>
      <c r="G1878" s="12">
        <f t="shared" si="265"/>
        <v>14.520429653333332</v>
      </c>
      <c r="H1878" s="12">
        <f t="shared" si="266"/>
        <v>14.520429653333332</v>
      </c>
      <c r="I1878" s="1" t="str">
        <f t="shared" si="267"/>
        <v>No</v>
      </c>
      <c r="J1878" s="1" t="str">
        <f t="shared" si="268"/>
        <v>Si</v>
      </c>
      <c r="K1878" s="1" t="str">
        <f t="shared" si="269"/>
        <v/>
      </c>
    </row>
    <row r="1879" spans="1:11" x14ac:dyDescent="0.3">
      <c r="A1879" s="1">
        <v>36</v>
      </c>
      <c r="B1879" s="1">
        <v>25</v>
      </c>
      <c r="C1879" s="12">
        <f t="shared" si="261"/>
        <v>0.82500000000000018</v>
      </c>
      <c r="D1879" s="12">
        <f t="shared" si="262"/>
        <v>0</v>
      </c>
      <c r="E1879" s="12">
        <f t="shared" si="263"/>
        <v>11.080775822222222</v>
      </c>
      <c r="F1879" s="12">
        <f t="shared" si="264"/>
        <v>11.080775822222222</v>
      </c>
      <c r="G1879" s="12">
        <f t="shared" si="265"/>
        <v>14.516925297777776</v>
      </c>
      <c r="H1879" s="12">
        <f t="shared" si="266"/>
        <v>14.516925297777776</v>
      </c>
      <c r="I1879" s="1" t="str">
        <f t="shared" si="267"/>
        <v>No</v>
      </c>
      <c r="J1879" s="1" t="str">
        <f t="shared" si="268"/>
        <v>Si</v>
      </c>
      <c r="K1879" s="1" t="str">
        <f t="shared" si="269"/>
        <v/>
      </c>
    </row>
    <row r="1880" spans="1:11" x14ac:dyDescent="0.3">
      <c r="A1880" s="1">
        <v>36</v>
      </c>
      <c r="B1880" s="1">
        <v>26</v>
      </c>
      <c r="C1880" s="12">
        <f t="shared" si="261"/>
        <v>0.82500000000000018</v>
      </c>
      <c r="D1880" s="12">
        <f t="shared" si="262"/>
        <v>7.4999999999999956E-2</v>
      </c>
      <c r="E1880" s="12">
        <f t="shared" si="263"/>
        <v>11.078287729777777</v>
      </c>
      <c r="F1880" s="12">
        <f t="shared" si="264"/>
        <v>11.078287729777777</v>
      </c>
      <c r="G1880" s="12">
        <f t="shared" si="265"/>
        <v>14.51342094222222</v>
      </c>
      <c r="H1880" s="12">
        <f t="shared" si="266"/>
        <v>14.51342094222222</v>
      </c>
      <c r="I1880" s="1" t="str">
        <f t="shared" si="267"/>
        <v>No</v>
      </c>
      <c r="J1880" s="1" t="str">
        <f t="shared" si="268"/>
        <v>Si</v>
      </c>
      <c r="K1880" s="1" t="str">
        <f t="shared" si="269"/>
        <v/>
      </c>
    </row>
    <row r="1881" spans="1:11" x14ac:dyDescent="0.3">
      <c r="A1881" s="1">
        <v>36</v>
      </c>
      <c r="B1881" s="1">
        <v>27</v>
      </c>
      <c r="C1881" s="12">
        <f t="shared" si="261"/>
        <v>0.82500000000000018</v>
      </c>
      <c r="D1881" s="12">
        <f t="shared" si="262"/>
        <v>0.14999999999999991</v>
      </c>
      <c r="E1881" s="12">
        <f t="shared" si="263"/>
        <v>11.075799637333333</v>
      </c>
      <c r="F1881" s="12">
        <f t="shared" si="264"/>
        <v>11.075799637333333</v>
      </c>
      <c r="G1881" s="12">
        <f t="shared" si="265"/>
        <v>14.509916586666666</v>
      </c>
      <c r="H1881" s="12">
        <f t="shared" si="266"/>
        <v>14.509916586666666</v>
      </c>
      <c r="I1881" s="1" t="str">
        <f t="shared" si="267"/>
        <v>No</v>
      </c>
      <c r="J1881" s="1" t="str">
        <f t="shared" si="268"/>
        <v>Si</v>
      </c>
      <c r="K1881" s="1" t="str">
        <f t="shared" si="269"/>
        <v/>
      </c>
    </row>
    <row r="1882" spans="1:11" x14ac:dyDescent="0.3">
      <c r="A1882" s="1">
        <v>36</v>
      </c>
      <c r="B1882" s="1">
        <v>28</v>
      </c>
      <c r="C1882" s="12">
        <f t="shared" si="261"/>
        <v>0.82500000000000018</v>
      </c>
      <c r="D1882" s="12">
        <f t="shared" si="262"/>
        <v>0.22500000000000009</v>
      </c>
      <c r="E1882" s="12">
        <f t="shared" si="263"/>
        <v>11.073311544888888</v>
      </c>
      <c r="F1882" s="12">
        <f t="shared" si="264"/>
        <v>11.073311544888888</v>
      </c>
      <c r="G1882" s="12">
        <f t="shared" si="265"/>
        <v>14.50641223111111</v>
      </c>
      <c r="H1882" s="12">
        <f t="shared" si="266"/>
        <v>14.50641223111111</v>
      </c>
      <c r="I1882" s="1" t="str">
        <f t="shared" si="267"/>
        <v>No</v>
      </c>
      <c r="J1882" s="1" t="str">
        <f t="shared" si="268"/>
        <v>Si</v>
      </c>
      <c r="K1882" s="1" t="str">
        <f t="shared" si="269"/>
        <v/>
      </c>
    </row>
    <row r="1883" spans="1:11" x14ac:dyDescent="0.3">
      <c r="A1883" s="1">
        <v>36</v>
      </c>
      <c r="B1883" s="1">
        <v>29</v>
      </c>
      <c r="C1883" s="12">
        <f t="shared" si="261"/>
        <v>0.82500000000000018</v>
      </c>
      <c r="D1883" s="12">
        <f t="shared" si="262"/>
        <v>0.29999999999999982</v>
      </c>
      <c r="E1883" s="12">
        <f t="shared" si="263"/>
        <v>11.070823452444444</v>
      </c>
      <c r="F1883" s="12">
        <f t="shared" si="264"/>
        <v>11.070823452444444</v>
      </c>
      <c r="G1883" s="12">
        <f t="shared" si="265"/>
        <v>14.502907875555554</v>
      </c>
      <c r="H1883" s="12">
        <f t="shared" si="266"/>
        <v>14.502907875555554</v>
      </c>
      <c r="I1883" s="1" t="str">
        <f t="shared" si="267"/>
        <v>No</v>
      </c>
      <c r="J1883" s="1" t="str">
        <f t="shared" si="268"/>
        <v>Si</v>
      </c>
      <c r="K1883" s="1" t="str">
        <f t="shared" si="269"/>
        <v/>
      </c>
    </row>
    <row r="1884" spans="1:11" x14ac:dyDescent="0.3">
      <c r="A1884" s="1">
        <v>36</v>
      </c>
      <c r="B1884" s="1">
        <v>30</v>
      </c>
      <c r="C1884" s="12">
        <f t="shared" si="261"/>
        <v>0.82500000000000018</v>
      </c>
      <c r="D1884" s="12">
        <f t="shared" si="262"/>
        <v>0.375</v>
      </c>
      <c r="E1884" s="12">
        <f t="shared" si="263"/>
        <v>11.068335359999999</v>
      </c>
      <c r="F1884" s="12">
        <f t="shared" si="264"/>
        <v>11.068335359999999</v>
      </c>
      <c r="G1884" s="12">
        <f t="shared" si="265"/>
        <v>14.499403519999998</v>
      </c>
      <c r="H1884" s="12">
        <f t="shared" si="266"/>
        <v>14.499403519999998</v>
      </c>
      <c r="I1884" s="1" t="str">
        <f t="shared" si="267"/>
        <v>No</v>
      </c>
      <c r="J1884" s="1" t="str">
        <f t="shared" si="268"/>
        <v>Si</v>
      </c>
      <c r="K1884" s="1" t="str">
        <f t="shared" si="269"/>
        <v/>
      </c>
    </row>
    <row r="1885" spans="1:11" x14ac:dyDescent="0.3">
      <c r="A1885" s="1">
        <v>36</v>
      </c>
      <c r="B1885" s="1">
        <v>31</v>
      </c>
      <c r="C1885" s="12">
        <f t="shared" si="261"/>
        <v>0.82500000000000018</v>
      </c>
      <c r="D1885" s="12">
        <f t="shared" si="262"/>
        <v>0.45000000000000018</v>
      </c>
      <c r="E1885" s="12">
        <f t="shared" si="263"/>
        <v>11.065847267555554</v>
      </c>
      <c r="F1885" s="12">
        <f t="shared" si="264"/>
        <v>11.065847267555554</v>
      </c>
      <c r="G1885" s="12">
        <f t="shared" si="265"/>
        <v>14.495899164444443</v>
      </c>
      <c r="H1885" s="12">
        <f t="shared" si="266"/>
        <v>14.495899164444443</v>
      </c>
      <c r="I1885" s="1" t="str">
        <f t="shared" si="267"/>
        <v>No</v>
      </c>
      <c r="J1885" s="1" t="str">
        <f t="shared" si="268"/>
        <v>Si</v>
      </c>
      <c r="K1885" s="1" t="str">
        <f t="shared" si="269"/>
        <v/>
      </c>
    </row>
    <row r="1886" spans="1:11" x14ac:dyDescent="0.3">
      <c r="A1886" s="1">
        <v>36</v>
      </c>
      <c r="B1886" s="1">
        <v>32</v>
      </c>
      <c r="C1886" s="12">
        <f t="shared" si="261"/>
        <v>0.82500000000000018</v>
      </c>
      <c r="D1886" s="12">
        <f t="shared" si="262"/>
        <v>0.52499999999999991</v>
      </c>
      <c r="E1886" s="12">
        <f t="shared" si="263"/>
        <v>11.063359175111112</v>
      </c>
      <c r="F1886" s="12">
        <f t="shared" si="264"/>
        <v>11.063359175111112</v>
      </c>
      <c r="G1886" s="12">
        <f t="shared" si="265"/>
        <v>14.492394808888887</v>
      </c>
      <c r="H1886" s="12">
        <f t="shared" si="266"/>
        <v>14.492394808888887</v>
      </c>
      <c r="I1886" s="1" t="str">
        <f t="shared" si="267"/>
        <v>No</v>
      </c>
      <c r="J1886" s="1" t="str">
        <f t="shared" si="268"/>
        <v>Si</v>
      </c>
      <c r="K1886" s="1" t="str">
        <f t="shared" si="269"/>
        <v/>
      </c>
    </row>
    <row r="1887" spans="1:11" x14ac:dyDescent="0.3">
      <c r="A1887" s="1">
        <v>36</v>
      </c>
      <c r="B1887" s="1">
        <v>33</v>
      </c>
      <c r="C1887" s="12">
        <f t="shared" si="261"/>
        <v>0.82500000000000018</v>
      </c>
      <c r="D1887" s="12">
        <f t="shared" si="262"/>
        <v>0.60000000000000009</v>
      </c>
      <c r="E1887" s="12">
        <f t="shared" si="263"/>
        <v>11.060871082666667</v>
      </c>
      <c r="F1887" s="12">
        <f t="shared" si="264"/>
        <v>11.060871082666667</v>
      </c>
      <c r="G1887" s="12">
        <f t="shared" si="265"/>
        <v>14.488890453333331</v>
      </c>
      <c r="H1887" s="12">
        <f t="shared" si="266"/>
        <v>14.488890453333331</v>
      </c>
      <c r="I1887" s="1" t="str">
        <f t="shared" si="267"/>
        <v>No</v>
      </c>
      <c r="J1887" s="1" t="str">
        <f t="shared" si="268"/>
        <v>Si</v>
      </c>
      <c r="K1887" s="1" t="str">
        <f t="shared" si="269"/>
        <v/>
      </c>
    </row>
    <row r="1888" spans="1:11" x14ac:dyDescent="0.3">
      <c r="A1888" s="1">
        <v>36</v>
      </c>
      <c r="B1888" s="1">
        <v>34</v>
      </c>
      <c r="C1888" s="12">
        <f t="shared" si="261"/>
        <v>0.82500000000000018</v>
      </c>
      <c r="D1888" s="12">
        <f t="shared" si="262"/>
        <v>0.67499999999999982</v>
      </c>
      <c r="E1888" s="12">
        <f t="shared" si="263"/>
        <v>11.058382990222222</v>
      </c>
      <c r="F1888" s="12">
        <f t="shared" si="264"/>
        <v>11.058382990222222</v>
      </c>
      <c r="G1888" s="12">
        <f t="shared" si="265"/>
        <v>14.485386097777777</v>
      </c>
      <c r="H1888" s="12">
        <f t="shared" si="266"/>
        <v>14.485386097777777</v>
      </c>
      <c r="I1888" s="1" t="str">
        <f t="shared" si="267"/>
        <v>No</v>
      </c>
      <c r="J1888" s="1" t="str">
        <f t="shared" si="268"/>
        <v>Si</v>
      </c>
      <c r="K1888" s="1" t="str">
        <f t="shared" si="269"/>
        <v/>
      </c>
    </row>
    <row r="1889" spans="1:11" x14ac:dyDescent="0.3">
      <c r="A1889" s="1">
        <v>36</v>
      </c>
      <c r="B1889" s="1">
        <v>35</v>
      </c>
      <c r="C1889" s="12">
        <f t="shared" si="261"/>
        <v>0.82500000000000018</v>
      </c>
      <c r="D1889" s="12">
        <f t="shared" si="262"/>
        <v>0.75</v>
      </c>
      <c r="E1889" s="12">
        <f t="shared" si="263"/>
        <v>11.055894897777778</v>
      </c>
      <c r="F1889" s="12">
        <f t="shared" si="264"/>
        <v>11.055894897777778</v>
      </c>
      <c r="G1889" s="12">
        <f t="shared" si="265"/>
        <v>14.481881742222221</v>
      </c>
      <c r="H1889" s="12">
        <f t="shared" si="266"/>
        <v>14.481881742222221</v>
      </c>
      <c r="I1889" s="1" t="str">
        <f t="shared" si="267"/>
        <v>No</v>
      </c>
      <c r="J1889" s="1" t="str">
        <f t="shared" si="268"/>
        <v>Si</v>
      </c>
      <c r="K1889" s="1" t="str">
        <f t="shared" si="269"/>
        <v/>
      </c>
    </row>
    <row r="1890" spans="1:11" x14ac:dyDescent="0.3">
      <c r="A1890" s="1">
        <v>36</v>
      </c>
      <c r="B1890" s="1">
        <v>36</v>
      </c>
      <c r="C1890" s="12">
        <f t="shared" si="261"/>
        <v>0.82500000000000018</v>
      </c>
      <c r="D1890" s="12">
        <f t="shared" si="262"/>
        <v>0.82500000000000018</v>
      </c>
      <c r="E1890" s="12">
        <f t="shared" si="263"/>
        <v>11.053406805333333</v>
      </c>
      <c r="F1890" s="12">
        <f t="shared" si="264"/>
        <v>11.053406805333333</v>
      </c>
      <c r="G1890" s="12">
        <f t="shared" si="265"/>
        <v>14.478377386666665</v>
      </c>
      <c r="H1890" s="12">
        <f t="shared" si="266"/>
        <v>14.478377386666665</v>
      </c>
      <c r="I1890" s="1" t="str">
        <f t="shared" si="267"/>
        <v>No</v>
      </c>
      <c r="J1890" s="1" t="str">
        <f t="shared" si="268"/>
        <v>Si</v>
      </c>
      <c r="K1890" s="1" t="str">
        <f t="shared" si="269"/>
        <v/>
      </c>
    </row>
    <row r="1891" spans="1:11" x14ac:dyDescent="0.3">
      <c r="A1891" s="1">
        <v>36</v>
      </c>
      <c r="B1891" s="1">
        <v>37</v>
      </c>
      <c r="C1891" s="12">
        <f t="shared" si="261"/>
        <v>0.82500000000000018</v>
      </c>
      <c r="D1891" s="12">
        <f t="shared" si="262"/>
        <v>0.89999999999999991</v>
      </c>
      <c r="E1891" s="12">
        <f t="shared" si="263"/>
        <v>11.050918712888889</v>
      </c>
      <c r="F1891" s="12">
        <f t="shared" si="264"/>
        <v>11.050918712888889</v>
      </c>
      <c r="G1891" s="12">
        <f t="shared" si="265"/>
        <v>14.474873031111109</v>
      </c>
      <c r="H1891" s="12">
        <f t="shared" si="266"/>
        <v>14.474873031111109</v>
      </c>
      <c r="I1891" s="1" t="str">
        <f t="shared" si="267"/>
        <v>No</v>
      </c>
      <c r="J1891" s="1" t="str">
        <f t="shared" si="268"/>
        <v>Si</v>
      </c>
      <c r="K1891" s="1" t="str">
        <f t="shared" si="269"/>
        <v/>
      </c>
    </row>
    <row r="1892" spans="1:11" x14ac:dyDescent="0.3">
      <c r="A1892" s="1">
        <v>36</v>
      </c>
      <c r="B1892" s="1">
        <v>38</v>
      </c>
      <c r="C1892" s="12">
        <f t="shared" si="261"/>
        <v>0.82500000000000018</v>
      </c>
      <c r="D1892" s="12">
        <f t="shared" si="262"/>
        <v>0.97500000000000009</v>
      </c>
      <c r="E1892" s="12">
        <f t="shared" si="263"/>
        <v>11.048430620444444</v>
      </c>
      <c r="F1892" s="12">
        <f t="shared" si="264"/>
        <v>11.048430620444444</v>
      </c>
      <c r="G1892" s="12">
        <f t="shared" si="265"/>
        <v>14.471368675555555</v>
      </c>
      <c r="H1892" s="12">
        <f t="shared" si="266"/>
        <v>14.471368675555555</v>
      </c>
      <c r="I1892" s="1" t="str">
        <f t="shared" si="267"/>
        <v>No</v>
      </c>
      <c r="J1892" s="1" t="str">
        <f t="shared" si="268"/>
        <v>Si</v>
      </c>
      <c r="K1892" s="1" t="str">
        <f t="shared" si="269"/>
        <v/>
      </c>
    </row>
    <row r="1893" spans="1:11" x14ac:dyDescent="0.3">
      <c r="A1893" s="1">
        <v>36</v>
      </c>
      <c r="B1893" s="1">
        <v>39</v>
      </c>
      <c r="C1893" s="12">
        <f t="shared" si="261"/>
        <v>0.82500000000000018</v>
      </c>
      <c r="D1893" s="12">
        <f t="shared" si="262"/>
        <v>1.0499999999999998</v>
      </c>
      <c r="E1893" s="12">
        <f t="shared" si="263"/>
        <v>11.045942527999999</v>
      </c>
      <c r="F1893" s="12">
        <f t="shared" si="264"/>
        <v>11.045942527999999</v>
      </c>
      <c r="G1893" s="12">
        <f t="shared" si="265"/>
        <v>14.467864319999999</v>
      </c>
      <c r="H1893" s="12">
        <f t="shared" si="266"/>
        <v>14.467864319999999</v>
      </c>
      <c r="I1893" s="1" t="str">
        <f t="shared" si="267"/>
        <v>No</v>
      </c>
      <c r="J1893" s="1" t="str">
        <f t="shared" si="268"/>
        <v>Si</v>
      </c>
      <c r="K1893" s="1" t="str">
        <f t="shared" si="269"/>
        <v/>
      </c>
    </row>
    <row r="1894" spans="1:11" x14ac:dyDescent="0.3">
      <c r="A1894" s="1">
        <v>36</v>
      </c>
      <c r="B1894" s="1">
        <v>40</v>
      </c>
      <c r="C1894" s="12">
        <f t="shared" si="261"/>
        <v>0.82500000000000018</v>
      </c>
      <c r="D1894" s="12">
        <f t="shared" si="262"/>
        <v>1.125</v>
      </c>
      <c r="E1894" s="12">
        <f t="shared" si="263"/>
        <v>11.043454435555555</v>
      </c>
      <c r="F1894" s="12">
        <f t="shared" si="264"/>
        <v>11.043454435555555</v>
      </c>
      <c r="G1894" s="12">
        <f t="shared" si="265"/>
        <v>14.464359964444442</v>
      </c>
      <c r="H1894" s="12">
        <f t="shared" si="266"/>
        <v>14.464359964444442</v>
      </c>
      <c r="I1894" s="1" t="str">
        <f t="shared" si="267"/>
        <v>No</v>
      </c>
      <c r="J1894" s="1" t="str">
        <f t="shared" si="268"/>
        <v>Si</v>
      </c>
      <c r="K1894" s="1" t="str">
        <f t="shared" si="269"/>
        <v/>
      </c>
    </row>
    <row r="1895" spans="1:11" x14ac:dyDescent="0.3">
      <c r="A1895" s="1">
        <v>36</v>
      </c>
      <c r="B1895" s="1">
        <v>41</v>
      </c>
      <c r="C1895" s="12">
        <f t="shared" si="261"/>
        <v>0.82500000000000018</v>
      </c>
      <c r="D1895" s="12">
        <f t="shared" si="262"/>
        <v>1.2000000000000002</v>
      </c>
      <c r="E1895" s="12">
        <f t="shared" si="263"/>
        <v>11.04096634311111</v>
      </c>
      <c r="F1895" s="12">
        <f t="shared" si="264"/>
        <v>11.04096634311111</v>
      </c>
      <c r="G1895" s="12">
        <f t="shared" si="265"/>
        <v>14.460855608888888</v>
      </c>
      <c r="H1895" s="12">
        <f t="shared" si="266"/>
        <v>14.460855608888888</v>
      </c>
      <c r="I1895" s="1" t="str">
        <f t="shared" si="267"/>
        <v>No</v>
      </c>
      <c r="J1895" s="1" t="str">
        <f t="shared" si="268"/>
        <v>Si</v>
      </c>
      <c r="K1895" s="1" t="str">
        <f t="shared" si="269"/>
        <v/>
      </c>
    </row>
    <row r="1896" spans="1:11" x14ac:dyDescent="0.3">
      <c r="A1896" s="1">
        <v>36</v>
      </c>
      <c r="B1896" s="1">
        <v>42</v>
      </c>
      <c r="C1896" s="12">
        <f t="shared" si="261"/>
        <v>0.82500000000000018</v>
      </c>
      <c r="D1896" s="12">
        <f t="shared" si="262"/>
        <v>1.2749999999999999</v>
      </c>
      <c r="E1896" s="12">
        <f t="shared" si="263"/>
        <v>11.038478250666666</v>
      </c>
      <c r="F1896" s="12">
        <f t="shared" si="264"/>
        <v>11.038478250666666</v>
      </c>
      <c r="G1896" s="12">
        <f t="shared" si="265"/>
        <v>14.457351253333332</v>
      </c>
      <c r="H1896" s="12">
        <f t="shared" si="266"/>
        <v>14.457351253333332</v>
      </c>
      <c r="I1896" s="1" t="str">
        <f t="shared" si="267"/>
        <v>No</v>
      </c>
      <c r="J1896" s="1" t="str">
        <f t="shared" si="268"/>
        <v>Si</v>
      </c>
      <c r="K1896" s="1" t="str">
        <f t="shared" si="269"/>
        <v/>
      </c>
    </row>
    <row r="1897" spans="1:11" x14ac:dyDescent="0.3">
      <c r="A1897" s="1">
        <v>36</v>
      </c>
      <c r="B1897" s="1">
        <v>43</v>
      </c>
      <c r="C1897" s="12">
        <f t="shared" si="261"/>
        <v>0.82500000000000018</v>
      </c>
      <c r="D1897" s="12">
        <f t="shared" si="262"/>
        <v>1.35</v>
      </c>
      <c r="E1897" s="12">
        <f t="shared" si="263"/>
        <v>11.035990158222221</v>
      </c>
      <c r="F1897" s="12">
        <f t="shared" si="264"/>
        <v>11.035990158222221</v>
      </c>
      <c r="G1897" s="12">
        <f t="shared" si="265"/>
        <v>14.453846897777776</v>
      </c>
      <c r="H1897" s="12">
        <f t="shared" si="266"/>
        <v>14.453846897777776</v>
      </c>
      <c r="I1897" s="1" t="str">
        <f t="shared" si="267"/>
        <v>No</v>
      </c>
      <c r="J1897" s="1" t="str">
        <f t="shared" si="268"/>
        <v>Si</v>
      </c>
      <c r="K1897" s="1" t="str">
        <f t="shared" si="269"/>
        <v/>
      </c>
    </row>
    <row r="1898" spans="1:11" x14ac:dyDescent="0.3">
      <c r="A1898" s="1">
        <v>36</v>
      </c>
      <c r="B1898" s="1">
        <v>44</v>
      </c>
      <c r="C1898" s="12">
        <f t="shared" si="261"/>
        <v>0.82500000000000018</v>
      </c>
      <c r="D1898" s="12">
        <f t="shared" si="262"/>
        <v>1.4249999999999998</v>
      </c>
      <c r="E1898" s="12">
        <f t="shared" si="263"/>
        <v>11.033502065777778</v>
      </c>
      <c r="F1898" s="12">
        <f t="shared" si="264"/>
        <v>11.033502065777778</v>
      </c>
      <c r="G1898" s="12">
        <f t="shared" si="265"/>
        <v>14.45034254222222</v>
      </c>
      <c r="H1898" s="12">
        <f t="shared" si="266"/>
        <v>14.45034254222222</v>
      </c>
      <c r="I1898" s="1" t="str">
        <f t="shared" si="267"/>
        <v>No</v>
      </c>
      <c r="J1898" s="1" t="str">
        <f t="shared" si="268"/>
        <v>Si</v>
      </c>
      <c r="K1898" s="1" t="str">
        <f t="shared" si="269"/>
        <v/>
      </c>
    </row>
    <row r="1899" spans="1:11" x14ac:dyDescent="0.3">
      <c r="A1899" s="1">
        <v>36</v>
      </c>
      <c r="B1899" s="1">
        <v>45</v>
      </c>
      <c r="C1899" s="12">
        <f t="shared" si="261"/>
        <v>0.82500000000000018</v>
      </c>
      <c r="D1899" s="12">
        <f t="shared" si="262"/>
        <v>1.5</v>
      </c>
      <c r="E1899" s="12">
        <f t="shared" si="263"/>
        <v>11.031013973333334</v>
      </c>
      <c r="F1899" s="12">
        <f t="shared" si="264"/>
        <v>11.031013973333334</v>
      </c>
      <c r="G1899" s="12">
        <f t="shared" si="265"/>
        <v>14.446838186666666</v>
      </c>
      <c r="H1899" s="12">
        <f t="shared" si="266"/>
        <v>14.446838186666666</v>
      </c>
      <c r="I1899" s="1" t="str">
        <f t="shared" si="267"/>
        <v>No</v>
      </c>
      <c r="J1899" s="1" t="str">
        <f t="shared" si="268"/>
        <v>Si</v>
      </c>
      <c r="K1899" s="1" t="str">
        <f t="shared" si="269"/>
        <v/>
      </c>
    </row>
    <row r="1900" spans="1:11" x14ac:dyDescent="0.3">
      <c r="A1900" s="1">
        <v>36</v>
      </c>
      <c r="B1900" s="1">
        <v>46</v>
      </c>
      <c r="C1900" s="12">
        <f t="shared" si="261"/>
        <v>0.82500000000000018</v>
      </c>
      <c r="D1900" s="12">
        <f t="shared" si="262"/>
        <v>1.5750000000000002</v>
      </c>
      <c r="E1900" s="12">
        <f t="shared" si="263"/>
        <v>11.028525880888889</v>
      </c>
      <c r="F1900" s="12">
        <f t="shared" si="264"/>
        <v>11.028525880888889</v>
      </c>
      <c r="G1900" s="12">
        <f t="shared" si="265"/>
        <v>14.44333383111111</v>
      </c>
      <c r="H1900" s="12">
        <f t="shared" si="266"/>
        <v>14.44333383111111</v>
      </c>
      <c r="I1900" s="1" t="str">
        <f t="shared" si="267"/>
        <v>No</v>
      </c>
      <c r="J1900" s="1" t="str">
        <f t="shared" si="268"/>
        <v>Si</v>
      </c>
      <c r="K1900" s="1" t="str">
        <f t="shared" si="269"/>
        <v/>
      </c>
    </row>
    <row r="1901" spans="1:11" x14ac:dyDescent="0.3">
      <c r="A1901" s="1">
        <v>36</v>
      </c>
      <c r="B1901" s="1">
        <v>47</v>
      </c>
      <c r="C1901" s="12">
        <f t="shared" si="261"/>
        <v>0.82500000000000018</v>
      </c>
      <c r="D1901" s="12">
        <f t="shared" si="262"/>
        <v>1.65</v>
      </c>
      <c r="E1901" s="12">
        <f t="shared" si="263"/>
        <v>11.026037788444444</v>
      </c>
      <c r="F1901" s="12">
        <f t="shared" si="264"/>
        <v>11.026037788444444</v>
      </c>
      <c r="G1901" s="12">
        <f t="shared" si="265"/>
        <v>14.439829475555554</v>
      </c>
      <c r="H1901" s="12">
        <f t="shared" si="266"/>
        <v>14.439829475555554</v>
      </c>
      <c r="I1901" s="1" t="str">
        <f t="shared" si="267"/>
        <v>No</v>
      </c>
      <c r="J1901" s="1" t="str">
        <f t="shared" si="268"/>
        <v>Si</v>
      </c>
      <c r="K1901" s="1" t="str">
        <f t="shared" si="269"/>
        <v/>
      </c>
    </row>
    <row r="1902" spans="1:11" x14ac:dyDescent="0.3">
      <c r="A1902" s="1">
        <v>36</v>
      </c>
      <c r="B1902" s="1">
        <v>48</v>
      </c>
      <c r="C1902" s="12">
        <f t="shared" si="261"/>
        <v>0.82500000000000018</v>
      </c>
      <c r="D1902" s="12">
        <f t="shared" si="262"/>
        <v>1.7250000000000001</v>
      </c>
      <c r="E1902" s="12">
        <f t="shared" si="263"/>
        <v>11.023549696</v>
      </c>
      <c r="F1902" s="12">
        <f t="shared" si="264"/>
        <v>11.023549696</v>
      </c>
      <c r="G1902" s="12">
        <f t="shared" si="265"/>
        <v>14.436325119999999</v>
      </c>
      <c r="H1902" s="12">
        <f t="shared" si="266"/>
        <v>14.436325119999999</v>
      </c>
      <c r="I1902" s="1" t="str">
        <f t="shared" si="267"/>
        <v>No</v>
      </c>
      <c r="J1902" s="1" t="str">
        <f t="shared" si="268"/>
        <v>Si</v>
      </c>
      <c r="K1902" s="1" t="str">
        <f t="shared" si="269"/>
        <v/>
      </c>
    </row>
    <row r="1903" spans="1:11" x14ac:dyDescent="0.3">
      <c r="A1903" s="1">
        <v>36</v>
      </c>
      <c r="B1903" s="1">
        <v>49</v>
      </c>
      <c r="C1903" s="12">
        <f t="shared" si="261"/>
        <v>0.82500000000000018</v>
      </c>
      <c r="D1903" s="12">
        <f t="shared" si="262"/>
        <v>1.7999999999999998</v>
      </c>
      <c r="E1903" s="12">
        <f t="shared" si="263"/>
        <v>11.021061603555555</v>
      </c>
      <c r="F1903" s="12">
        <f t="shared" si="264"/>
        <v>11.021061603555555</v>
      </c>
      <c r="G1903" s="12">
        <f t="shared" si="265"/>
        <v>14.432820764444443</v>
      </c>
      <c r="H1903" s="12">
        <f t="shared" si="266"/>
        <v>14.432820764444443</v>
      </c>
      <c r="I1903" s="1" t="str">
        <f t="shared" si="267"/>
        <v>No</v>
      </c>
      <c r="J1903" s="1" t="str">
        <f t="shared" si="268"/>
        <v>Si</v>
      </c>
      <c r="K1903" s="1" t="str">
        <f t="shared" si="269"/>
        <v/>
      </c>
    </row>
    <row r="1904" spans="1:11" x14ac:dyDescent="0.3">
      <c r="A1904" s="1">
        <v>36</v>
      </c>
      <c r="B1904" s="1">
        <v>50</v>
      </c>
      <c r="C1904" s="12">
        <f t="shared" si="261"/>
        <v>0.82500000000000018</v>
      </c>
      <c r="D1904" s="12">
        <f t="shared" si="262"/>
        <v>1.875</v>
      </c>
      <c r="E1904" s="12">
        <f t="shared" si="263"/>
        <v>11.018573511111111</v>
      </c>
      <c r="F1904" s="12">
        <f t="shared" si="264"/>
        <v>11.018573511111111</v>
      </c>
      <c r="G1904" s="12">
        <f t="shared" si="265"/>
        <v>14.429316408888887</v>
      </c>
      <c r="H1904" s="12">
        <f t="shared" si="266"/>
        <v>14.429316408888887</v>
      </c>
      <c r="I1904" s="1" t="str">
        <f t="shared" si="267"/>
        <v>No</v>
      </c>
      <c r="J1904" s="1" t="str">
        <f t="shared" si="268"/>
        <v>Si</v>
      </c>
      <c r="K1904" s="1" t="str">
        <f t="shared" si="269"/>
        <v/>
      </c>
    </row>
    <row r="1905" spans="1:11" x14ac:dyDescent="0.3">
      <c r="A1905" s="1">
        <v>37</v>
      </c>
      <c r="B1905" s="1">
        <v>0</v>
      </c>
      <c r="C1905" s="12">
        <f t="shared" si="261"/>
        <v>0.89999999999999991</v>
      </c>
      <c r="D1905" s="12">
        <f t="shared" si="262"/>
        <v>-1.875</v>
      </c>
      <c r="E1905" s="12">
        <f t="shared" si="263"/>
        <v>11.143672177777777</v>
      </c>
      <c r="F1905" s="12">
        <f t="shared" si="264"/>
        <v>11.143672177777777</v>
      </c>
      <c r="G1905" s="12">
        <f t="shared" si="265"/>
        <v>14.60557184</v>
      </c>
      <c r="H1905" s="12">
        <f t="shared" si="266"/>
        <v>14.60557184</v>
      </c>
      <c r="I1905" s="1" t="str">
        <f t="shared" si="267"/>
        <v>No</v>
      </c>
      <c r="J1905" s="1" t="str">
        <f t="shared" si="268"/>
        <v>Si</v>
      </c>
      <c r="K1905" s="1" t="str">
        <f t="shared" si="269"/>
        <v/>
      </c>
    </row>
    <row r="1906" spans="1:11" x14ac:dyDescent="0.3">
      <c r="A1906" s="1">
        <v>37</v>
      </c>
      <c r="B1906" s="1">
        <v>1</v>
      </c>
      <c r="C1906" s="12">
        <f t="shared" si="261"/>
        <v>0.89999999999999991</v>
      </c>
      <c r="D1906" s="12">
        <f t="shared" si="262"/>
        <v>-1.8</v>
      </c>
      <c r="E1906" s="12">
        <f t="shared" si="263"/>
        <v>11.141184085333332</v>
      </c>
      <c r="F1906" s="12">
        <f t="shared" si="264"/>
        <v>11.141184085333332</v>
      </c>
      <c r="G1906" s="12">
        <f t="shared" si="265"/>
        <v>14.602067484444444</v>
      </c>
      <c r="H1906" s="12">
        <f t="shared" si="266"/>
        <v>14.602067484444444</v>
      </c>
      <c r="I1906" s="1" t="str">
        <f t="shared" si="267"/>
        <v>No</v>
      </c>
      <c r="J1906" s="1" t="str">
        <f t="shared" si="268"/>
        <v>Si</v>
      </c>
      <c r="K1906" s="1" t="str">
        <f t="shared" si="269"/>
        <v/>
      </c>
    </row>
    <row r="1907" spans="1:11" x14ac:dyDescent="0.3">
      <c r="A1907" s="1">
        <v>37</v>
      </c>
      <c r="B1907" s="1">
        <v>2</v>
      </c>
      <c r="C1907" s="12">
        <f t="shared" si="261"/>
        <v>0.89999999999999991</v>
      </c>
      <c r="D1907" s="12">
        <f t="shared" si="262"/>
        <v>-1.7250000000000001</v>
      </c>
      <c r="E1907" s="12">
        <f t="shared" si="263"/>
        <v>11.138695992888888</v>
      </c>
      <c r="F1907" s="12">
        <f t="shared" si="264"/>
        <v>11.138695992888888</v>
      </c>
      <c r="G1907" s="12">
        <f t="shared" si="265"/>
        <v>14.598563128888888</v>
      </c>
      <c r="H1907" s="12">
        <f t="shared" si="266"/>
        <v>14.598563128888888</v>
      </c>
      <c r="I1907" s="1" t="str">
        <f t="shared" si="267"/>
        <v>No</v>
      </c>
      <c r="J1907" s="1" t="str">
        <f t="shared" si="268"/>
        <v>Si</v>
      </c>
      <c r="K1907" s="1" t="str">
        <f t="shared" si="269"/>
        <v/>
      </c>
    </row>
    <row r="1908" spans="1:11" x14ac:dyDescent="0.3">
      <c r="A1908" s="1">
        <v>37</v>
      </c>
      <c r="B1908" s="1">
        <v>3</v>
      </c>
      <c r="C1908" s="12">
        <f t="shared" si="261"/>
        <v>0.89999999999999991</v>
      </c>
      <c r="D1908" s="12">
        <f t="shared" si="262"/>
        <v>-1.65</v>
      </c>
      <c r="E1908" s="12">
        <f t="shared" si="263"/>
        <v>11.136207900444443</v>
      </c>
      <c r="F1908" s="12">
        <f t="shared" si="264"/>
        <v>11.136207900444443</v>
      </c>
      <c r="G1908" s="12">
        <f t="shared" si="265"/>
        <v>14.595058773333333</v>
      </c>
      <c r="H1908" s="12">
        <f t="shared" si="266"/>
        <v>14.595058773333333</v>
      </c>
      <c r="I1908" s="1" t="str">
        <f t="shared" si="267"/>
        <v>No</v>
      </c>
      <c r="J1908" s="1" t="str">
        <f t="shared" si="268"/>
        <v>Si</v>
      </c>
      <c r="K1908" s="1" t="str">
        <f t="shared" si="269"/>
        <v/>
      </c>
    </row>
    <row r="1909" spans="1:11" x14ac:dyDescent="0.3">
      <c r="A1909" s="1">
        <v>37</v>
      </c>
      <c r="B1909" s="1">
        <v>4</v>
      </c>
      <c r="C1909" s="12">
        <f t="shared" si="261"/>
        <v>0.89999999999999991</v>
      </c>
      <c r="D1909" s="12">
        <f t="shared" si="262"/>
        <v>-1.575</v>
      </c>
      <c r="E1909" s="12">
        <f t="shared" si="263"/>
        <v>11.133719807999999</v>
      </c>
      <c r="F1909" s="12">
        <f t="shared" si="264"/>
        <v>11.133719807999999</v>
      </c>
      <c r="G1909" s="12">
        <f t="shared" si="265"/>
        <v>14.591554417777777</v>
      </c>
      <c r="H1909" s="12">
        <f t="shared" si="266"/>
        <v>14.591554417777777</v>
      </c>
      <c r="I1909" s="1" t="str">
        <f t="shared" si="267"/>
        <v>No</v>
      </c>
      <c r="J1909" s="1" t="str">
        <f t="shared" si="268"/>
        <v>Si</v>
      </c>
      <c r="K1909" s="1" t="str">
        <f t="shared" si="269"/>
        <v/>
      </c>
    </row>
    <row r="1910" spans="1:11" x14ac:dyDescent="0.3">
      <c r="A1910" s="1">
        <v>37</v>
      </c>
      <c r="B1910" s="1">
        <v>5</v>
      </c>
      <c r="C1910" s="12">
        <f t="shared" si="261"/>
        <v>0.89999999999999991</v>
      </c>
      <c r="D1910" s="12">
        <f t="shared" si="262"/>
        <v>-1.5</v>
      </c>
      <c r="E1910" s="12">
        <f t="shared" si="263"/>
        <v>11.131231715555554</v>
      </c>
      <c r="F1910" s="12">
        <f t="shared" si="264"/>
        <v>11.131231715555554</v>
      </c>
      <c r="G1910" s="12">
        <f t="shared" si="265"/>
        <v>14.588050062222221</v>
      </c>
      <c r="H1910" s="12">
        <f t="shared" si="266"/>
        <v>14.588050062222221</v>
      </c>
      <c r="I1910" s="1" t="str">
        <f t="shared" si="267"/>
        <v>No</v>
      </c>
      <c r="J1910" s="1" t="str">
        <f t="shared" si="268"/>
        <v>Si</v>
      </c>
      <c r="K1910" s="1" t="str">
        <f t="shared" si="269"/>
        <v/>
      </c>
    </row>
    <row r="1911" spans="1:11" x14ac:dyDescent="0.3">
      <c r="A1911" s="1">
        <v>37</v>
      </c>
      <c r="B1911" s="1">
        <v>6</v>
      </c>
      <c r="C1911" s="12">
        <f t="shared" si="261"/>
        <v>0.89999999999999991</v>
      </c>
      <c r="D1911" s="12">
        <f t="shared" si="262"/>
        <v>-1.425</v>
      </c>
      <c r="E1911" s="12">
        <f t="shared" si="263"/>
        <v>11.128743623111109</v>
      </c>
      <c r="F1911" s="12">
        <f t="shared" si="264"/>
        <v>11.128743623111109</v>
      </c>
      <c r="G1911" s="12">
        <f t="shared" si="265"/>
        <v>14.584545706666667</v>
      </c>
      <c r="H1911" s="12">
        <f t="shared" si="266"/>
        <v>14.584545706666667</v>
      </c>
      <c r="I1911" s="1" t="str">
        <f t="shared" si="267"/>
        <v>No</v>
      </c>
      <c r="J1911" s="1" t="str">
        <f t="shared" si="268"/>
        <v>Si</v>
      </c>
      <c r="K1911" s="1" t="str">
        <f t="shared" si="269"/>
        <v/>
      </c>
    </row>
    <row r="1912" spans="1:11" x14ac:dyDescent="0.3">
      <c r="A1912" s="1">
        <v>37</v>
      </c>
      <c r="B1912" s="1">
        <v>7</v>
      </c>
      <c r="C1912" s="12">
        <f t="shared" si="261"/>
        <v>0.89999999999999991</v>
      </c>
      <c r="D1912" s="12">
        <f t="shared" si="262"/>
        <v>-1.35</v>
      </c>
      <c r="E1912" s="12">
        <f t="shared" si="263"/>
        <v>11.126255530666667</v>
      </c>
      <c r="F1912" s="12">
        <f t="shared" si="264"/>
        <v>11.126255530666667</v>
      </c>
      <c r="G1912" s="12">
        <f t="shared" si="265"/>
        <v>14.581041351111111</v>
      </c>
      <c r="H1912" s="12">
        <f t="shared" si="266"/>
        <v>14.581041351111111</v>
      </c>
      <c r="I1912" s="1" t="str">
        <f t="shared" si="267"/>
        <v>No</v>
      </c>
      <c r="J1912" s="1" t="str">
        <f t="shared" si="268"/>
        <v>Si</v>
      </c>
      <c r="K1912" s="1" t="str">
        <f t="shared" si="269"/>
        <v/>
      </c>
    </row>
    <row r="1913" spans="1:11" x14ac:dyDescent="0.3">
      <c r="A1913" s="1">
        <v>37</v>
      </c>
      <c r="B1913" s="1">
        <v>8</v>
      </c>
      <c r="C1913" s="12">
        <f t="shared" si="261"/>
        <v>0.89999999999999991</v>
      </c>
      <c r="D1913" s="12">
        <f t="shared" si="262"/>
        <v>-1.2749999999999999</v>
      </c>
      <c r="E1913" s="12">
        <f t="shared" si="263"/>
        <v>11.123767438222222</v>
      </c>
      <c r="F1913" s="12">
        <f t="shared" si="264"/>
        <v>11.123767438222222</v>
      </c>
      <c r="G1913" s="12">
        <f t="shared" si="265"/>
        <v>14.577536995555555</v>
      </c>
      <c r="H1913" s="12">
        <f t="shared" si="266"/>
        <v>14.577536995555555</v>
      </c>
      <c r="I1913" s="1" t="str">
        <f t="shared" si="267"/>
        <v>No</v>
      </c>
      <c r="J1913" s="1" t="str">
        <f t="shared" si="268"/>
        <v>Si</v>
      </c>
      <c r="K1913" s="1" t="str">
        <f t="shared" si="269"/>
        <v/>
      </c>
    </row>
    <row r="1914" spans="1:11" x14ac:dyDescent="0.3">
      <c r="A1914" s="1">
        <v>37</v>
      </c>
      <c r="B1914" s="1">
        <v>9</v>
      </c>
      <c r="C1914" s="12">
        <f t="shared" si="261"/>
        <v>0.89999999999999991</v>
      </c>
      <c r="D1914" s="12">
        <f t="shared" si="262"/>
        <v>-1.2</v>
      </c>
      <c r="E1914" s="12">
        <f t="shared" si="263"/>
        <v>11.121279345777777</v>
      </c>
      <c r="F1914" s="12">
        <f t="shared" si="264"/>
        <v>11.121279345777777</v>
      </c>
      <c r="G1914" s="12">
        <f t="shared" si="265"/>
        <v>14.574032639999999</v>
      </c>
      <c r="H1914" s="12">
        <f t="shared" si="266"/>
        <v>14.574032639999999</v>
      </c>
      <c r="I1914" s="1" t="str">
        <f t="shared" si="267"/>
        <v>No</v>
      </c>
      <c r="J1914" s="1" t="str">
        <f t="shared" si="268"/>
        <v>Si</v>
      </c>
      <c r="K1914" s="1" t="str">
        <f t="shared" si="269"/>
        <v/>
      </c>
    </row>
    <row r="1915" spans="1:11" x14ac:dyDescent="0.3">
      <c r="A1915" s="1">
        <v>37</v>
      </c>
      <c r="B1915" s="1">
        <v>10</v>
      </c>
      <c r="C1915" s="12">
        <f t="shared" si="261"/>
        <v>0.89999999999999991</v>
      </c>
      <c r="D1915" s="12">
        <f t="shared" si="262"/>
        <v>-1.125</v>
      </c>
      <c r="E1915" s="12">
        <f t="shared" si="263"/>
        <v>11.118791253333333</v>
      </c>
      <c r="F1915" s="12">
        <f t="shared" si="264"/>
        <v>11.118791253333333</v>
      </c>
      <c r="G1915" s="12">
        <f t="shared" si="265"/>
        <v>14.570528284444444</v>
      </c>
      <c r="H1915" s="12">
        <f t="shared" si="266"/>
        <v>14.570528284444444</v>
      </c>
      <c r="I1915" s="1" t="str">
        <f t="shared" si="267"/>
        <v>No</v>
      </c>
      <c r="J1915" s="1" t="str">
        <f t="shared" si="268"/>
        <v>Si</v>
      </c>
      <c r="K1915" s="1" t="str">
        <f t="shared" si="269"/>
        <v/>
      </c>
    </row>
    <row r="1916" spans="1:11" x14ac:dyDescent="0.3">
      <c r="A1916" s="1">
        <v>37</v>
      </c>
      <c r="B1916" s="1">
        <v>11</v>
      </c>
      <c r="C1916" s="12">
        <f t="shared" si="261"/>
        <v>0.89999999999999991</v>
      </c>
      <c r="D1916" s="12">
        <f t="shared" si="262"/>
        <v>-1.05</v>
      </c>
      <c r="E1916" s="12">
        <f t="shared" si="263"/>
        <v>11.116303160888888</v>
      </c>
      <c r="F1916" s="12">
        <f t="shared" si="264"/>
        <v>11.116303160888888</v>
      </c>
      <c r="G1916" s="12">
        <f t="shared" si="265"/>
        <v>14.567023928888888</v>
      </c>
      <c r="H1916" s="12">
        <f t="shared" si="266"/>
        <v>14.567023928888888</v>
      </c>
      <c r="I1916" s="1" t="str">
        <f t="shared" si="267"/>
        <v>No</v>
      </c>
      <c r="J1916" s="1" t="str">
        <f t="shared" si="268"/>
        <v>Si</v>
      </c>
      <c r="K1916" s="1" t="str">
        <f t="shared" si="269"/>
        <v/>
      </c>
    </row>
    <row r="1917" spans="1:11" x14ac:dyDescent="0.3">
      <c r="A1917" s="1">
        <v>37</v>
      </c>
      <c r="B1917" s="1">
        <v>12</v>
      </c>
      <c r="C1917" s="12">
        <f t="shared" si="261"/>
        <v>0.89999999999999991</v>
      </c>
      <c r="D1917" s="12">
        <f t="shared" si="262"/>
        <v>-0.97499999999999998</v>
      </c>
      <c r="E1917" s="12">
        <f t="shared" si="263"/>
        <v>11.113815068444444</v>
      </c>
      <c r="F1917" s="12">
        <f t="shared" si="264"/>
        <v>11.113815068444444</v>
      </c>
      <c r="G1917" s="12">
        <f t="shared" si="265"/>
        <v>14.563519573333332</v>
      </c>
      <c r="H1917" s="12">
        <f t="shared" si="266"/>
        <v>14.563519573333332</v>
      </c>
      <c r="I1917" s="1" t="str">
        <f t="shared" si="267"/>
        <v>No</v>
      </c>
      <c r="J1917" s="1" t="str">
        <f t="shared" si="268"/>
        <v>Si</v>
      </c>
      <c r="K1917" s="1" t="str">
        <f t="shared" si="269"/>
        <v/>
      </c>
    </row>
    <row r="1918" spans="1:11" x14ac:dyDescent="0.3">
      <c r="A1918" s="1">
        <v>37</v>
      </c>
      <c r="B1918" s="1">
        <v>13</v>
      </c>
      <c r="C1918" s="12">
        <f t="shared" si="261"/>
        <v>0.89999999999999991</v>
      </c>
      <c r="D1918" s="12">
        <f t="shared" si="262"/>
        <v>-0.9</v>
      </c>
      <c r="E1918" s="12">
        <f t="shared" si="263"/>
        <v>11.111326975999999</v>
      </c>
      <c r="F1918" s="12">
        <f t="shared" si="264"/>
        <v>11.111326975999999</v>
      </c>
      <c r="G1918" s="12">
        <f t="shared" si="265"/>
        <v>14.560015217777778</v>
      </c>
      <c r="H1918" s="12">
        <f t="shared" si="266"/>
        <v>14.560015217777778</v>
      </c>
      <c r="I1918" s="1" t="str">
        <f t="shared" si="267"/>
        <v>No</v>
      </c>
      <c r="J1918" s="1" t="str">
        <f t="shared" si="268"/>
        <v>Si</v>
      </c>
      <c r="K1918" s="1" t="str">
        <f t="shared" si="269"/>
        <v/>
      </c>
    </row>
    <row r="1919" spans="1:11" x14ac:dyDescent="0.3">
      <c r="A1919" s="1">
        <v>37</v>
      </c>
      <c r="B1919" s="1">
        <v>14</v>
      </c>
      <c r="C1919" s="12">
        <f t="shared" si="261"/>
        <v>0.89999999999999991</v>
      </c>
      <c r="D1919" s="12">
        <f t="shared" si="262"/>
        <v>-0.82499999999999996</v>
      </c>
      <c r="E1919" s="12">
        <f t="shared" si="263"/>
        <v>11.108838883555554</v>
      </c>
      <c r="F1919" s="12">
        <f t="shared" si="264"/>
        <v>11.108838883555554</v>
      </c>
      <c r="G1919" s="12">
        <f t="shared" si="265"/>
        <v>14.556510862222222</v>
      </c>
      <c r="H1919" s="12">
        <f t="shared" si="266"/>
        <v>14.556510862222222</v>
      </c>
      <c r="I1919" s="1" t="str">
        <f t="shared" si="267"/>
        <v>No</v>
      </c>
      <c r="J1919" s="1" t="str">
        <f t="shared" si="268"/>
        <v>Si</v>
      </c>
      <c r="K1919" s="1" t="str">
        <f t="shared" si="269"/>
        <v/>
      </c>
    </row>
    <row r="1920" spans="1:11" x14ac:dyDescent="0.3">
      <c r="A1920" s="1">
        <v>37</v>
      </c>
      <c r="B1920" s="1">
        <v>15</v>
      </c>
      <c r="C1920" s="12">
        <f t="shared" si="261"/>
        <v>0.89999999999999991</v>
      </c>
      <c r="D1920" s="12">
        <f t="shared" si="262"/>
        <v>-0.75</v>
      </c>
      <c r="E1920" s="12">
        <f t="shared" si="263"/>
        <v>11.10635079111111</v>
      </c>
      <c r="F1920" s="12">
        <f t="shared" si="264"/>
        <v>11.10635079111111</v>
      </c>
      <c r="G1920" s="12">
        <f t="shared" si="265"/>
        <v>14.553006506666666</v>
      </c>
      <c r="H1920" s="12">
        <f t="shared" si="266"/>
        <v>14.553006506666666</v>
      </c>
      <c r="I1920" s="1" t="str">
        <f t="shared" si="267"/>
        <v>No</v>
      </c>
      <c r="J1920" s="1" t="str">
        <f t="shared" si="268"/>
        <v>Si</v>
      </c>
      <c r="K1920" s="1" t="str">
        <f t="shared" si="269"/>
        <v/>
      </c>
    </row>
    <row r="1921" spans="1:11" x14ac:dyDescent="0.3">
      <c r="A1921" s="1">
        <v>37</v>
      </c>
      <c r="B1921" s="1">
        <v>16</v>
      </c>
      <c r="C1921" s="12">
        <f t="shared" si="261"/>
        <v>0.89999999999999991</v>
      </c>
      <c r="D1921" s="12">
        <f t="shared" si="262"/>
        <v>-0.67500000000000004</v>
      </c>
      <c r="E1921" s="12">
        <f t="shared" si="263"/>
        <v>11.103862698666665</v>
      </c>
      <c r="F1921" s="12">
        <f t="shared" si="264"/>
        <v>11.103862698666665</v>
      </c>
      <c r="G1921" s="12">
        <f t="shared" si="265"/>
        <v>14.54950215111111</v>
      </c>
      <c r="H1921" s="12">
        <f t="shared" si="266"/>
        <v>14.54950215111111</v>
      </c>
      <c r="I1921" s="1" t="str">
        <f t="shared" si="267"/>
        <v>No</v>
      </c>
      <c r="J1921" s="1" t="str">
        <f t="shared" si="268"/>
        <v>Si</v>
      </c>
      <c r="K1921" s="1" t="str">
        <f t="shared" si="269"/>
        <v/>
      </c>
    </row>
    <row r="1922" spans="1:11" x14ac:dyDescent="0.3">
      <c r="A1922" s="1">
        <v>37</v>
      </c>
      <c r="B1922" s="1">
        <v>17</v>
      </c>
      <c r="C1922" s="12">
        <f t="shared" si="261"/>
        <v>0.89999999999999991</v>
      </c>
      <c r="D1922" s="12">
        <f t="shared" si="262"/>
        <v>-0.60000000000000009</v>
      </c>
      <c r="E1922" s="12">
        <f t="shared" si="263"/>
        <v>11.101374606222221</v>
      </c>
      <c r="F1922" s="12">
        <f t="shared" si="264"/>
        <v>11.101374606222221</v>
      </c>
      <c r="G1922" s="12">
        <f t="shared" si="265"/>
        <v>14.545997795555555</v>
      </c>
      <c r="H1922" s="12">
        <f t="shared" si="266"/>
        <v>14.545997795555555</v>
      </c>
      <c r="I1922" s="1" t="str">
        <f t="shared" si="267"/>
        <v>No</v>
      </c>
      <c r="J1922" s="1" t="str">
        <f t="shared" si="268"/>
        <v>Si</v>
      </c>
      <c r="K1922" s="1" t="str">
        <f t="shared" si="269"/>
        <v/>
      </c>
    </row>
    <row r="1923" spans="1:11" x14ac:dyDescent="0.3">
      <c r="A1923" s="1">
        <v>37</v>
      </c>
      <c r="B1923" s="1">
        <v>18</v>
      </c>
      <c r="C1923" s="12">
        <f t="shared" si="261"/>
        <v>0.89999999999999991</v>
      </c>
      <c r="D1923" s="12">
        <f t="shared" si="262"/>
        <v>-0.52499999999999991</v>
      </c>
      <c r="E1923" s="12">
        <f t="shared" si="263"/>
        <v>11.098886513777776</v>
      </c>
      <c r="F1923" s="12">
        <f t="shared" si="264"/>
        <v>11.098886513777776</v>
      </c>
      <c r="G1923" s="12">
        <f t="shared" si="265"/>
        <v>14.542493439999999</v>
      </c>
      <c r="H1923" s="12">
        <f t="shared" si="266"/>
        <v>14.542493439999999</v>
      </c>
      <c r="I1923" s="1" t="str">
        <f t="shared" si="267"/>
        <v>No</v>
      </c>
      <c r="J1923" s="1" t="str">
        <f t="shared" si="268"/>
        <v>Si</v>
      </c>
      <c r="K1923" s="1" t="str">
        <f t="shared" si="269"/>
        <v/>
      </c>
    </row>
    <row r="1924" spans="1:11" x14ac:dyDescent="0.3">
      <c r="A1924" s="1">
        <v>37</v>
      </c>
      <c r="B1924" s="1">
        <v>19</v>
      </c>
      <c r="C1924" s="12">
        <f t="shared" si="261"/>
        <v>0.89999999999999991</v>
      </c>
      <c r="D1924" s="12">
        <f t="shared" si="262"/>
        <v>-0.44999999999999996</v>
      </c>
      <c r="E1924" s="12">
        <f t="shared" si="263"/>
        <v>11.096398421333333</v>
      </c>
      <c r="F1924" s="12">
        <f t="shared" si="264"/>
        <v>11.096398421333333</v>
      </c>
      <c r="G1924" s="12">
        <f t="shared" si="265"/>
        <v>14.538989084444443</v>
      </c>
      <c r="H1924" s="12">
        <f t="shared" si="266"/>
        <v>14.538989084444443</v>
      </c>
      <c r="I1924" s="1" t="str">
        <f t="shared" si="267"/>
        <v>No</v>
      </c>
      <c r="J1924" s="1" t="str">
        <f t="shared" si="268"/>
        <v>Si</v>
      </c>
      <c r="K1924" s="1" t="str">
        <f t="shared" si="269"/>
        <v/>
      </c>
    </row>
    <row r="1925" spans="1:11" x14ac:dyDescent="0.3">
      <c r="A1925" s="1">
        <v>37</v>
      </c>
      <c r="B1925" s="1">
        <v>20</v>
      </c>
      <c r="C1925" s="12">
        <f t="shared" si="261"/>
        <v>0.89999999999999991</v>
      </c>
      <c r="D1925" s="12">
        <f t="shared" si="262"/>
        <v>-0.375</v>
      </c>
      <c r="E1925" s="12">
        <f t="shared" si="263"/>
        <v>11.093910328888889</v>
      </c>
      <c r="F1925" s="12">
        <f t="shared" si="264"/>
        <v>11.093910328888889</v>
      </c>
      <c r="G1925" s="12">
        <f t="shared" si="265"/>
        <v>14.535484728888889</v>
      </c>
      <c r="H1925" s="12">
        <f t="shared" si="266"/>
        <v>14.535484728888889</v>
      </c>
      <c r="I1925" s="1" t="str">
        <f t="shared" si="267"/>
        <v>No</v>
      </c>
      <c r="J1925" s="1" t="str">
        <f t="shared" si="268"/>
        <v>Si</v>
      </c>
      <c r="K1925" s="1" t="str">
        <f t="shared" si="269"/>
        <v/>
      </c>
    </row>
    <row r="1926" spans="1:11" x14ac:dyDescent="0.3">
      <c r="A1926" s="1">
        <v>37</v>
      </c>
      <c r="B1926" s="1">
        <v>21</v>
      </c>
      <c r="C1926" s="12">
        <f t="shared" si="261"/>
        <v>0.89999999999999991</v>
      </c>
      <c r="D1926" s="12">
        <f t="shared" si="262"/>
        <v>-0.30000000000000004</v>
      </c>
      <c r="E1926" s="12">
        <f t="shared" si="263"/>
        <v>11.091422236444444</v>
      </c>
      <c r="F1926" s="12">
        <f t="shared" si="264"/>
        <v>11.091422236444444</v>
      </c>
      <c r="G1926" s="12">
        <f t="shared" si="265"/>
        <v>14.531980373333333</v>
      </c>
      <c r="H1926" s="12">
        <f t="shared" si="266"/>
        <v>14.531980373333333</v>
      </c>
      <c r="I1926" s="1" t="str">
        <f t="shared" si="267"/>
        <v>No</v>
      </c>
      <c r="J1926" s="1" t="str">
        <f t="shared" si="268"/>
        <v>Si</v>
      </c>
      <c r="K1926" s="1" t="str">
        <f t="shared" si="269"/>
        <v/>
      </c>
    </row>
    <row r="1927" spans="1:11" x14ac:dyDescent="0.3">
      <c r="A1927" s="1">
        <v>37</v>
      </c>
      <c r="B1927" s="1">
        <v>22</v>
      </c>
      <c r="C1927" s="12">
        <f t="shared" si="261"/>
        <v>0.89999999999999991</v>
      </c>
      <c r="D1927" s="12">
        <f t="shared" si="262"/>
        <v>-0.22500000000000009</v>
      </c>
      <c r="E1927" s="12">
        <f t="shared" si="263"/>
        <v>11.088934144</v>
      </c>
      <c r="F1927" s="12">
        <f t="shared" si="264"/>
        <v>11.088934144</v>
      </c>
      <c r="G1927" s="12">
        <f t="shared" si="265"/>
        <v>14.528476017777777</v>
      </c>
      <c r="H1927" s="12">
        <f t="shared" si="266"/>
        <v>14.528476017777777</v>
      </c>
      <c r="I1927" s="1" t="str">
        <f t="shared" si="267"/>
        <v>No</v>
      </c>
      <c r="J1927" s="1" t="str">
        <f t="shared" si="268"/>
        <v>Si</v>
      </c>
      <c r="K1927" s="1" t="str">
        <f t="shared" si="269"/>
        <v/>
      </c>
    </row>
    <row r="1928" spans="1:11" x14ac:dyDescent="0.3">
      <c r="A1928" s="1">
        <v>37</v>
      </c>
      <c r="B1928" s="1">
        <v>23</v>
      </c>
      <c r="C1928" s="12">
        <f t="shared" si="261"/>
        <v>0.89999999999999991</v>
      </c>
      <c r="D1928" s="12">
        <f t="shared" si="262"/>
        <v>-0.14999999999999991</v>
      </c>
      <c r="E1928" s="12">
        <f t="shared" si="263"/>
        <v>11.086446051555555</v>
      </c>
      <c r="F1928" s="12">
        <f t="shared" si="264"/>
        <v>11.086446051555555</v>
      </c>
      <c r="G1928" s="12">
        <f t="shared" si="265"/>
        <v>14.524971662222221</v>
      </c>
      <c r="H1928" s="12">
        <f t="shared" si="266"/>
        <v>14.524971662222221</v>
      </c>
      <c r="I1928" s="1" t="str">
        <f t="shared" si="267"/>
        <v>No</v>
      </c>
      <c r="J1928" s="1" t="str">
        <f t="shared" si="268"/>
        <v>Si</v>
      </c>
      <c r="K1928" s="1" t="str">
        <f t="shared" si="269"/>
        <v/>
      </c>
    </row>
    <row r="1929" spans="1:11" x14ac:dyDescent="0.3">
      <c r="A1929" s="1">
        <v>37</v>
      </c>
      <c r="B1929" s="1">
        <v>24</v>
      </c>
      <c r="C1929" s="12">
        <f t="shared" si="261"/>
        <v>0.89999999999999991</v>
      </c>
      <c r="D1929" s="12">
        <f t="shared" si="262"/>
        <v>-7.4999999999999956E-2</v>
      </c>
      <c r="E1929" s="12">
        <f t="shared" si="263"/>
        <v>11.08395795911111</v>
      </c>
      <c r="F1929" s="12">
        <f t="shared" si="264"/>
        <v>11.08395795911111</v>
      </c>
      <c r="G1929" s="12">
        <f t="shared" si="265"/>
        <v>14.521467306666667</v>
      </c>
      <c r="H1929" s="12">
        <f t="shared" si="266"/>
        <v>14.521467306666667</v>
      </c>
      <c r="I1929" s="1" t="str">
        <f t="shared" si="267"/>
        <v>No</v>
      </c>
      <c r="J1929" s="1" t="str">
        <f t="shared" si="268"/>
        <v>Si</v>
      </c>
      <c r="K1929" s="1" t="str">
        <f t="shared" si="269"/>
        <v/>
      </c>
    </row>
    <row r="1930" spans="1:11" x14ac:dyDescent="0.3">
      <c r="A1930" s="1">
        <v>37</v>
      </c>
      <c r="B1930" s="1">
        <v>25</v>
      </c>
      <c r="C1930" s="12">
        <f t="shared" si="261"/>
        <v>0.89999999999999991</v>
      </c>
      <c r="D1930" s="12">
        <f t="shared" si="262"/>
        <v>0</v>
      </c>
      <c r="E1930" s="12">
        <f t="shared" si="263"/>
        <v>11.081469866666666</v>
      </c>
      <c r="F1930" s="12">
        <f t="shared" si="264"/>
        <v>11.081469866666666</v>
      </c>
      <c r="G1930" s="12">
        <f t="shared" si="265"/>
        <v>14.517962951111111</v>
      </c>
      <c r="H1930" s="12">
        <f t="shared" si="266"/>
        <v>14.517962951111111</v>
      </c>
      <c r="I1930" s="1" t="str">
        <f t="shared" si="267"/>
        <v>No</v>
      </c>
      <c r="J1930" s="1" t="str">
        <f t="shared" si="268"/>
        <v>Si</v>
      </c>
      <c r="K1930" s="1" t="str">
        <f t="shared" si="269"/>
        <v/>
      </c>
    </row>
    <row r="1931" spans="1:11" x14ac:dyDescent="0.3">
      <c r="A1931" s="1">
        <v>37</v>
      </c>
      <c r="B1931" s="1">
        <v>26</v>
      </c>
      <c r="C1931" s="12">
        <f t="shared" si="261"/>
        <v>0.89999999999999991</v>
      </c>
      <c r="D1931" s="12">
        <f t="shared" si="262"/>
        <v>7.4999999999999956E-2</v>
      </c>
      <c r="E1931" s="12">
        <f t="shared" si="263"/>
        <v>11.078981774222221</v>
      </c>
      <c r="F1931" s="12">
        <f t="shared" si="264"/>
        <v>11.078981774222221</v>
      </c>
      <c r="G1931" s="12">
        <f t="shared" si="265"/>
        <v>14.514458595555555</v>
      </c>
      <c r="H1931" s="12">
        <f t="shared" si="266"/>
        <v>14.514458595555555</v>
      </c>
      <c r="I1931" s="1" t="str">
        <f t="shared" si="267"/>
        <v>No</v>
      </c>
      <c r="J1931" s="1" t="str">
        <f t="shared" si="268"/>
        <v>Si</v>
      </c>
      <c r="K1931" s="1" t="str">
        <f t="shared" si="269"/>
        <v/>
      </c>
    </row>
    <row r="1932" spans="1:11" x14ac:dyDescent="0.3">
      <c r="A1932" s="1">
        <v>37</v>
      </c>
      <c r="B1932" s="1">
        <v>27</v>
      </c>
      <c r="C1932" s="12">
        <f t="shared" si="261"/>
        <v>0.89999999999999991</v>
      </c>
      <c r="D1932" s="12">
        <f t="shared" si="262"/>
        <v>0.14999999999999991</v>
      </c>
      <c r="E1932" s="12">
        <f t="shared" si="263"/>
        <v>11.076493681777777</v>
      </c>
      <c r="F1932" s="12">
        <f t="shared" si="264"/>
        <v>11.076493681777777</v>
      </c>
      <c r="G1932" s="12">
        <f t="shared" si="265"/>
        <v>14.51095424</v>
      </c>
      <c r="H1932" s="12">
        <f t="shared" si="266"/>
        <v>14.51095424</v>
      </c>
      <c r="I1932" s="1" t="str">
        <f t="shared" si="267"/>
        <v>No</v>
      </c>
      <c r="J1932" s="1" t="str">
        <f t="shared" si="268"/>
        <v>Si</v>
      </c>
      <c r="K1932" s="1" t="str">
        <f t="shared" si="269"/>
        <v/>
      </c>
    </row>
    <row r="1933" spans="1:11" x14ac:dyDescent="0.3">
      <c r="A1933" s="1">
        <v>37</v>
      </c>
      <c r="B1933" s="1">
        <v>28</v>
      </c>
      <c r="C1933" s="12">
        <f t="shared" si="261"/>
        <v>0.89999999999999991</v>
      </c>
      <c r="D1933" s="12">
        <f t="shared" si="262"/>
        <v>0.22500000000000009</v>
      </c>
      <c r="E1933" s="12">
        <f t="shared" si="263"/>
        <v>11.074005589333332</v>
      </c>
      <c r="F1933" s="12">
        <f t="shared" si="264"/>
        <v>11.074005589333332</v>
      </c>
      <c r="G1933" s="12">
        <f t="shared" si="265"/>
        <v>14.507449884444444</v>
      </c>
      <c r="H1933" s="12">
        <f t="shared" si="266"/>
        <v>14.507449884444444</v>
      </c>
      <c r="I1933" s="1" t="str">
        <f t="shared" si="267"/>
        <v>No</v>
      </c>
      <c r="J1933" s="1" t="str">
        <f t="shared" si="268"/>
        <v>Si</v>
      </c>
      <c r="K1933" s="1" t="str">
        <f t="shared" si="269"/>
        <v/>
      </c>
    </row>
    <row r="1934" spans="1:11" x14ac:dyDescent="0.3">
      <c r="A1934" s="1">
        <v>37</v>
      </c>
      <c r="B1934" s="1">
        <v>29</v>
      </c>
      <c r="C1934" s="12">
        <f t="shared" si="261"/>
        <v>0.89999999999999991</v>
      </c>
      <c r="D1934" s="12">
        <f t="shared" si="262"/>
        <v>0.29999999999999982</v>
      </c>
      <c r="E1934" s="12">
        <f t="shared" si="263"/>
        <v>11.071517496888887</v>
      </c>
      <c r="F1934" s="12">
        <f t="shared" si="264"/>
        <v>11.071517496888887</v>
      </c>
      <c r="G1934" s="12">
        <f t="shared" si="265"/>
        <v>14.503945528888888</v>
      </c>
      <c r="H1934" s="12">
        <f t="shared" si="266"/>
        <v>14.503945528888888</v>
      </c>
      <c r="I1934" s="1" t="str">
        <f t="shared" si="267"/>
        <v>No</v>
      </c>
      <c r="J1934" s="1" t="str">
        <f t="shared" si="268"/>
        <v>Si</v>
      </c>
      <c r="K1934" s="1" t="str">
        <f t="shared" si="269"/>
        <v/>
      </c>
    </row>
    <row r="1935" spans="1:11" x14ac:dyDescent="0.3">
      <c r="A1935" s="1">
        <v>37</v>
      </c>
      <c r="B1935" s="1">
        <v>30</v>
      </c>
      <c r="C1935" s="12">
        <f t="shared" si="261"/>
        <v>0.89999999999999991</v>
      </c>
      <c r="D1935" s="12">
        <f t="shared" si="262"/>
        <v>0.375</v>
      </c>
      <c r="E1935" s="12">
        <f t="shared" si="263"/>
        <v>11.069029404444443</v>
      </c>
      <c r="F1935" s="12">
        <f t="shared" si="264"/>
        <v>11.069029404444443</v>
      </c>
      <c r="G1935" s="12">
        <f t="shared" si="265"/>
        <v>14.500441173333332</v>
      </c>
      <c r="H1935" s="12">
        <f t="shared" si="266"/>
        <v>14.500441173333332</v>
      </c>
      <c r="I1935" s="1" t="str">
        <f t="shared" si="267"/>
        <v>No</v>
      </c>
      <c r="J1935" s="1" t="str">
        <f t="shared" si="268"/>
        <v>Si</v>
      </c>
      <c r="K1935" s="1" t="str">
        <f t="shared" si="269"/>
        <v/>
      </c>
    </row>
    <row r="1936" spans="1:11" x14ac:dyDescent="0.3">
      <c r="A1936" s="1">
        <v>37</v>
      </c>
      <c r="B1936" s="1">
        <v>31</v>
      </c>
      <c r="C1936" s="12">
        <f t="shared" si="261"/>
        <v>0.89999999999999991</v>
      </c>
      <c r="D1936" s="12">
        <f t="shared" si="262"/>
        <v>0.45000000000000018</v>
      </c>
      <c r="E1936" s="12">
        <f t="shared" si="263"/>
        <v>11.066541311999998</v>
      </c>
      <c r="F1936" s="12">
        <f t="shared" si="264"/>
        <v>11.066541311999998</v>
      </c>
      <c r="G1936" s="12">
        <f t="shared" si="265"/>
        <v>14.496936817777778</v>
      </c>
      <c r="H1936" s="12">
        <f t="shared" si="266"/>
        <v>14.496936817777778</v>
      </c>
      <c r="I1936" s="1" t="str">
        <f t="shared" si="267"/>
        <v>No</v>
      </c>
      <c r="J1936" s="1" t="str">
        <f t="shared" si="268"/>
        <v>Si</v>
      </c>
      <c r="K1936" s="1" t="str">
        <f t="shared" si="269"/>
        <v/>
      </c>
    </row>
    <row r="1937" spans="1:11" x14ac:dyDescent="0.3">
      <c r="A1937" s="1">
        <v>37</v>
      </c>
      <c r="B1937" s="1">
        <v>32</v>
      </c>
      <c r="C1937" s="12">
        <f t="shared" si="261"/>
        <v>0.89999999999999991</v>
      </c>
      <c r="D1937" s="12">
        <f t="shared" si="262"/>
        <v>0.52499999999999991</v>
      </c>
      <c r="E1937" s="12">
        <f t="shared" si="263"/>
        <v>11.064053219555555</v>
      </c>
      <c r="F1937" s="12">
        <f t="shared" si="264"/>
        <v>11.064053219555555</v>
      </c>
      <c r="G1937" s="12">
        <f t="shared" si="265"/>
        <v>14.493432462222222</v>
      </c>
      <c r="H1937" s="12">
        <f t="shared" si="266"/>
        <v>14.493432462222222</v>
      </c>
      <c r="I1937" s="1" t="str">
        <f t="shared" si="267"/>
        <v>No</v>
      </c>
      <c r="J1937" s="1" t="str">
        <f t="shared" si="268"/>
        <v>Si</v>
      </c>
      <c r="K1937" s="1" t="str">
        <f t="shared" si="269"/>
        <v/>
      </c>
    </row>
    <row r="1938" spans="1:11" x14ac:dyDescent="0.3">
      <c r="A1938" s="1">
        <v>37</v>
      </c>
      <c r="B1938" s="1">
        <v>33</v>
      </c>
      <c r="C1938" s="12">
        <f t="shared" ref="C1938:C2001" si="270">IF(OR(A1938&gt;inp_n_div_x,B1938&gt;inp_n_div_y),"",-inp_bx/2+A1938*inp_bx/inp_n_div_x)</f>
        <v>0.89999999999999991</v>
      </c>
      <c r="D1938" s="12">
        <f t="shared" ref="D1938:D2001" si="271">IF(C1938="","",-inp_by/2+B1938*inp_by/inp_n_div_y)</f>
        <v>0.60000000000000009</v>
      </c>
      <c r="E1938" s="12">
        <f t="shared" ref="E1938:E2001" si="272">IF(C1938="","",res_srv_p_tot/geo_area+res_srv_mx_tot/geo_ix*D1938+res_srv_my_tot/geo_iy*C1938)</f>
        <v>11.061565127111111</v>
      </c>
      <c r="F1938" s="12">
        <f t="shared" ref="F1938:F2001" si="273">IF(E1938="","",MAX(0,E1938))</f>
        <v>11.061565127111111</v>
      </c>
      <c r="G1938" s="12">
        <f t="shared" ref="G1938:G2001" si="274">IF(C1938="","",res_u_p_tot/geo_area+res_u_mx_tot/geo_ix*D1938+res_u_my_tot/geo_iy*C1938)</f>
        <v>14.489928106666666</v>
      </c>
      <c r="H1938" s="12">
        <f t="shared" ref="H1938:H2001" si="275">IF(G1938="","",MAX(0,G1938))</f>
        <v>14.489928106666666</v>
      </c>
      <c r="I1938" s="1" t="str">
        <f t="shared" ref="I1938:I2001" si="276">IF(C1938="","",IF(AND(C1938&gt;=inp_xc-inp_cx/2,C1938&lt;=inp_xc+inp_cx/2,D1938&gt;=inp_yc-inp_cy/2,D1938&lt;=inp_yc+inp_cy/2),"Si","No"))</f>
        <v>No</v>
      </c>
      <c r="J1938" s="1" t="str">
        <f t="shared" ref="J1938:J2001" si="277">IF(C1938="","","Si")</f>
        <v>Si</v>
      </c>
      <c r="K1938" s="1" t="str">
        <f t="shared" ref="K1938:K2001" si="278">IF(OR(E1938&lt;0,G1938&lt;0),"Presion negativa","")</f>
        <v/>
      </c>
    </row>
    <row r="1939" spans="1:11" x14ac:dyDescent="0.3">
      <c r="A1939" s="1">
        <v>37</v>
      </c>
      <c r="B1939" s="1">
        <v>34</v>
      </c>
      <c r="C1939" s="12">
        <f t="shared" si="270"/>
        <v>0.89999999999999991</v>
      </c>
      <c r="D1939" s="12">
        <f t="shared" si="271"/>
        <v>0.67499999999999982</v>
      </c>
      <c r="E1939" s="12">
        <f t="shared" si="272"/>
        <v>11.059077034666666</v>
      </c>
      <c r="F1939" s="12">
        <f t="shared" si="273"/>
        <v>11.059077034666666</v>
      </c>
      <c r="G1939" s="12">
        <f t="shared" si="274"/>
        <v>14.486423751111111</v>
      </c>
      <c r="H1939" s="12">
        <f t="shared" si="275"/>
        <v>14.486423751111111</v>
      </c>
      <c r="I1939" s="1" t="str">
        <f t="shared" si="276"/>
        <v>No</v>
      </c>
      <c r="J1939" s="1" t="str">
        <f t="shared" si="277"/>
        <v>Si</v>
      </c>
      <c r="K1939" s="1" t="str">
        <f t="shared" si="278"/>
        <v/>
      </c>
    </row>
    <row r="1940" spans="1:11" x14ac:dyDescent="0.3">
      <c r="A1940" s="1">
        <v>37</v>
      </c>
      <c r="B1940" s="1">
        <v>35</v>
      </c>
      <c r="C1940" s="12">
        <f t="shared" si="270"/>
        <v>0.89999999999999991</v>
      </c>
      <c r="D1940" s="12">
        <f t="shared" si="271"/>
        <v>0.75</v>
      </c>
      <c r="E1940" s="12">
        <f t="shared" si="272"/>
        <v>11.056588942222222</v>
      </c>
      <c r="F1940" s="12">
        <f t="shared" si="273"/>
        <v>11.056588942222222</v>
      </c>
      <c r="G1940" s="12">
        <f t="shared" si="274"/>
        <v>14.482919395555555</v>
      </c>
      <c r="H1940" s="12">
        <f t="shared" si="275"/>
        <v>14.482919395555555</v>
      </c>
      <c r="I1940" s="1" t="str">
        <f t="shared" si="276"/>
        <v>No</v>
      </c>
      <c r="J1940" s="1" t="str">
        <f t="shared" si="277"/>
        <v>Si</v>
      </c>
      <c r="K1940" s="1" t="str">
        <f t="shared" si="278"/>
        <v/>
      </c>
    </row>
    <row r="1941" spans="1:11" x14ac:dyDescent="0.3">
      <c r="A1941" s="1">
        <v>37</v>
      </c>
      <c r="B1941" s="1">
        <v>36</v>
      </c>
      <c r="C1941" s="12">
        <f t="shared" si="270"/>
        <v>0.89999999999999991</v>
      </c>
      <c r="D1941" s="12">
        <f t="shared" si="271"/>
        <v>0.82500000000000018</v>
      </c>
      <c r="E1941" s="12">
        <f t="shared" si="272"/>
        <v>11.054100849777777</v>
      </c>
      <c r="F1941" s="12">
        <f t="shared" si="273"/>
        <v>11.054100849777777</v>
      </c>
      <c r="G1941" s="12">
        <f t="shared" si="274"/>
        <v>14.479415039999999</v>
      </c>
      <c r="H1941" s="12">
        <f t="shared" si="275"/>
        <v>14.479415039999999</v>
      </c>
      <c r="I1941" s="1" t="str">
        <f t="shared" si="276"/>
        <v>No</v>
      </c>
      <c r="J1941" s="1" t="str">
        <f t="shared" si="277"/>
        <v>Si</v>
      </c>
      <c r="K1941" s="1" t="str">
        <f t="shared" si="278"/>
        <v/>
      </c>
    </row>
    <row r="1942" spans="1:11" x14ac:dyDescent="0.3">
      <c r="A1942" s="1">
        <v>37</v>
      </c>
      <c r="B1942" s="1">
        <v>37</v>
      </c>
      <c r="C1942" s="12">
        <f t="shared" si="270"/>
        <v>0.89999999999999991</v>
      </c>
      <c r="D1942" s="12">
        <f t="shared" si="271"/>
        <v>0.89999999999999991</v>
      </c>
      <c r="E1942" s="12">
        <f t="shared" si="272"/>
        <v>11.051612757333332</v>
      </c>
      <c r="F1942" s="12">
        <f t="shared" si="273"/>
        <v>11.051612757333332</v>
      </c>
      <c r="G1942" s="12">
        <f t="shared" si="274"/>
        <v>14.475910684444443</v>
      </c>
      <c r="H1942" s="12">
        <f t="shared" si="275"/>
        <v>14.475910684444443</v>
      </c>
      <c r="I1942" s="1" t="str">
        <f t="shared" si="276"/>
        <v>No</v>
      </c>
      <c r="J1942" s="1" t="str">
        <f t="shared" si="277"/>
        <v>Si</v>
      </c>
      <c r="K1942" s="1" t="str">
        <f t="shared" si="278"/>
        <v/>
      </c>
    </row>
    <row r="1943" spans="1:11" x14ac:dyDescent="0.3">
      <c r="A1943" s="1">
        <v>37</v>
      </c>
      <c r="B1943" s="1">
        <v>38</v>
      </c>
      <c r="C1943" s="12">
        <f t="shared" si="270"/>
        <v>0.89999999999999991</v>
      </c>
      <c r="D1943" s="12">
        <f t="shared" si="271"/>
        <v>0.97500000000000009</v>
      </c>
      <c r="E1943" s="12">
        <f t="shared" si="272"/>
        <v>11.049124664888888</v>
      </c>
      <c r="F1943" s="12">
        <f t="shared" si="273"/>
        <v>11.049124664888888</v>
      </c>
      <c r="G1943" s="12">
        <f t="shared" si="274"/>
        <v>14.472406328888889</v>
      </c>
      <c r="H1943" s="12">
        <f t="shared" si="275"/>
        <v>14.472406328888889</v>
      </c>
      <c r="I1943" s="1" t="str">
        <f t="shared" si="276"/>
        <v>No</v>
      </c>
      <c r="J1943" s="1" t="str">
        <f t="shared" si="277"/>
        <v>Si</v>
      </c>
      <c r="K1943" s="1" t="str">
        <f t="shared" si="278"/>
        <v/>
      </c>
    </row>
    <row r="1944" spans="1:11" x14ac:dyDescent="0.3">
      <c r="A1944" s="1">
        <v>37</v>
      </c>
      <c r="B1944" s="1">
        <v>39</v>
      </c>
      <c r="C1944" s="12">
        <f t="shared" si="270"/>
        <v>0.89999999999999991</v>
      </c>
      <c r="D1944" s="12">
        <f t="shared" si="271"/>
        <v>1.0499999999999998</v>
      </c>
      <c r="E1944" s="12">
        <f t="shared" si="272"/>
        <v>11.046636572444443</v>
      </c>
      <c r="F1944" s="12">
        <f t="shared" si="273"/>
        <v>11.046636572444443</v>
      </c>
      <c r="G1944" s="12">
        <f t="shared" si="274"/>
        <v>14.468901973333333</v>
      </c>
      <c r="H1944" s="12">
        <f t="shared" si="275"/>
        <v>14.468901973333333</v>
      </c>
      <c r="I1944" s="1" t="str">
        <f t="shared" si="276"/>
        <v>No</v>
      </c>
      <c r="J1944" s="1" t="str">
        <f t="shared" si="277"/>
        <v>Si</v>
      </c>
      <c r="K1944" s="1" t="str">
        <f t="shared" si="278"/>
        <v/>
      </c>
    </row>
    <row r="1945" spans="1:11" x14ac:dyDescent="0.3">
      <c r="A1945" s="1">
        <v>37</v>
      </c>
      <c r="B1945" s="1">
        <v>40</v>
      </c>
      <c r="C1945" s="12">
        <f t="shared" si="270"/>
        <v>0.89999999999999991</v>
      </c>
      <c r="D1945" s="12">
        <f t="shared" si="271"/>
        <v>1.125</v>
      </c>
      <c r="E1945" s="12">
        <f t="shared" si="272"/>
        <v>11.044148479999999</v>
      </c>
      <c r="F1945" s="12">
        <f t="shared" si="273"/>
        <v>11.044148479999999</v>
      </c>
      <c r="G1945" s="12">
        <f t="shared" si="274"/>
        <v>14.465397617777777</v>
      </c>
      <c r="H1945" s="12">
        <f t="shared" si="275"/>
        <v>14.465397617777777</v>
      </c>
      <c r="I1945" s="1" t="str">
        <f t="shared" si="276"/>
        <v>No</v>
      </c>
      <c r="J1945" s="1" t="str">
        <f t="shared" si="277"/>
        <v>Si</v>
      </c>
      <c r="K1945" s="1" t="str">
        <f t="shared" si="278"/>
        <v/>
      </c>
    </row>
    <row r="1946" spans="1:11" x14ac:dyDescent="0.3">
      <c r="A1946" s="1">
        <v>37</v>
      </c>
      <c r="B1946" s="1">
        <v>41</v>
      </c>
      <c r="C1946" s="12">
        <f t="shared" si="270"/>
        <v>0.89999999999999991</v>
      </c>
      <c r="D1946" s="12">
        <f t="shared" si="271"/>
        <v>1.2000000000000002</v>
      </c>
      <c r="E1946" s="12">
        <f t="shared" si="272"/>
        <v>11.041660387555554</v>
      </c>
      <c r="F1946" s="12">
        <f t="shared" si="273"/>
        <v>11.041660387555554</v>
      </c>
      <c r="G1946" s="12">
        <f t="shared" si="274"/>
        <v>14.461893262222222</v>
      </c>
      <c r="H1946" s="12">
        <f t="shared" si="275"/>
        <v>14.461893262222222</v>
      </c>
      <c r="I1946" s="1" t="str">
        <f t="shared" si="276"/>
        <v>No</v>
      </c>
      <c r="J1946" s="1" t="str">
        <f t="shared" si="277"/>
        <v>Si</v>
      </c>
      <c r="K1946" s="1" t="str">
        <f t="shared" si="278"/>
        <v/>
      </c>
    </row>
    <row r="1947" spans="1:11" x14ac:dyDescent="0.3">
      <c r="A1947" s="1">
        <v>37</v>
      </c>
      <c r="B1947" s="1">
        <v>42</v>
      </c>
      <c r="C1947" s="12">
        <f t="shared" si="270"/>
        <v>0.89999999999999991</v>
      </c>
      <c r="D1947" s="12">
        <f t="shared" si="271"/>
        <v>1.2749999999999999</v>
      </c>
      <c r="E1947" s="12">
        <f t="shared" si="272"/>
        <v>11.03917229511111</v>
      </c>
      <c r="F1947" s="12">
        <f t="shared" si="273"/>
        <v>11.03917229511111</v>
      </c>
      <c r="G1947" s="12">
        <f t="shared" si="274"/>
        <v>14.458388906666666</v>
      </c>
      <c r="H1947" s="12">
        <f t="shared" si="275"/>
        <v>14.458388906666666</v>
      </c>
      <c r="I1947" s="1" t="str">
        <f t="shared" si="276"/>
        <v>No</v>
      </c>
      <c r="J1947" s="1" t="str">
        <f t="shared" si="277"/>
        <v>Si</v>
      </c>
      <c r="K1947" s="1" t="str">
        <f t="shared" si="278"/>
        <v/>
      </c>
    </row>
    <row r="1948" spans="1:11" x14ac:dyDescent="0.3">
      <c r="A1948" s="1">
        <v>37</v>
      </c>
      <c r="B1948" s="1">
        <v>43</v>
      </c>
      <c r="C1948" s="12">
        <f t="shared" si="270"/>
        <v>0.89999999999999991</v>
      </c>
      <c r="D1948" s="12">
        <f t="shared" si="271"/>
        <v>1.35</v>
      </c>
      <c r="E1948" s="12">
        <f t="shared" si="272"/>
        <v>11.036684202666665</v>
      </c>
      <c r="F1948" s="12">
        <f t="shared" si="273"/>
        <v>11.036684202666665</v>
      </c>
      <c r="G1948" s="12">
        <f t="shared" si="274"/>
        <v>14.45488455111111</v>
      </c>
      <c r="H1948" s="12">
        <f t="shared" si="275"/>
        <v>14.45488455111111</v>
      </c>
      <c r="I1948" s="1" t="str">
        <f t="shared" si="276"/>
        <v>No</v>
      </c>
      <c r="J1948" s="1" t="str">
        <f t="shared" si="277"/>
        <v>Si</v>
      </c>
      <c r="K1948" s="1" t="str">
        <f t="shared" si="278"/>
        <v/>
      </c>
    </row>
    <row r="1949" spans="1:11" x14ac:dyDescent="0.3">
      <c r="A1949" s="1">
        <v>37</v>
      </c>
      <c r="B1949" s="1">
        <v>44</v>
      </c>
      <c r="C1949" s="12">
        <f t="shared" si="270"/>
        <v>0.89999999999999991</v>
      </c>
      <c r="D1949" s="12">
        <f t="shared" si="271"/>
        <v>1.4249999999999998</v>
      </c>
      <c r="E1949" s="12">
        <f t="shared" si="272"/>
        <v>11.034196110222222</v>
      </c>
      <c r="F1949" s="12">
        <f t="shared" si="273"/>
        <v>11.034196110222222</v>
      </c>
      <c r="G1949" s="12">
        <f t="shared" si="274"/>
        <v>14.451380195555554</v>
      </c>
      <c r="H1949" s="12">
        <f t="shared" si="275"/>
        <v>14.451380195555554</v>
      </c>
      <c r="I1949" s="1" t="str">
        <f t="shared" si="276"/>
        <v>No</v>
      </c>
      <c r="J1949" s="1" t="str">
        <f t="shared" si="277"/>
        <v>Si</v>
      </c>
      <c r="K1949" s="1" t="str">
        <f t="shared" si="278"/>
        <v/>
      </c>
    </row>
    <row r="1950" spans="1:11" x14ac:dyDescent="0.3">
      <c r="A1950" s="1">
        <v>37</v>
      </c>
      <c r="B1950" s="1">
        <v>45</v>
      </c>
      <c r="C1950" s="12">
        <f t="shared" si="270"/>
        <v>0.89999999999999991</v>
      </c>
      <c r="D1950" s="12">
        <f t="shared" si="271"/>
        <v>1.5</v>
      </c>
      <c r="E1950" s="12">
        <f t="shared" si="272"/>
        <v>11.031708017777778</v>
      </c>
      <c r="F1950" s="12">
        <f t="shared" si="273"/>
        <v>11.031708017777778</v>
      </c>
      <c r="G1950" s="12">
        <f t="shared" si="274"/>
        <v>14.44787584</v>
      </c>
      <c r="H1950" s="12">
        <f t="shared" si="275"/>
        <v>14.44787584</v>
      </c>
      <c r="I1950" s="1" t="str">
        <f t="shared" si="276"/>
        <v>No</v>
      </c>
      <c r="J1950" s="1" t="str">
        <f t="shared" si="277"/>
        <v>Si</v>
      </c>
      <c r="K1950" s="1" t="str">
        <f t="shared" si="278"/>
        <v/>
      </c>
    </row>
    <row r="1951" spans="1:11" x14ac:dyDescent="0.3">
      <c r="A1951" s="1">
        <v>37</v>
      </c>
      <c r="B1951" s="1">
        <v>46</v>
      </c>
      <c r="C1951" s="12">
        <f t="shared" si="270"/>
        <v>0.89999999999999991</v>
      </c>
      <c r="D1951" s="12">
        <f t="shared" si="271"/>
        <v>1.5750000000000002</v>
      </c>
      <c r="E1951" s="12">
        <f t="shared" si="272"/>
        <v>11.029219925333333</v>
      </c>
      <c r="F1951" s="12">
        <f t="shared" si="273"/>
        <v>11.029219925333333</v>
      </c>
      <c r="G1951" s="12">
        <f t="shared" si="274"/>
        <v>14.444371484444444</v>
      </c>
      <c r="H1951" s="12">
        <f t="shared" si="275"/>
        <v>14.444371484444444</v>
      </c>
      <c r="I1951" s="1" t="str">
        <f t="shared" si="276"/>
        <v>No</v>
      </c>
      <c r="J1951" s="1" t="str">
        <f t="shared" si="277"/>
        <v>Si</v>
      </c>
      <c r="K1951" s="1" t="str">
        <f t="shared" si="278"/>
        <v/>
      </c>
    </row>
    <row r="1952" spans="1:11" x14ac:dyDescent="0.3">
      <c r="A1952" s="1">
        <v>37</v>
      </c>
      <c r="B1952" s="1">
        <v>47</v>
      </c>
      <c r="C1952" s="12">
        <f t="shared" si="270"/>
        <v>0.89999999999999991</v>
      </c>
      <c r="D1952" s="12">
        <f t="shared" si="271"/>
        <v>1.65</v>
      </c>
      <c r="E1952" s="12">
        <f t="shared" si="272"/>
        <v>11.026731832888888</v>
      </c>
      <c r="F1952" s="12">
        <f t="shared" si="273"/>
        <v>11.026731832888888</v>
      </c>
      <c r="G1952" s="12">
        <f t="shared" si="274"/>
        <v>14.440867128888888</v>
      </c>
      <c r="H1952" s="12">
        <f t="shared" si="275"/>
        <v>14.440867128888888</v>
      </c>
      <c r="I1952" s="1" t="str">
        <f t="shared" si="276"/>
        <v>No</v>
      </c>
      <c r="J1952" s="1" t="str">
        <f t="shared" si="277"/>
        <v>Si</v>
      </c>
      <c r="K1952" s="1" t="str">
        <f t="shared" si="278"/>
        <v/>
      </c>
    </row>
    <row r="1953" spans="1:11" x14ac:dyDescent="0.3">
      <c r="A1953" s="1">
        <v>37</v>
      </c>
      <c r="B1953" s="1">
        <v>48</v>
      </c>
      <c r="C1953" s="12">
        <f t="shared" si="270"/>
        <v>0.89999999999999991</v>
      </c>
      <c r="D1953" s="12">
        <f t="shared" si="271"/>
        <v>1.7250000000000001</v>
      </c>
      <c r="E1953" s="12">
        <f t="shared" si="272"/>
        <v>11.024243740444444</v>
      </c>
      <c r="F1953" s="12">
        <f t="shared" si="273"/>
        <v>11.024243740444444</v>
      </c>
      <c r="G1953" s="12">
        <f t="shared" si="274"/>
        <v>14.437362773333334</v>
      </c>
      <c r="H1953" s="12">
        <f t="shared" si="275"/>
        <v>14.437362773333334</v>
      </c>
      <c r="I1953" s="1" t="str">
        <f t="shared" si="276"/>
        <v>No</v>
      </c>
      <c r="J1953" s="1" t="str">
        <f t="shared" si="277"/>
        <v>Si</v>
      </c>
      <c r="K1953" s="1" t="str">
        <f t="shared" si="278"/>
        <v/>
      </c>
    </row>
    <row r="1954" spans="1:11" x14ac:dyDescent="0.3">
      <c r="A1954" s="1">
        <v>37</v>
      </c>
      <c r="B1954" s="1">
        <v>49</v>
      </c>
      <c r="C1954" s="12">
        <f t="shared" si="270"/>
        <v>0.89999999999999991</v>
      </c>
      <c r="D1954" s="12">
        <f t="shared" si="271"/>
        <v>1.7999999999999998</v>
      </c>
      <c r="E1954" s="12">
        <f t="shared" si="272"/>
        <v>11.021755647999999</v>
      </c>
      <c r="F1954" s="12">
        <f t="shared" si="273"/>
        <v>11.021755647999999</v>
      </c>
      <c r="G1954" s="12">
        <f t="shared" si="274"/>
        <v>14.433858417777778</v>
      </c>
      <c r="H1954" s="12">
        <f t="shared" si="275"/>
        <v>14.433858417777778</v>
      </c>
      <c r="I1954" s="1" t="str">
        <f t="shared" si="276"/>
        <v>No</v>
      </c>
      <c r="J1954" s="1" t="str">
        <f t="shared" si="277"/>
        <v>Si</v>
      </c>
      <c r="K1954" s="1" t="str">
        <f t="shared" si="278"/>
        <v/>
      </c>
    </row>
    <row r="1955" spans="1:11" x14ac:dyDescent="0.3">
      <c r="A1955" s="1">
        <v>37</v>
      </c>
      <c r="B1955" s="1">
        <v>50</v>
      </c>
      <c r="C1955" s="12">
        <f t="shared" si="270"/>
        <v>0.89999999999999991</v>
      </c>
      <c r="D1955" s="12">
        <f t="shared" si="271"/>
        <v>1.875</v>
      </c>
      <c r="E1955" s="12">
        <f t="shared" si="272"/>
        <v>11.019267555555555</v>
      </c>
      <c r="F1955" s="12">
        <f t="shared" si="273"/>
        <v>11.019267555555555</v>
      </c>
      <c r="G1955" s="12">
        <f t="shared" si="274"/>
        <v>14.430354062222222</v>
      </c>
      <c r="H1955" s="12">
        <f t="shared" si="275"/>
        <v>14.430354062222222</v>
      </c>
      <c r="I1955" s="1" t="str">
        <f t="shared" si="276"/>
        <v>No</v>
      </c>
      <c r="J1955" s="1" t="str">
        <f t="shared" si="277"/>
        <v>Si</v>
      </c>
      <c r="K1955" s="1" t="str">
        <f t="shared" si="278"/>
        <v/>
      </c>
    </row>
    <row r="1956" spans="1:11" x14ac:dyDescent="0.3">
      <c r="A1956" s="1">
        <v>38</v>
      </c>
      <c r="B1956" s="1">
        <v>0</v>
      </c>
      <c r="C1956" s="12">
        <f t="shared" si="270"/>
        <v>0.97500000000000009</v>
      </c>
      <c r="D1956" s="12">
        <f t="shared" si="271"/>
        <v>-1.875</v>
      </c>
      <c r="E1956" s="12">
        <f t="shared" si="272"/>
        <v>11.144366222222221</v>
      </c>
      <c r="F1956" s="12">
        <f t="shared" si="273"/>
        <v>11.144366222222221</v>
      </c>
      <c r="G1956" s="12">
        <f t="shared" si="274"/>
        <v>14.606609493333332</v>
      </c>
      <c r="H1956" s="12">
        <f t="shared" si="275"/>
        <v>14.606609493333332</v>
      </c>
      <c r="I1956" s="1" t="str">
        <f t="shared" si="276"/>
        <v>No</v>
      </c>
      <c r="J1956" s="1" t="str">
        <f t="shared" si="277"/>
        <v>Si</v>
      </c>
      <c r="K1956" s="1" t="str">
        <f t="shared" si="278"/>
        <v/>
      </c>
    </row>
    <row r="1957" spans="1:11" x14ac:dyDescent="0.3">
      <c r="A1957" s="1">
        <v>38</v>
      </c>
      <c r="B1957" s="1">
        <v>1</v>
      </c>
      <c r="C1957" s="12">
        <f t="shared" si="270"/>
        <v>0.97500000000000009</v>
      </c>
      <c r="D1957" s="12">
        <f t="shared" si="271"/>
        <v>-1.8</v>
      </c>
      <c r="E1957" s="12">
        <f t="shared" si="272"/>
        <v>11.141878129777776</v>
      </c>
      <c r="F1957" s="12">
        <f t="shared" si="273"/>
        <v>11.141878129777776</v>
      </c>
      <c r="G1957" s="12">
        <f t="shared" si="274"/>
        <v>14.603105137777776</v>
      </c>
      <c r="H1957" s="12">
        <f t="shared" si="275"/>
        <v>14.603105137777776</v>
      </c>
      <c r="I1957" s="1" t="str">
        <f t="shared" si="276"/>
        <v>No</v>
      </c>
      <c r="J1957" s="1" t="str">
        <f t="shared" si="277"/>
        <v>Si</v>
      </c>
      <c r="K1957" s="1" t="str">
        <f t="shared" si="278"/>
        <v/>
      </c>
    </row>
    <row r="1958" spans="1:11" x14ac:dyDescent="0.3">
      <c r="A1958" s="1">
        <v>38</v>
      </c>
      <c r="B1958" s="1">
        <v>2</v>
      </c>
      <c r="C1958" s="12">
        <f t="shared" si="270"/>
        <v>0.97500000000000009</v>
      </c>
      <c r="D1958" s="12">
        <f t="shared" si="271"/>
        <v>-1.7250000000000001</v>
      </c>
      <c r="E1958" s="12">
        <f t="shared" si="272"/>
        <v>11.139390037333332</v>
      </c>
      <c r="F1958" s="12">
        <f t="shared" si="273"/>
        <v>11.139390037333332</v>
      </c>
      <c r="G1958" s="12">
        <f t="shared" si="274"/>
        <v>14.59960078222222</v>
      </c>
      <c r="H1958" s="12">
        <f t="shared" si="275"/>
        <v>14.59960078222222</v>
      </c>
      <c r="I1958" s="1" t="str">
        <f t="shared" si="276"/>
        <v>No</v>
      </c>
      <c r="J1958" s="1" t="str">
        <f t="shared" si="277"/>
        <v>Si</v>
      </c>
      <c r="K1958" s="1" t="str">
        <f t="shared" si="278"/>
        <v/>
      </c>
    </row>
    <row r="1959" spans="1:11" x14ac:dyDescent="0.3">
      <c r="A1959" s="1">
        <v>38</v>
      </c>
      <c r="B1959" s="1">
        <v>3</v>
      </c>
      <c r="C1959" s="12">
        <f t="shared" si="270"/>
        <v>0.97500000000000009</v>
      </c>
      <c r="D1959" s="12">
        <f t="shared" si="271"/>
        <v>-1.65</v>
      </c>
      <c r="E1959" s="12">
        <f t="shared" si="272"/>
        <v>11.136901944888887</v>
      </c>
      <c r="F1959" s="12">
        <f t="shared" si="273"/>
        <v>11.136901944888887</v>
      </c>
      <c r="G1959" s="12">
        <f t="shared" si="274"/>
        <v>14.596096426666666</v>
      </c>
      <c r="H1959" s="12">
        <f t="shared" si="275"/>
        <v>14.596096426666666</v>
      </c>
      <c r="I1959" s="1" t="str">
        <f t="shared" si="276"/>
        <v>No</v>
      </c>
      <c r="J1959" s="1" t="str">
        <f t="shared" si="277"/>
        <v>Si</v>
      </c>
      <c r="K1959" s="1" t="str">
        <f t="shared" si="278"/>
        <v/>
      </c>
    </row>
    <row r="1960" spans="1:11" x14ac:dyDescent="0.3">
      <c r="A1960" s="1">
        <v>38</v>
      </c>
      <c r="B1960" s="1">
        <v>4</v>
      </c>
      <c r="C1960" s="12">
        <f t="shared" si="270"/>
        <v>0.97500000000000009</v>
      </c>
      <c r="D1960" s="12">
        <f t="shared" si="271"/>
        <v>-1.575</v>
      </c>
      <c r="E1960" s="12">
        <f t="shared" si="272"/>
        <v>11.134413852444442</v>
      </c>
      <c r="F1960" s="12">
        <f t="shared" si="273"/>
        <v>11.134413852444442</v>
      </c>
      <c r="G1960" s="12">
        <f t="shared" si="274"/>
        <v>14.59259207111111</v>
      </c>
      <c r="H1960" s="12">
        <f t="shared" si="275"/>
        <v>14.59259207111111</v>
      </c>
      <c r="I1960" s="1" t="str">
        <f t="shared" si="276"/>
        <v>No</v>
      </c>
      <c r="J1960" s="1" t="str">
        <f t="shared" si="277"/>
        <v>Si</v>
      </c>
      <c r="K1960" s="1" t="str">
        <f t="shared" si="278"/>
        <v/>
      </c>
    </row>
    <row r="1961" spans="1:11" x14ac:dyDescent="0.3">
      <c r="A1961" s="1">
        <v>38</v>
      </c>
      <c r="B1961" s="1">
        <v>5</v>
      </c>
      <c r="C1961" s="12">
        <f t="shared" si="270"/>
        <v>0.97500000000000009</v>
      </c>
      <c r="D1961" s="12">
        <f t="shared" si="271"/>
        <v>-1.5</v>
      </c>
      <c r="E1961" s="12">
        <f t="shared" si="272"/>
        <v>11.131925759999998</v>
      </c>
      <c r="F1961" s="12">
        <f t="shared" si="273"/>
        <v>11.131925759999998</v>
      </c>
      <c r="G1961" s="12">
        <f t="shared" si="274"/>
        <v>14.589087715555554</v>
      </c>
      <c r="H1961" s="12">
        <f t="shared" si="275"/>
        <v>14.589087715555554</v>
      </c>
      <c r="I1961" s="1" t="str">
        <f t="shared" si="276"/>
        <v>No</v>
      </c>
      <c r="J1961" s="1" t="str">
        <f t="shared" si="277"/>
        <v>Si</v>
      </c>
      <c r="K1961" s="1" t="str">
        <f t="shared" si="278"/>
        <v/>
      </c>
    </row>
    <row r="1962" spans="1:11" x14ac:dyDescent="0.3">
      <c r="A1962" s="1">
        <v>38</v>
      </c>
      <c r="B1962" s="1">
        <v>6</v>
      </c>
      <c r="C1962" s="12">
        <f t="shared" si="270"/>
        <v>0.97500000000000009</v>
      </c>
      <c r="D1962" s="12">
        <f t="shared" si="271"/>
        <v>-1.425</v>
      </c>
      <c r="E1962" s="12">
        <f t="shared" si="272"/>
        <v>11.129437667555553</v>
      </c>
      <c r="F1962" s="12">
        <f t="shared" si="273"/>
        <v>11.129437667555553</v>
      </c>
      <c r="G1962" s="12">
        <f t="shared" si="274"/>
        <v>14.585583359999999</v>
      </c>
      <c r="H1962" s="12">
        <f t="shared" si="275"/>
        <v>14.585583359999999</v>
      </c>
      <c r="I1962" s="1" t="str">
        <f t="shared" si="276"/>
        <v>No</v>
      </c>
      <c r="J1962" s="1" t="str">
        <f t="shared" si="277"/>
        <v>Si</v>
      </c>
      <c r="K1962" s="1" t="str">
        <f t="shared" si="278"/>
        <v/>
      </c>
    </row>
    <row r="1963" spans="1:11" x14ac:dyDescent="0.3">
      <c r="A1963" s="1">
        <v>38</v>
      </c>
      <c r="B1963" s="1">
        <v>7</v>
      </c>
      <c r="C1963" s="12">
        <f t="shared" si="270"/>
        <v>0.97500000000000009</v>
      </c>
      <c r="D1963" s="12">
        <f t="shared" si="271"/>
        <v>-1.35</v>
      </c>
      <c r="E1963" s="12">
        <f t="shared" si="272"/>
        <v>11.12694957511111</v>
      </c>
      <c r="F1963" s="12">
        <f t="shared" si="273"/>
        <v>11.12694957511111</v>
      </c>
      <c r="G1963" s="12">
        <f t="shared" si="274"/>
        <v>14.582079004444443</v>
      </c>
      <c r="H1963" s="12">
        <f t="shared" si="275"/>
        <v>14.582079004444443</v>
      </c>
      <c r="I1963" s="1" t="str">
        <f t="shared" si="276"/>
        <v>No</v>
      </c>
      <c r="J1963" s="1" t="str">
        <f t="shared" si="277"/>
        <v>Si</v>
      </c>
      <c r="K1963" s="1" t="str">
        <f t="shared" si="278"/>
        <v/>
      </c>
    </row>
    <row r="1964" spans="1:11" x14ac:dyDescent="0.3">
      <c r="A1964" s="1">
        <v>38</v>
      </c>
      <c r="B1964" s="1">
        <v>8</v>
      </c>
      <c r="C1964" s="12">
        <f t="shared" si="270"/>
        <v>0.97500000000000009</v>
      </c>
      <c r="D1964" s="12">
        <f t="shared" si="271"/>
        <v>-1.2749999999999999</v>
      </c>
      <c r="E1964" s="12">
        <f t="shared" si="272"/>
        <v>11.124461482666666</v>
      </c>
      <c r="F1964" s="12">
        <f t="shared" si="273"/>
        <v>11.124461482666666</v>
      </c>
      <c r="G1964" s="12">
        <f t="shared" si="274"/>
        <v>14.578574648888887</v>
      </c>
      <c r="H1964" s="12">
        <f t="shared" si="275"/>
        <v>14.578574648888887</v>
      </c>
      <c r="I1964" s="1" t="str">
        <f t="shared" si="276"/>
        <v>No</v>
      </c>
      <c r="J1964" s="1" t="str">
        <f t="shared" si="277"/>
        <v>Si</v>
      </c>
      <c r="K1964" s="1" t="str">
        <f t="shared" si="278"/>
        <v/>
      </c>
    </row>
    <row r="1965" spans="1:11" x14ac:dyDescent="0.3">
      <c r="A1965" s="1">
        <v>38</v>
      </c>
      <c r="B1965" s="1">
        <v>9</v>
      </c>
      <c r="C1965" s="12">
        <f t="shared" si="270"/>
        <v>0.97500000000000009</v>
      </c>
      <c r="D1965" s="12">
        <f t="shared" si="271"/>
        <v>-1.2</v>
      </c>
      <c r="E1965" s="12">
        <f t="shared" si="272"/>
        <v>11.121973390222221</v>
      </c>
      <c r="F1965" s="12">
        <f t="shared" si="273"/>
        <v>11.121973390222221</v>
      </c>
      <c r="G1965" s="12">
        <f t="shared" si="274"/>
        <v>14.575070293333331</v>
      </c>
      <c r="H1965" s="12">
        <f t="shared" si="275"/>
        <v>14.575070293333331</v>
      </c>
      <c r="I1965" s="1" t="str">
        <f t="shared" si="276"/>
        <v>No</v>
      </c>
      <c r="J1965" s="1" t="str">
        <f t="shared" si="277"/>
        <v>Si</v>
      </c>
      <c r="K1965" s="1" t="str">
        <f t="shared" si="278"/>
        <v/>
      </c>
    </row>
    <row r="1966" spans="1:11" x14ac:dyDescent="0.3">
      <c r="A1966" s="1">
        <v>38</v>
      </c>
      <c r="B1966" s="1">
        <v>10</v>
      </c>
      <c r="C1966" s="12">
        <f t="shared" si="270"/>
        <v>0.97500000000000009</v>
      </c>
      <c r="D1966" s="12">
        <f t="shared" si="271"/>
        <v>-1.125</v>
      </c>
      <c r="E1966" s="12">
        <f t="shared" si="272"/>
        <v>11.119485297777777</v>
      </c>
      <c r="F1966" s="12">
        <f t="shared" si="273"/>
        <v>11.119485297777777</v>
      </c>
      <c r="G1966" s="12">
        <f t="shared" si="274"/>
        <v>14.571565937777777</v>
      </c>
      <c r="H1966" s="12">
        <f t="shared" si="275"/>
        <v>14.571565937777777</v>
      </c>
      <c r="I1966" s="1" t="str">
        <f t="shared" si="276"/>
        <v>No</v>
      </c>
      <c r="J1966" s="1" t="str">
        <f t="shared" si="277"/>
        <v>Si</v>
      </c>
      <c r="K1966" s="1" t="str">
        <f t="shared" si="278"/>
        <v/>
      </c>
    </row>
    <row r="1967" spans="1:11" x14ac:dyDescent="0.3">
      <c r="A1967" s="1">
        <v>38</v>
      </c>
      <c r="B1967" s="1">
        <v>11</v>
      </c>
      <c r="C1967" s="12">
        <f t="shared" si="270"/>
        <v>0.97500000000000009</v>
      </c>
      <c r="D1967" s="12">
        <f t="shared" si="271"/>
        <v>-1.05</v>
      </c>
      <c r="E1967" s="12">
        <f t="shared" si="272"/>
        <v>11.116997205333332</v>
      </c>
      <c r="F1967" s="12">
        <f t="shared" si="273"/>
        <v>11.116997205333332</v>
      </c>
      <c r="G1967" s="12">
        <f t="shared" si="274"/>
        <v>14.568061582222221</v>
      </c>
      <c r="H1967" s="12">
        <f t="shared" si="275"/>
        <v>14.568061582222221</v>
      </c>
      <c r="I1967" s="1" t="str">
        <f t="shared" si="276"/>
        <v>No</v>
      </c>
      <c r="J1967" s="1" t="str">
        <f t="shared" si="277"/>
        <v>Si</v>
      </c>
      <c r="K1967" s="1" t="str">
        <f t="shared" si="278"/>
        <v/>
      </c>
    </row>
    <row r="1968" spans="1:11" x14ac:dyDescent="0.3">
      <c r="A1968" s="1">
        <v>38</v>
      </c>
      <c r="B1968" s="1">
        <v>12</v>
      </c>
      <c r="C1968" s="12">
        <f t="shared" si="270"/>
        <v>0.97500000000000009</v>
      </c>
      <c r="D1968" s="12">
        <f t="shared" si="271"/>
        <v>-0.97499999999999998</v>
      </c>
      <c r="E1968" s="12">
        <f t="shared" si="272"/>
        <v>11.114509112888888</v>
      </c>
      <c r="F1968" s="12">
        <f t="shared" si="273"/>
        <v>11.114509112888888</v>
      </c>
      <c r="G1968" s="12">
        <f t="shared" si="274"/>
        <v>14.564557226666665</v>
      </c>
      <c r="H1968" s="12">
        <f t="shared" si="275"/>
        <v>14.564557226666665</v>
      </c>
      <c r="I1968" s="1" t="str">
        <f t="shared" si="276"/>
        <v>No</v>
      </c>
      <c r="J1968" s="1" t="str">
        <f t="shared" si="277"/>
        <v>Si</v>
      </c>
      <c r="K1968" s="1" t="str">
        <f t="shared" si="278"/>
        <v/>
      </c>
    </row>
    <row r="1969" spans="1:11" x14ac:dyDescent="0.3">
      <c r="A1969" s="1">
        <v>38</v>
      </c>
      <c r="B1969" s="1">
        <v>13</v>
      </c>
      <c r="C1969" s="12">
        <f t="shared" si="270"/>
        <v>0.97500000000000009</v>
      </c>
      <c r="D1969" s="12">
        <f t="shared" si="271"/>
        <v>-0.9</v>
      </c>
      <c r="E1969" s="12">
        <f t="shared" si="272"/>
        <v>11.112021020444443</v>
      </c>
      <c r="F1969" s="12">
        <f t="shared" si="273"/>
        <v>11.112021020444443</v>
      </c>
      <c r="G1969" s="12">
        <f t="shared" si="274"/>
        <v>14.56105287111111</v>
      </c>
      <c r="H1969" s="12">
        <f t="shared" si="275"/>
        <v>14.56105287111111</v>
      </c>
      <c r="I1969" s="1" t="str">
        <f t="shared" si="276"/>
        <v>No</v>
      </c>
      <c r="J1969" s="1" t="str">
        <f t="shared" si="277"/>
        <v>Si</v>
      </c>
      <c r="K1969" s="1" t="str">
        <f t="shared" si="278"/>
        <v/>
      </c>
    </row>
    <row r="1970" spans="1:11" x14ac:dyDescent="0.3">
      <c r="A1970" s="1">
        <v>38</v>
      </c>
      <c r="B1970" s="1">
        <v>14</v>
      </c>
      <c r="C1970" s="12">
        <f t="shared" si="270"/>
        <v>0.97500000000000009</v>
      </c>
      <c r="D1970" s="12">
        <f t="shared" si="271"/>
        <v>-0.82499999999999996</v>
      </c>
      <c r="E1970" s="12">
        <f t="shared" si="272"/>
        <v>11.109532927999998</v>
      </c>
      <c r="F1970" s="12">
        <f t="shared" si="273"/>
        <v>11.109532927999998</v>
      </c>
      <c r="G1970" s="12">
        <f t="shared" si="274"/>
        <v>14.557548515555554</v>
      </c>
      <c r="H1970" s="12">
        <f t="shared" si="275"/>
        <v>14.557548515555554</v>
      </c>
      <c r="I1970" s="1" t="str">
        <f t="shared" si="276"/>
        <v>No</v>
      </c>
      <c r="J1970" s="1" t="str">
        <f t="shared" si="277"/>
        <v>Si</v>
      </c>
      <c r="K1970" s="1" t="str">
        <f t="shared" si="278"/>
        <v/>
      </c>
    </row>
    <row r="1971" spans="1:11" x14ac:dyDescent="0.3">
      <c r="A1971" s="1">
        <v>38</v>
      </c>
      <c r="B1971" s="1">
        <v>15</v>
      </c>
      <c r="C1971" s="12">
        <f t="shared" si="270"/>
        <v>0.97500000000000009</v>
      </c>
      <c r="D1971" s="12">
        <f t="shared" si="271"/>
        <v>-0.75</v>
      </c>
      <c r="E1971" s="12">
        <f t="shared" si="272"/>
        <v>11.107044835555554</v>
      </c>
      <c r="F1971" s="12">
        <f t="shared" si="273"/>
        <v>11.107044835555554</v>
      </c>
      <c r="G1971" s="12">
        <f t="shared" si="274"/>
        <v>14.554044159999998</v>
      </c>
      <c r="H1971" s="12">
        <f t="shared" si="275"/>
        <v>14.554044159999998</v>
      </c>
      <c r="I1971" s="1" t="str">
        <f t="shared" si="276"/>
        <v>No</v>
      </c>
      <c r="J1971" s="1" t="str">
        <f t="shared" si="277"/>
        <v>Si</v>
      </c>
      <c r="K1971" s="1" t="str">
        <f t="shared" si="278"/>
        <v/>
      </c>
    </row>
    <row r="1972" spans="1:11" x14ac:dyDescent="0.3">
      <c r="A1972" s="1">
        <v>38</v>
      </c>
      <c r="B1972" s="1">
        <v>16</v>
      </c>
      <c r="C1972" s="12">
        <f t="shared" si="270"/>
        <v>0.97500000000000009</v>
      </c>
      <c r="D1972" s="12">
        <f t="shared" si="271"/>
        <v>-0.67500000000000004</v>
      </c>
      <c r="E1972" s="12">
        <f t="shared" si="272"/>
        <v>11.104556743111109</v>
      </c>
      <c r="F1972" s="12">
        <f t="shared" si="273"/>
        <v>11.104556743111109</v>
      </c>
      <c r="G1972" s="12">
        <f t="shared" si="274"/>
        <v>14.550539804444442</v>
      </c>
      <c r="H1972" s="12">
        <f t="shared" si="275"/>
        <v>14.550539804444442</v>
      </c>
      <c r="I1972" s="1" t="str">
        <f t="shared" si="276"/>
        <v>No</v>
      </c>
      <c r="J1972" s="1" t="str">
        <f t="shared" si="277"/>
        <v>Si</v>
      </c>
      <c r="K1972" s="1" t="str">
        <f t="shared" si="278"/>
        <v/>
      </c>
    </row>
    <row r="1973" spans="1:11" x14ac:dyDescent="0.3">
      <c r="A1973" s="1">
        <v>38</v>
      </c>
      <c r="B1973" s="1">
        <v>17</v>
      </c>
      <c r="C1973" s="12">
        <f t="shared" si="270"/>
        <v>0.97500000000000009</v>
      </c>
      <c r="D1973" s="12">
        <f t="shared" si="271"/>
        <v>-0.60000000000000009</v>
      </c>
      <c r="E1973" s="12">
        <f t="shared" si="272"/>
        <v>11.102068650666665</v>
      </c>
      <c r="F1973" s="12">
        <f t="shared" si="273"/>
        <v>11.102068650666665</v>
      </c>
      <c r="G1973" s="12">
        <f t="shared" si="274"/>
        <v>14.547035448888888</v>
      </c>
      <c r="H1973" s="12">
        <f t="shared" si="275"/>
        <v>14.547035448888888</v>
      </c>
      <c r="I1973" s="1" t="str">
        <f t="shared" si="276"/>
        <v>No</v>
      </c>
      <c r="J1973" s="1" t="str">
        <f t="shared" si="277"/>
        <v>Si</v>
      </c>
      <c r="K1973" s="1" t="str">
        <f t="shared" si="278"/>
        <v/>
      </c>
    </row>
    <row r="1974" spans="1:11" x14ac:dyDescent="0.3">
      <c r="A1974" s="1">
        <v>38</v>
      </c>
      <c r="B1974" s="1">
        <v>18</v>
      </c>
      <c r="C1974" s="12">
        <f t="shared" si="270"/>
        <v>0.97500000000000009</v>
      </c>
      <c r="D1974" s="12">
        <f t="shared" si="271"/>
        <v>-0.52499999999999991</v>
      </c>
      <c r="E1974" s="12">
        <f t="shared" si="272"/>
        <v>11.09958055822222</v>
      </c>
      <c r="F1974" s="12">
        <f t="shared" si="273"/>
        <v>11.09958055822222</v>
      </c>
      <c r="G1974" s="12">
        <f t="shared" si="274"/>
        <v>14.543531093333332</v>
      </c>
      <c r="H1974" s="12">
        <f t="shared" si="275"/>
        <v>14.543531093333332</v>
      </c>
      <c r="I1974" s="1" t="str">
        <f t="shared" si="276"/>
        <v>No</v>
      </c>
      <c r="J1974" s="1" t="str">
        <f t="shared" si="277"/>
        <v>Si</v>
      </c>
      <c r="K1974" s="1" t="str">
        <f t="shared" si="278"/>
        <v/>
      </c>
    </row>
    <row r="1975" spans="1:11" x14ac:dyDescent="0.3">
      <c r="A1975" s="1">
        <v>38</v>
      </c>
      <c r="B1975" s="1">
        <v>19</v>
      </c>
      <c r="C1975" s="12">
        <f t="shared" si="270"/>
        <v>0.97500000000000009</v>
      </c>
      <c r="D1975" s="12">
        <f t="shared" si="271"/>
        <v>-0.44999999999999996</v>
      </c>
      <c r="E1975" s="12">
        <f t="shared" si="272"/>
        <v>11.097092465777777</v>
      </c>
      <c r="F1975" s="12">
        <f t="shared" si="273"/>
        <v>11.097092465777777</v>
      </c>
      <c r="G1975" s="12">
        <f t="shared" si="274"/>
        <v>14.540026737777776</v>
      </c>
      <c r="H1975" s="12">
        <f t="shared" si="275"/>
        <v>14.540026737777776</v>
      </c>
      <c r="I1975" s="1" t="str">
        <f t="shared" si="276"/>
        <v>No</v>
      </c>
      <c r="J1975" s="1" t="str">
        <f t="shared" si="277"/>
        <v>Si</v>
      </c>
      <c r="K1975" s="1" t="str">
        <f t="shared" si="278"/>
        <v/>
      </c>
    </row>
    <row r="1976" spans="1:11" x14ac:dyDescent="0.3">
      <c r="A1976" s="1">
        <v>38</v>
      </c>
      <c r="B1976" s="1">
        <v>20</v>
      </c>
      <c r="C1976" s="12">
        <f t="shared" si="270"/>
        <v>0.97500000000000009</v>
      </c>
      <c r="D1976" s="12">
        <f t="shared" si="271"/>
        <v>-0.375</v>
      </c>
      <c r="E1976" s="12">
        <f t="shared" si="272"/>
        <v>11.094604373333333</v>
      </c>
      <c r="F1976" s="12">
        <f t="shared" si="273"/>
        <v>11.094604373333333</v>
      </c>
      <c r="G1976" s="12">
        <f t="shared" si="274"/>
        <v>14.536522382222222</v>
      </c>
      <c r="H1976" s="12">
        <f t="shared" si="275"/>
        <v>14.536522382222222</v>
      </c>
      <c r="I1976" s="1" t="str">
        <f t="shared" si="276"/>
        <v>No</v>
      </c>
      <c r="J1976" s="1" t="str">
        <f t="shared" si="277"/>
        <v>Si</v>
      </c>
      <c r="K1976" s="1" t="str">
        <f t="shared" si="278"/>
        <v/>
      </c>
    </row>
    <row r="1977" spans="1:11" x14ac:dyDescent="0.3">
      <c r="A1977" s="1">
        <v>38</v>
      </c>
      <c r="B1977" s="1">
        <v>21</v>
      </c>
      <c r="C1977" s="12">
        <f t="shared" si="270"/>
        <v>0.97500000000000009</v>
      </c>
      <c r="D1977" s="12">
        <f t="shared" si="271"/>
        <v>-0.30000000000000004</v>
      </c>
      <c r="E1977" s="12">
        <f t="shared" si="272"/>
        <v>11.092116280888888</v>
      </c>
      <c r="F1977" s="12">
        <f t="shared" si="273"/>
        <v>11.092116280888888</v>
      </c>
      <c r="G1977" s="12">
        <f t="shared" si="274"/>
        <v>14.533018026666666</v>
      </c>
      <c r="H1977" s="12">
        <f t="shared" si="275"/>
        <v>14.533018026666666</v>
      </c>
      <c r="I1977" s="1" t="str">
        <f t="shared" si="276"/>
        <v>No</v>
      </c>
      <c r="J1977" s="1" t="str">
        <f t="shared" si="277"/>
        <v>Si</v>
      </c>
      <c r="K1977" s="1" t="str">
        <f t="shared" si="278"/>
        <v/>
      </c>
    </row>
    <row r="1978" spans="1:11" x14ac:dyDescent="0.3">
      <c r="A1978" s="1">
        <v>38</v>
      </c>
      <c r="B1978" s="1">
        <v>22</v>
      </c>
      <c r="C1978" s="12">
        <f t="shared" si="270"/>
        <v>0.97500000000000009</v>
      </c>
      <c r="D1978" s="12">
        <f t="shared" si="271"/>
        <v>-0.22500000000000009</v>
      </c>
      <c r="E1978" s="12">
        <f t="shared" si="272"/>
        <v>11.089628188444443</v>
      </c>
      <c r="F1978" s="12">
        <f t="shared" si="273"/>
        <v>11.089628188444443</v>
      </c>
      <c r="G1978" s="12">
        <f t="shared" si="274"/>
        <v>14.529513671111109</v>
      </c>
      <c r="H1978" s="12">
        <f t="shared" si="275"/>
        <v>14.529513671111109</v>
      </c>
      <c r="I1978" s="1" t="str">
        <f t="shared" si="276"/>
        <v>No</v>
      </c>
      <c r="J1978" s="1" t="str">
        <f t="shared" si="277"/>
        <v>Si</v>
      </c>
      <c r="K1978" s="1" t="str">
        <f t="shared" si="278"/>
        <v/>
      </c>
    </row>
    <row r="1979" spans="1:11" x14ac:dyDescent="0.3">
      <c r="A1979" s="1">
        <v>38</v>
      </c>
      <c r="B1979" s="1">
        <v>23</v>
      </c>
      <c r="C1979" s="12">
        <f t="shared" si="270"/>
        <v>0.97500000000000009</v>
      </c>
      <c r="D1979" s="12">
        <f t="shared" si="271"/>
        <v>-0.14999999999999991</v>
      </c>
      <c r="E1979" s="12">
        <f t="shared" si="272"/>
        <v>11.087140095999999</v>
      </c>
      <c r="F1979" s="12">
        <f t="shared" si="273"/>
        <v>11.087140095999999</v>
      </c>
      <c r="G1979" s="12">
        <f t="shared" si="274"/>
        <v>14.526009315555553</v>
      </c>
      <c r="H1979" s="12">
        <f t="shared" si="275"/>
        <v>14.526009315555553</v>
      </c>
      <c r="I1979" s="1" t="str">
        <f t="shared" si="276"/>
        <v>No</v>
      </c>
      <c r="J1979" s="1" t="str">
        <f t="shared" si="277"/>
        <v>Si</v>
      </c>
      <c r="K1979" s="1" t="str">
        <f t="shared" si="278"/>
        <v/>
      </c>
    </row>
    <row r="1980" spans="1:11" x14ac:dyDescent="0.3">
      <c r="A1980" s="1">
        <v>38</v>
      </c>
      <c r="B1980" s="1">
        <v>24</v>
      </c>
      <c r="C1980" s="12">
        <f t="shared" si="270"/>
        <v>0.97500000000000009</v>
      </c>
      <c r="D1980" s="12">
        <f t="shared" si="271"/>
        <v>-7.4999999999999956E-2</v>
      </c>
      <c r="E1980" s="12">
        <f t="shared" si="272"/>
        <v>11.084652003555554</v>
      </c>
      <c r="F1980" s="12">
        <f t="shared" si="273"/>
        <v>11.084652003555554</v>
      </c>
      <c r="G1980" s="12">
        <f t="shared" si="274"/>
        <v>14.522504959999999</v>
      </c>
      <c r="H1980" s="12">
        <f t="shared" si="275"/>
        <v>14.522504959999999</v>
      </c>
      <c r="I1980" s="1" t="str">
        <f t="shared" si="276"/>
        <v>No</v>
      </c>
      <c r="J1980" s="1" t="str">
        <f t="shared" si="277"/>
        <v>Si</v>
      </c>
      <c r="K1980" s="1" t="str">
        <f t="shared" si="278"/>
        <v/>
      </c>
    </row>
    <row r="1981" spans="1:11" x14ac:dyDescent="0.3">
      <c r="A1981" s="1">
        <v>38</v>
      </c>
      <c r="B1981" s="1">
        <v>25</v>
      </c>
      <c r="C1981" s="12">
        <f t="shared" si="270"/>
        <v>0.97500000000000009</v>
      </c>
      <c r="D1981" s="12">
        <f t="shared" si="271"/>
        <v>0</v>
      </c>
      <c r="E1981" s="12">
        <f t="shared" si="272"/>
        <v>11.08216391111111</v>
      </c>
      <c r="F1981" s="12">
        <f t="shared" si="273"/>
        <v>11.08216391111111</v>
      </c>
      <c r="G1981" s="12">
        <f t="shared" si="274"/>
        <v>14.519000604444443</v>
      </c>
      <c r="H1981" s="12">
        <f t="shared" si="275"/>
        <v>14.519000604444443</v>
      </c>
      <c r="I1981" s="1" t="str">
        <f t="shared" si="276"/>
        <v>No</v>
      </c>
      <c r="J1981" s="1" t="str">
        <f t="shared" si="277"/>
        <v>Si</v>
      </c>
      <c r="K1981" s="1" t="str">
        <f t="shared" si="278"/>
        <v/>
      </c>
    </row>
    <row r="1982" spans="1:11" x14ac:dyDescent="0.3">
      <c r="A1982" s="1">
        <v>38</v>
      </c>
      <c r="B1982" s="1">
        <v>26</v>
      </c>
      <c r="C1982" s="12">
        <f t="shared" si="270"/>
        <v>0.97500000000000009</v>
      </c>
      <c r="D1982" s="12">
        <f t="shared" si="271"/>
        <v>7.4999999999999956E-2</v>
      </c>
      <c r="E1982" s="12">
        <f t="shared" si="272"/>
        <v>11.079675818666665</v>
      </c>
      <c r="F1982" s="12">
        <f t="shared" si="273"/>
        <v>11.079675818666665</v>
      </c>
      <c r="G1982" s="12">
        <f t="shared" si="274"/>
        <v>14.515496248888887</v>
      </c>
      <c r="H1982" s="12">
        <f t="shared" si="275"/>
        <v>14.515496248888887</v>
      </c>
      <c r="I1982" s="1" t="str">
        <f t="shared" si="276"/>
        <v>No</v>
      </c>
      <c r="J1982" s="1" t="str">
        <f t="shared" si="277"/>
        <v>Si</v>
      </c>
      <c r="K1982" s="1" t="str">
        <f t="shared" si="278"/>
        <v/>
      </c>
    </row>
    <row r="1983" spans="1:11" x14ac:dyDescent="0.3">
      <c r="A1983" s="1">
        <v>38</v>
      </c>
      <c r="B1983" s="1">
        <v>27</v>
      </c>
      <c r="C1983" s="12">
        <f t="shared" si="270"/>
        <v>0.97500000000000009</v>
      </c>
      <c r="D1983" s="12">
        <f t="shared" si="271"/>
        <v>0.14999999999999991</v>
      </c>
      <c r="E1983" s="12">
        <f t="shared" si="272"/>
        <v>11.07718772622222</v>
      </c>
      <c r="F1983" s="12">
        <f t="shared" si="273"/>
        <v>11.07718772622222</v>
      </c>
      <c r="G1983" s="12">
        <f t="shared" si="274"/>
        <v>14.511991893333333</v>
      </c>
      <c r="H1983" s="12">
        <f t="shared" si="275"/>
        <v>14.511991893333333</v>
      </c>
      <c r="I1983" s="1" t="str">
        <f t="shared" si="276"/>
        <v>No</v>
      </c>
      <c r="J1983" s="1" t="str">
        <f t="shared" si="277"/>
        <v>Si</v>
      </c>
      <c r="K1983" s="1" t="str">
        <f t="shared" si="278"/>
        <v/>
      </c>
    </row>
    <row r="1984" spans="1:11" x14ac:dyDescent="0.3">
      <c r="A1984" s="1">
        <v>38</v>
      </c>
      <c r="B1984" s="1">
        <v>28</v>
      </c>
      <c r="C1984" s="12">
        <f t="shared" si="270"/>
        <v>0.97500000000000009</v>
      </c>
      <c r="D1984" s="12">
        <f t="shared" si="271"/>
        <v>0.22500000000000009</v>
      </c>
      <c r="E1984" s="12">
        <f t="shared" si="272"/>
        <v>11.074699633777776</v>
      </c>
      <c r="F1984" s="12">
        <f t="shared" si="273"/>
        <v>11.074699633777776</v>
      </c>
      <c r="G1984" s="12">
        <f t="shared" si="274"/>
        <v>14.508487537777777</v>
      </c>
      <c r="H1984" s="12">
        <f t="shared" si="275"/>
        <v>14.508487537777777</v>
      </c>
      <c r="I1984" s="1" t="str">
        <f t="shared" si="276"/>
        <v>No</v>
      </c>
      <c r="J1984" s="1" t="str">
        <f t="shared" si="277"/>
        <v>Si</v>
      </c>
      <c r="K1984" s="1" t="str">
        <f t="shared" si="278"/>
        <v/>
      </c>
    </row>
    <row r="1985" spans="1:11" x14ac:dyDescent="0.3">
      <c r="A1985" s="1">
        <v>38</v>
      </c>
      <c r="B1985" s="1">
        <v>29</v>
      </c>
      <c r="C1985" s="12">
        <f t="shared" si="270"/>
        <v>0.97500000000000009</v>
      </c>
      <c r="D1985" s="12">
        <f t="shared" si="271"/>
        <v>0.29999999999999982</v>
      </c>
      <c r="E1985" s="12">
        <f t="shared" si="272"/>
        <v>11.072211541333331</v>
      </c>
      <c r="F1985" s="12">
        <f t="shared" si="273"/>
        <v>11.072211541333331</v>
      </c>
      <c r="G1985" s="12">
        <f t="shared" si="274"/>
        <v>14.504983182222221</v>
      </c>
      <c r="H1985" s="12">
        <f t="shared" si="275"/>
        <v>14.504983182222221</v>
      </c>
      <c r="I1985" s="1" t="str">
        <f t="shared" si="276"/>
        <v>No</v>
      </c>
      <c r="J1985" s="1" t="str">
        <f t="shared" si="277"/>
        <v>Si</v>
      </c>
      <c r="K1985" s="1" t="str">
        <f t="shared" si="278"/>
        <v/>
      </c>
    </row>
    <row r="1986" spans="1:11" x14ac:dyDescent="0.3">
      <c r="A1986" s="1">
        <v>38</v>
      </c>
      <c r="B1986" s="1">
        <v>30</v>
      </c>
      <c r="C1986" s="12">
        <f t="shared" si="270"/>
        <v>0.97500000000000009</v>
      </c>
      <c r="D1986" s="12">
        <f t="shared" si="271"/>
        <v>0.375</v>
      </c>
      <c r="E1986" s="12">
        <f t="shared" si="272"/>
        <v>11.069723448888887</v>
      </c>
      <c r="F1986" s="12">
        <f t="shared" si="273"/>
        <v>11.069723448888887</v>
      </c>
      <c r="G1986" s="12">
        <f t="shared" si="274"/>
        <v>14.501478826666665</v>
      </c>
      <c r="H1986" s="12">
        <f t="shared" si="275"/>
        <v>14.501478826666665</v>
      </c>
      <c r="I1986" s="1" t="str">
        <f t="shared" si="276"/>
        <v>No</v>
      </c>
      <c r="J1986" s="1" t="str">
        <f t="shared" si="277"/>
        <v>Si</v>
      </c>
      <c r="K1986" s="1" t="str">
        <f t="shared" si="278"/>
        <v/>
      </c>
    </row>
    <row r="1987" spans="1:11" x14ac:dyDescent="0.3">
      <c r="A1987" s="1">
        <v>38</v>
      </c>
      <c r="B1987" s="1">
        <v>31</v>
      </c>
      <c r="C1987" s="12">
        <f t="shared" si="270"/>
        <v>0.97500000000000009</v>
      </c>
      <c r="D1987" s="12">
        <f t="shared" si="271"/>
        <v>0.45000000000000018</v>
      </c>
      <c r="E1987" s="12">
        <f t="shared" si="272"/>
        <v>11.067235356444442</v>
      </c>
      <c r="F1987" s="12">
        <f t="shared" si="273"/>
        <v>11.067235356444442</v>
      </c>
      <c r="G1987" s="12">
        <f t="shared" si="274"/>
        <v>14.49797447111111</v>
      </c>
      <c r="H1987" s="12">
        <f t="shared" si="275"/>
        <v>14.49797447111111</v>
      </c>
      <c r="I1987" s="1" t="str">
        <f t="shared" si="276"/>
        <v>No</v>
      </c>
      <c r="J1987" s="1" t="str">
        <f t="shared" si="277"/>
        <v>Si</v>
      </c>
      <c r="K1987" s="1" t="str">
        <f t="shared" si="278"/>
        <v/>
      </c>
    </row>
    <row r="1988" spans="1:11" x14ac:dyDescent="0.3">
      <c r="A1988" s="1">
        <v>38</v>
      </c>
      <c r="B1988" s="1">
        <v>32</v>
      </c>
      <c r="C1988" s="12">
        <f t="shared" si="270"/>
        <v>0.97500000000000009</v>
      </c>
      <c r="D1988" s="12">
        <f t="shared" si="271"/>
        <v>0.52499999999999991</v>
      </c>
      <c r="E1988" s="12">
        <f t="shared" si="272"/>
        <v>11.064747263999999</v>
      </c>
      <c r="F1988" s="12">
        <f t="shared" si="273"/>
        <v>11.064747263999999</v>
      </c>
      <c r="G1988" s="12">
        <f t="shared" si="274"/>
        <v>14.494470115555554</v>
      </c>
      <c r="H1988" s="12">
        <f t="shared" si="275"/>
        <v>14.494470115555554</v>
      </c>
      <c r="I1988" s="1" t="str">
        <f t="shared" si="276"/>
        <v>No</v>
      </c>
      <c r="J1988" s="1" t="str">
        <f t="shared" si="277"/>
        <v>Si</v>
      </c>
      <c r="K1988" s="1" t="str">
        <f t="shared" si="278"/>
        <v/>
      </c>
    </row>
    <row r="1989" spans="1:11" x14ac:dyDescent="0.3">
      <c r="A1989" s="1">
        <v>38</v>
      </c>
      <c r="B1989" s="1">
        <v>33</v>
      </c>
      <c r="C1989" s="12">
        <f t="shared" si="270"/>
        <v>0.97500000000000009</v>
      </c>
      <c r="D1989" s="12">
        <f t="shared" si="271"/>
        <v>0.60000000000000009</v>
      </c>
      <c r="E1989" s="12">
        <f t="shared" si="272"/>
        <v>11.062259171555555</v>
      </c>
      <c r="F1989" s="12">
        <f t="shared" si="273"/>
        <v>11.062259171555555</v>
      </c>
      <c r="G1989" s="12">
        <f t="shared" si="274"/>
        <v>14.490965759999998</v>
      </c>
      <c r="H1989" s="12">
        <f t="shared" si="275"/>
        <v>14.490965759999998</v>
      </c>
      <c r="I1989" s="1" t="str">
        <f t="shared" si="276"/>
        <v>No</v>
      </c>
      <c r="J1989" s="1" t="str">
        <f t="shared" si="277"/>
        <v>Si</v>
      </c>
      <c r="K1989" s="1" t="str">
        <f t="shared" si="278"/>
        <v/>
      </c>
    </row>
    <row r="1990" spans="1:11" x14ac:dyDescent="0.3">
      <c r="A1990" s="1">
        <v>38</v>
      </c>
      <c r="B1990" s="1">
        <v>34</v>
      </c>
      <c r="C1990" s="12">
        <f t="shared" si="270"/>
        <v>0.97500000000000009</v>
      </c>
      <c r="D1990" s="12">
        <f t="shared" si="271"/>
        <v>0.67499999999999982</v>
      </c>
      <c r="E1990" s="12">
        <f t="shared" si="272"/>
        <v>11.05977107911111</v>
      </c>
      <c r="F1990" s="12">
        <f t="shared" si="273"/>
        <v>11.05977107911111</v>
      </c>
      <c r="G1990" s="12">
        <f t="shared" si="274"/>
        <v>14.487461404444444</v>
      </c>
      <c r="H1990" s="12">
        <f t="shared" si="275"/>
        <v>14.487461404444444</v>
      </c>
      <c r="I1990" s="1" t="str">
        <f t="shared" si="276"/>
        <v>No</v>
      </c>
      <c r="J1990" s="1" t="str">
        <f t="shared" si="277"/>
        <v>Si</v>
      </c>
      <c r="K1990" s="1" t="str">
        <f t="shared" si="278"/>
        <v/>
      </c>
    </row>
    <row r="1991" spans="1:11" x14ac:dyDescent="0.3">
      <c r="A1991" s="1">
        <v>38</v>
      </c>
      <c r="B1991" s="1">
        <v>35</v>
      </c>
      <c r="C1991" s="12">
        <f t="shared" si="270"/>
        <v>0.97500000000000009</v>
      </c>
      <c r="D1991" s="12">
        <f t="shared" si="271"/>
        <v>0.75</v>
      </c>
      <c r="E1991" s="12">
        <f t="shared" si="272"/>
        <v>11.057282986666666</v>
      </c>
      <c r="F1991" s="12">
        <f t="shared" si="273"/>
        <v>11.057282986666666</v>
      </c>
      <c r="G1991" s="12">
        <f t="shared" si="274"/>
        <v>14.483957048888888</v>
      </c>
      <c r="H1991" s="12">
        <f t="shared" si="275"/>
        <v>14.483957048888888</v>
      </c>
      <c r="I1991" s="1" t="str">
        <f t="shared" si="276"/>
        <v>No</v>
      </c>
      <c r="J1991" s="1" t="str">
        <f t="shared" si="277"/>
        <v>Si</v>
      </c>
      <c r="K1991" s="1" t="str">
        <f t="shared" si="278"/>
        <v/>
      </c>
    </row>
    <row r="1992" spans="1:11" x14ac:dyDescent="0.3">
      <c r="A1992" s="1">
        <v>38</v>
      </c>
      <c r="B1992" s="1">
        <v>36</v>
      </c>
      <c r="C1992" s="12">
        <f t="shared" si="270"/>
        <v>0.97500000000000009</v>
      </c>
      <c r="D1992" s="12">
        <f t="shared" si="271"/>
        <v>0.82500000000000018</v>
      </c>
      <c r="E1992" s="12">
        <f t="shared" si="272"/>
        <v>11.054794894222221</v>
      </c>
      <c r="F1992" s="12">
        <f t="shared" si="273"/>
        <v>11.054794894222221</v>
      </c>
      <c r="G1992" s="12">
        <f t="shared" si="274"/>
        <v>14.480452693333332</v>
      </c>
      <c r="H1992" s="12">
        <f t="shared" si="275"/>
        <v>14.480452693333332</v>
      </c>
      <c r="I1992" s="1" t="str">
        <f t="shared" si="276"/>
        <v>No</v>
      </c>
      <c r="J1992" s="1" t="str">
        <f t="shared" si="277"/>
        <v>Si</v>
      </c>
      <c r="K1992" s="1" t="str">
        <f t="shared" si="278"/>
        <v/>
      </c>
    </row>
    <row r="1993" spans="1:11" x14ac:dyDescent="0.3">
      <c r="A1993" s="1">
        <v>38</v>
      </c>
      <c r="B1993" s="1">
        <v>37</v>
      </c>
      <c r="C1993" s="12">
        <f t="shared" si="270"/>
        <v>0.97500000000000009</v>
      </c>
      <c r="D1993" s="12">
        <f t="shared" si="271"/>
        <v>0.89999999999999991</v>
      </c>
      <c r="E1993" s="12">
        <f t="shared" si="272"/>
        <v>11.052306801777776</v>
      </c>
      <c r="F1993" s="12">
        <f t="shared" si="273"/>
        <v>11.052306801777776</v>
      </c>
      <c r="G1993" s="12">
        <f t="shared" si="274"/>
        <v>14.476948337777776</v>
      </c>
      <c r="H1993" s="12">
        <f t="shared" si="275"/>
        <v>14.476948337777776</v>
      </c>
      <c r="I1993" s="1" t="str">
        <f t="shared" si="276"/>
        <v>No</v>
      </c>
      <c r="J1993" s="1" t="str">
        <f t="shared" si="277"/>
        <v>Si</v>
      </c>
      <c r="K1993" s="1" t="str">
        <f t="shared" si="278"/>
        <v/>
      </c>
    </row>
    <row r="1994" spans="1:11" x14ac:dyDescent="0.3">
      <c r="A1994" s="1">
        <v>38</v>
      </c>
      <c r="B1994" s="1">
        <v>38</v>
      </c>
      <c r="C1994" s="12">
        <f t="shared" si="270"/>
        <v>0.97500000000000009</v>
      </c>
      <c r="D1994" s="12">
        <f t="shared" si="271"/>
        <v>0.97500000000000009</v>
      </c>
      <c r="E1994" s="12">
        <f t="shared" si="272"/>
        <v>11.049818709333332</v>
      </c>
      <c r="F1994" s="12">
        <f t="shared" si="273"/>
        <v>11.049818709333332</v>
      </c>
      <c r="G1994" s="12">
        <f t="shared" si="274"/>
        <v>14.473443982222221</v>
      </c>
      <c r="H1994" s="12">
        <f t="shared" si="275"/>
        <v>14.473443982222221</v>
      </c>
      <c r="I1994" s="1" t="str">
        <f t="shared" si="276"/>
        <v>No</v>
      </c>
      <c r="J1994" s="1" t="str">
        <f t="shared" si="277"/>
        <v>Si</v>
      </c>
      <c r="K1994" s="1" t="str">
        <f t="shared" si="278"/>
        <v/>
      </c>
    </row>
    <row r="1995" spans="1:11" x14ac:dyDescent="0.3">
      <c r="A1995" s="1">
        <v>38</v>
      </c>
      <c r="B1995" s="1">
        <v>39</v>
      </c>
      <c r="C1995" s="12">
        <f t="shared" si="270"/>
        <v>0.97500000000000009</v>
      </c>
      <c r="D1995" s="12">
        <f t="shared" si="271"/>
        <v>1.0499999999999998</v>
      </c>
      <c r="E1995" s="12">
        <f t="shared" si="272"/>
        <v>11.047330616888887</v>
      </c>
      <c r="F1995" s="12">
        <f t="shared" si="273"/>
        <v>11.047330616888887</v>
      </c>
      <c r="G1995" s="12">
        <f t="shared" si="274"/>
        <v>14.469939626666665</v>
      </c>
      <c r="H1995" s="12">
        <f t="shared" si="275"/>
        <v>14.469939626666665</v>
      </c>
      <c r="I1995" s="1" t="str">
        <f t="shared" si="276"/>
        <v>No</v>
      </c>
      <c r="J1995" s="1" t="str">
        <f t="shared" si="277"/>
        <v>Si</v>
      </c>
      <c r="K1995" s="1" t="str">
        <f t="shared" si="278"/>
        <v/>
      </c>
    </row>
    <row r="1996" spans="1:11" x14ac:dyDescent="0.3">
      <c r="A1996" s="1">
        <v>38</v>
      </c>
      <c r="B1996" s="1">
        <v>40</v>
      </c>
      <c r="C1996" s="12">
        <f t="shared" si="270"/>
        <v>0.97500000000000009</v>
      </c>
      <c r="D1996" s="12">
        <f t="shared" si="271"/>
        <v>1.125</v>
      </c>
      <c r="E1996" s="12">
        <f t="shared" si="272"/>
        <v>11.044842524444443</v>
      </c>
      <c r="F1996" s="12">
        <f t="shared" si="273"/>
        <v>11.044842524444443</v>
      </c>
      <c r="G1996" s="12">
        <f t="shared" si="274"/>
        <v>14.466435271111109</v>
      </c>
      <c r="H1996" s="12">
        <f t="shared" si="275"/>
        <v>14.466435271111109</v>
      </c>
      <c r="I1996" s="1" t="str">
        <f t="shared" si="276"/>
        <v>No</v>
      </c>
      <c r="J1996" s="1" t="str">
        <f t="shared" si="277"/>
        <v>Si</v>
      </c>
      <c r="K1996" s="1" t="str">
        <f t="shared" si="278"/>
        <v/>
      </c>
    </row>
    <row r="1997" spans="1:11" x14ac:dyDescent="0.3">
      <c r="A1997" s="1">
        <v>38</v>
      </c>
      <c r="B1997" s="1">
        <v>41</v>
      </c>
      <c r="C1997" s="12">
        <f t="shared" si="270"/>
        <v>0.97500000000000009</v>
      </c>
      <c r="D1997" s="12">
        <f t="shared" si="271"/>
        <v>1.2000000000000002</v>
      </c>
      <c r="E1997" s="12">
        <f t="shared" si="272"/>
        <v>11.042354431999998</v>
      </c>
      <c r="F1997" s="12">
        <f t="shared" si="273"/>
        <v>11.042354431999998</v>
      </c>
      <c r="G1997" s="12">
        <f t="shared" si="274"/>
        <v>14.462930915555555</v>
      </c>
      <c r="H1997" s="12">
        <f t="shared" si="275"/>
        <v>14.462930915555555</v>
      </c>
      <c r="I1997" s="1" t="str">
        <f t="shared" si="276"/>
        <v>No</v>
      </c>
      <c r="J1997" s="1" t="str">
        <f t="shared" si="277"/>
        <v>Si</v>
      </c>
      <c r="K1997" s="1" t="str">
        <f t="shared" si="278"/>
        <v/>
      </c>
    </row>
    <row r="1998" spans="1:11" x14ac:dyDescent="0.3">
      <c r="A1998" s="1">
        <v>38</v>
      </c>
      <c r="B1998" s="1">
        <v>42</v>
      </c>
      <c r="C1998" s="12">
        <f t="shared" si="270"/>
        <v>0.97500000000000009</v>
      </c>
      <c r="D1998" s="12">
        <f t="shared" si="271"/>
        <v>1.2749999999999999</v>
      </c>
      <c r="E1998" s="12">
        <f t="shared" si="272"/>
        <v>11.039866339555553</v>
      </c>
      <c r="F1998" s="12">
        <f t="shared" si="273"/>
        <v>11.039866339555553</v>
      </c>
      <c r="G1998" s="12">
        <f t="shared" si="274"/>
        <v>14.459426559999999</v>
      </c>
      <c r="H1998" s="12">
        <f t="shared" si="275"/>
        <v>14.459426559999999</v>
      </c>
      <c r="I1998" s="1" t="str">
        <f t="shared" si="276"/>
        <v>No</v>
      </c>
      <c r="J1998" s="1" t="str">
        <f t="shared" si="277"/>
        <v>Si</v>
      </c>
      <c r="K1998" s="1" t="str">
        <f t="shared" si="278"/>
        <v/>
      </c>
    </row>
    <row r="1999" spans="1:11" x14ac:dyDescent="0.3">
      <c r="A1999" s="1">
        <v>38</v>
      </c>
      <c r="B1999" s="1">
        <v>43</v>
      </c>
      <c r="C1999" s="12">
        <f t="shared" si="270"/>
        <v>0.97500000000000009</v>
      </c>
      <c r="D1999" s="12">
        <f t="shared" si="271"/>
        <v>1.35</v>
      </c>
      <c r="E1999" s="12">
        <f t="shared" si="272"/>
        <v>11.037378247111109</v>
      </c>
      <c r="F1999" s="12">
        <f t="shared" si="273"/>
        <v>11.037378247111109</v>
      </c>
      <c r="G1999" s="12">
        <f t="shared" si="274"/>
        <v>14.455922204444443</v>
      </c>
      <c r="H1999" s="12">
        <f t="shared" si="275"/>
        <v>14.455922204444443</v>
      </c>
      <c r="I1999" s="1" t="str">
        <f t="shared" si="276"/>
        <v>No</v>
      </c>
      <c r="J1999" s="1" t="str">
        <f t="shared" si="277"/>
        <v>Si</v>
      </c>
      <c r="K1999" s="1" t="str">
        <f t="shared" si="278"/>
        <v/>
      </c>
    </row>
    <row r="2000" spans="1:11" x14ac:dyDescent="0.3">
      <c r="A2000" s="1">
        <v>38</v>
      </c>
      <c r="B2000" s="1">
        <v>44</v>
      </c>
      <c r="C2000" s="12">
        <f t="shared" si="270"/>
        <v>0.97500000000000009</v>
      </c>
      <c r="D2000" s="12">
        <f t="shared" si="271"/>
        <v>1.4249999999999998</v>
      </c>
      <c r="E2000" s="12">
        <f t="shared" si="272"/>
        <v>11.034890154666666</v>
      </c>
      <c r="F2000" s="12">
        <f t="shared" si="273"/>
        <v>11.034890154666666</v>
      </c>
      <c r="G2000" s="12">
        <f t="shared" si="274"/>
        <v>14.452417848888887</v>
      </c>
      <c r="H2000" s="12">
        <f t="shared" si="275"/>
        <v>14.452417848888887</v>
      </c>
      <c r="I2000" s="1" t="str">
        <f t="shared" si="276"/>
        <v>No</v>
      </c>
      <c r="J2000" s="1" t="str">
        <f t="shared" si="277"/>
        <v>Si</v>
      </c>
      <c r="K2000" s="1" t="str">
        <f t="shared" si="278"/>
        <v/>
      </c>
    </row>
    <row r="2001" spans="1:11" x14ac:dyDescent="0.3">
      <c r="A2001" s="1">
        <v>38</v>
      </c>
      <c r="B2001" s="1">
        <v>45</v>
      </c>
      <c r="C2001" s="12">
        <f t="shared" si="270"/>
        <v>0.97500000000000009</v>
      </c>
      <c r="D2001" s="12">
        <f t="shared" si="271"/>
        <v>1.5</v>
      </c>
      <c r="E2001" s="12">
        <f t="shared" si="272"/>
        <v>11.032402062222221</v>
      </c>
      <c r="F2001" s="12">
        <f t="shared" si="273"/>
        <v>11.032402062222221</v>
      </c>
      <c r="G2001" s="12">
        <f t="shared" si="274"/>
        <v>14.448913493333333</v>
      </c>
      <c r="H2001" s="12">
        <f t="shared" si="275"/>
        <v>14.448913493333333</v>
      </c>
      <c r="I2001" s="1" t="str">
        <f t="shared" si="276"/>
        <v>No</v>
      </c>
      <c r="J2001" s="1" t="str">
        <f t="shared" si="277"/>
        <v>Si</v>
      </c>
      <c r="K2001" s="1" t="str">
        <f t="shared" si="278"/>
        <v/>
      </c>
    </row>
    <row r="2002" spans="1:11" x14ac:dyDescent="0.3">
      <c r="A2002" s="1">
        <v>38</v>
      </c>
      <c r="B2002" s="1">
        <v>46</v>
      </c>
      <c r="C2002" s="12">
        <f t="shared" ref="C2002:C2065" si="279">IF(OR(A2002&gt;inp_n_div_x,B2002&gt;inp_n_div_y),"",-inp_bx/2+A2002*inp_bx/inp_n_div_x)</f>
        <v>0.97500000000000009</v>
      </c>
      <c r="D2002" s="12">
        <f t="shared" ref="D2002:D2065" si="280">IF(C2002="","",-inp_by/2+B2002*inp_by/inp_n_div_y)</f>
        <v>1.5750000000000002</v>
      </c>
      <c r="E2002" s="12">
        <f t="shared" ref="E2002:E2065" si="281">IF(C2002="","",res_srv_p_tot/geo_area+res_srv_mx_tot/geo_ix*D2002+res_srv_my_tot/geo_iy*C2002)</f>
        <v>11.029913969777777</v>
      </c>
      <c r="F2002" s="12">
        <f t="shared" ref="F2002:F2065" si="282">IF(E2002="","",MAX(0,E2002))</f>
        <v>11.029913969777777</v>
      </c>
      <c r="G2002" s="12">
        <f t="shared" ref="G2002:G2065" si="283">IF(C2002="","",res_u_p_tot/geo_area+res_u_mx_tot/geo_ix*D2002+res_u_my_tot/geo_iy*C2002)</f>
        <v>14.445409137777776</v>
      </c>
      <c r="H2002" s="12">
        <f t="shared" ref="H2002:H2065" si="284">IF(G2002="","",MAX(0,G2002))</f>
        <v>14.445409137777776</v>
      </c>
      <c r="I2002" s="1" t="str">
        <f t="shared" ref="I2002:I2065" si="285">IF(C2002="","",IF(AND(C2002&gt;=inp_xc-inp_cx/2,C2002&lt;=inp_xc+inp_cx/2,D2002&gt;=inp_yc-inp_cy/2,D2002&lt;=inp_yc+inp_cy/2),"Si","No"))</f>
        <v>No</v>
      </c>
      <c r="J2002" s="1" t="str">
        <f t="shared" ref="J2002:J2065" si="286">IF(C2002="","","Si")</f>
        <v>Si</v>
      </c>
      <c r="K2002" s="1" t="str">
        <f t="shared" ref="K2002:K2065" si="287">IF(OR(E2002&lt;0,G2002&lt;0),"Presion negativa","")</f>
        <v/>
      </c>
    </row>
    <row r="2003" spans="1:11" x14ac:dyDescent="0.3">
      <c r="A2003" s="1">
        <v>38</v>
      </c>
      <c r="B2003" s="1">
        <v>47</v>
      </c>
      <c r="C2003" s="12">
        <f t="shared" si="279"/>
        <v>0.97500000000000009</v>
      </c>
      <c r="D2003" s="12">
        <f t="shared" si="280"/>
        <v>1.65</v>
      </c>
      <c r="E2003" s="12">
        <f t="shared" si="281"/>
        <v>11.027425877333332</v>
      </c>
      <c r="F2003" s="12">
        <f t="shared" si="282"/>
        <v>11.027425877333332</v>
      </c>
      <c r="G2003" s="12">
        <f t="shared" si="283"/>
        <v>14.44190478222222</v>
      </c>
      <c r="H2003" s="12">
        <f t="shared" si="284"/>
        <v>14.44190478222222</v>
      </c>
      <c r="I2003" s="1" t="str">
        <f t="shared" si="285"/>
        <v>No</v>
      </c>
      <c r="J2003" s="1" t="str">
        <f t="shared" si="286"/>
        <v>Si</v>
      </c>
      <c r="K2003" s="1" t="str">
        <f t="shared" si="287"/>
        <v/>
      </c>
    </row>
    <row r="2004" spans="1:11" x14ac:dyDescent="0.3">
      <c r="A2004" s="1">
        <v>38</v>
      </c>
      <c r="B2004" s="1">
        <v>48</v>
      </c>
      <c r="C2004" s="12">
        <f t="shared" si="279"/>
        <v>0.97500000000000009</v>
      </c>
      <c r="D2004" s="12">
        <f t="shared" si="280"/>
        <v>1.7250000000000001</v>
      </c>
      <c r="E2004" s="12">
        <f t="shared" si="281"/>
        <v>11.024937784888888</v>
      </c>
      <c r="F2004" s="12">
        <f t="shared" si="282"/>
        <v>11.024937784888888</v>
      </c>
      <c r="G2004" s="12">
        <f t="shared" si="283"/>
        <v>14.438400426666666</v>
      </c>
      <c r="H2004" s="12">
        <f t="shared" si="284"/>
        <v>14.438400426666666</v>
      </c>
      <c r="I2004" s="1" t="str">
        <f t="shared" si="285"/>
        <v>No</v>
      </c>
      <c r="J2004" s="1" t="str">
        <f t="shared" si="286"/>
        <v>Si</v>
      </c>
      <c r="K2004" s="1" t="str">
        <f t="shared" si="287"/>
        <v/>
      </c>
    </row>
    <row r="2005" spans="1:11" x14ac:dyDescent="0.3">
      <c r="A2005" s="1">
        <v>38</v>
      </c>
      <c r="B2005" s="1">
        <v>49</v>
      </c>
      <c r="C2005" s="12">
        <f t="shared" si="279"/>
        <v>0.97500000000000009</v>
      </c>
      <c r="D2005" s="12">
        <f t="shared" si="280"/>
        <v>1.7999999999999998</v>
      </c>
      <c r="E2005" s="12">
        <f t="shared" si="281"/>
        <v>11.022449692444443</v>
      </c>
      <c r="F2005" s="12">
        <f t="shared" si="282"/>
        <v>11.022449692444443</v>
      </c>
      <c r="G2005" s="12">
        <f t="shared" si="283"/>
        <v>14.43489607111111</v>
      </c>
      <c r="H2005" s="12">
        <f t="shared" si="284"/>
        <v>14.43489607111111</v>
      </c>
      <c r="I2005" s="1" t="str">
        <f t="shared" si="285"/>
        <v>No</v>
      </c>
      <c r="J2005" s="1" t="str">
        <f t="shared" si="286"/>
        <v>Si</v>
      </c>
      <c r="K2005" s="1" t="str">
        <f t="shared" si="287"/>
        <v/>
      </c>
    </row>
    <row r="2006" spans="1:11" x14ac:dyDescent="0.3">
      <c r="A2006" s="1">
        <v>38</v>
      </c>
      <c r="B2006" s="1">
        <v>50</v>
      </c>
      <c r="C2006" s="12">
        <f t="shared" si="279"/>
        <v>0.97500000000000009</v>
      </c>
      <c r="D2006" s="12">
        <f t="shared" si="280"/>
        <v>1.875</v>
      </c>
      <c r="E2006" s="12">
        <f t="shared" si="281"/>
        <v>11.019961599999998</v>
      </c>
      <c r="F2006" s="12">
        <f t="shared" si="282"/>
        <v>11.019961599999998</v>
      </c>
      <c r="G2006" s="12">
        <f t="shared" si="283"/>
        <v>14.431391715555554</v>
      </c>
      <c r="H2006" s="12">
        <f t="shared" si="284"/>
        <v>14.431391715555554</v>
      </c>
      <c r="I2006" s="1" t="str">
        <f t="shared" si="285"/>
        <v>No</v>
      </c>
      <c r="J2006" s="1" t="str">
        <f t="shared" si="286"/>
        <v>Si</v>
      </c>
      <c r="K2006" s="1" t="str">
        <f t="shared" si="287"/>
        <v/>
      </c>
    </row>
    <row r="2007" spans="1:11" x14ac:dyDescent="0.3">
      <c r="A2007" s="1">
        <v>39</v>
      </c>
      <c r="B2007" s="1">
        <v>0</v>
      </c>
      <c r="C2007" s="12">
        <f t="shared" si="279"/>
        <v>1.0499999999999998</v>
      </c>
      <c r="D2007" s="12">
        <f t="shared" si="280"/>
        <v>-1.875</v>
      </c>
      <c r="E2007" s="12">
        <f t="shared" si="281"/>
        <v>11.145060266666665</v>
      </c>
      <c r="F2007" s="12">
        <f t="shared" si="282"/>
        <v>11.145060266666665</v>
      </c>
      <c r="G2007" s="12">
        <f t="shared" si="283"/>
        <v>14.607647146666666</v>
      </c>
      <c r="H2007" s="12">
        <f t="shared" si="284"/>
        <v>14.607647146666666</v>
      </c>
      <c r="I2007" s="1" t="str">
        <f t="shared" si="285"/>
        <v>No</v>
      </c>
      <c r="J2007" s="1" t="str">
        <f t="shared" si="286"/>
        <v>Si</v>
      </c>
      <c r="K2007" s="1" t="str">
        <f t="shared" si="287"/>
        <v/>
      </c>
    </row>
    <row r="2008" spans="1:11" x14ac:dyDescent="0.3">
      <c r="A2008" s="1">
        <v>39</v>
      </c>
      <c r="B2008" s="1">
        <v>1</v>
      </c>
      <c r="C2008" s="12">
        <f t="shared" si="279"/>
        <v>1.0499999999999998</v>
      </c>
      <c r="D2008" s="12">
        <f t="shared" si="280"/>
        <v>-1.8</v>
      </c>
      <c r="E2008" s="12">
        <f t="shared" si="281"/>
        <v>11.14257217422222</v>
      </c>
      <c r="F2008" s="12">
        <f t="shared" si="282"/>
        <v>11.14257217422222</v>
      </c>
      <c r="G2008" s="12">
        <f t="shared" si="283"/>
        <v>14.60414279111111</v>
      </c>
      <c r="H2008" s="12">
        <f t="shared" si="284"/>
        <v>14.60414279111111</v>
      </c>
      <c r="I2008" s="1" t="str">
        <f t="shared" si="285"/>
        <v>No</v>
      </c>
      <c r="J2008" s="1" t="str">
        <f t="shared" si="286"/>
        <v>Si</v>
      </c>
      <c r="K2008" s="1" t="str">
        <f t="shared" si="287"/>
        <v/>
      </c>
    </row>
    <row r="2009" spans="1:11" x14ac:dyDescent="0.3">
      <c r="A2009" s="1">
        <v>39</v>
      </c>
      <c r="B2009" s="1">
        <v>2</v>
      </c>
      <c r="C2009" s="12">
        <f t="shared" si="279"/>
        <v>1.0499999999999998</v>
      </c>
      <c r="D2009" s="12">
        <f t="shared" si="280"/>
        <v>-1.7250000000000001</v>
      </c>
      <c r="E2009" s="12">
        <f t="shared" si="281"/>
        <v>11.140084081777776</v>
      </c>
      <c r="F2009" s="12">
        <f t="shared" si="282"/>
        <v>11.140084081777776</v>
      </c>
      <c r="G2009" s="12">
        <f t="shared" si="283"/>
        <v>14.600638435555554</v>
      </c>
      <c r="H2009" s="12">
        <f t="shared" si="284"/>
        <v>14.600638435555554</v>
      </c>
      <c r="I2009" s="1" t="str">
        <f t="shared" si="285"/>
        <v>No</v>
      </c>
      <c r="J2009" s="1" t="str">
        <f t="shared" si="286"/>
        <v>Si</v>
      </c>
      <c r="K2009" s="1" t="str">
        <f t="shared" si="287"/>
        <v/>
      </c>
    </row>
    <row r="2010" spans="1:11" x14ac:dyDescent="0.3">
      <c r="A2010" s="1">
        <v>39</v>
      </c>
      <c r="B2010" s="1">
        <v>3</v>
      </c>
      <c r="C2010" s="12">
        <f t="shared" si="279"/>
        <v>1.0499999999999998</v>
      </c>
      <c r="D2010" s="12">
        <f t="shared" si="280"/>
        <v>-1.65</v>
      </c>
      <c r="E2010" s="12">
        <f t="shared" si="281"/>
        <v>11.137595989333331</v>
      </c>
      <c r="F2010" s="12">
        <f t="shared" si="282"/>
        <v>11.137595989333331</v>
      </c>
      <c r="G2010" s="12">
        <f t="shared" si="283"/>
        <v>14.59713408</v>
      </c>
      <c r="H2010" s="12">
        <f t="shared" si="284"/>
        <v>14.59713408</v>
      </c>
      <c r="I2010" s="1" t="str">
        <f t="shared" si="285"/>
        <v>No</v>
      </c>
      <c r="J2010" s="1" t="str">
        <f t="shared" si="286"/>
        <v>Si</v>
      </c>
      <c r="K2010" s="1" t="str">
        <f t="shared" si="287"/>
        <v/>
      </c>
    </row>
    <row r="2011" spans="1:11" x14ac:dyDescent="0.3">
      <c r="A2011" s="1">
        <v>39</v>
      </c>
      <c r="B2011" s="1">
        <v>4</v>
      </c>
      <c r="C2011" s="12">
        <f t="shared" si="279"/>
        <v>1.0499999999999998</v>
      </c>
      <c r="D2011" s="12">
        <f t="shared" si="280"/>
        <v>-1.575</v>
      </c>
      <c r="E2011" s="12">
        <f t="shared" si="281"/>
        <v>11.135107896888886</v>
      </c>
      <c r="F2011" s="12">
        <f t="shared" si="282"/>
        <v>11.135107896888886</v>
      </c>
      <c r="G2011" s="12">
        <f t="shared" si="283"/>
        <v>14.593629724444444</v>
      </c>
      <c r="H2011" s="12">
        <f t="shared" si="284"/>
        <v>14.593629724444444</v>
      </c>
      <c r="I2011" s="1" t="str">
        <f t="shared" si="285"/>
        <v>No</v>
      </c>
      <c r="J2011" s="1" t="str">
        <f t="shared" si="286"/>
        <v>Si</v>
      </c>
      <c r="K2011" s="1" t="str">
        <f t="shared" si="287"/>
        <v/>
      </c>
    </row>
    <row r="2012" spans="1:11" x14ac:dyDescent="0.3">
      <c r="A2012" s="1">
        <v>39</v>
      </c>
      <c r="B2012" s="1">
        <v>5</v>
      </c>
      <c r="C2012" s="12">
        <f t="shared" si="279"/>
        <v>1.0499999999999998</v>
      </c>
      <c r="D2012" s="12">
        <f t="shared" si="280"/>
        <v>-1.5</v>
      </c>
      <c r="E2012" s="12">
        <f t="shared" si="281"/>
        <v>11.132619804444442</v>
      </c>
      <c r="F2012" s="12">
        <f t="shared" si="282"/>
        <v>11.132619804444442</v>
      </c>
      <c r="G2012" s="12">
        <f t="shared" si="283"/>
        <v>14.590125368888888</v>
      </c>
      <c r="H2012" s="12">
        <f t="shared" si="284"/>
        <v>14.590125368888888</v>
      </c>
      <c r="I2012" s="1" t="str">
        <f t="shared" si="285"/>
        <v>No</v>
      </c>
      <c r="J2012" s="1" t="str">
        <f t="shared" si="286"/>
        <v>Si</v>
      </c>
      <c r="K2012" s="1" t="str">
        <f t="shared" si="287"/>
        <v/>
      </c>
    </row>
    <row r="2013" spans="1:11" x14ac:dyDescent="0.3">
      <c r="A2013" s="1">
        <v>39</v>
      </c>
      <c r="B2013" s="1">
        <v>6</v>
      </c>
      <c r="C2013" s="12">
        <f t="shared" si="279"/>
        <v>1.0499999999999998</v>
      </c>
      <c r="D2013" s="12">
        <f t="shared" si="280"/>
        <v>-1.425</v>
      </c>
      <c r="E2013" s="12">
        <f t="shared" si="281"/>
        <v>11.130131711999997</v>
      </c>
      <c r="F2013" s="12">
        <f t="shared" si="282"/>
        <v>11.130131711999997</v>
      </c>
      <c r="G2013" s="12">
        <f t="shared" si="283"/>
        <v>14.586621013333334</v>
      </c>
      <c r="H2013" s="12">
        <f t="shared" si="284"/>
        <v>14.586621013333334</v>
      </c>
      <c r="I2013" s="1" t="str">
        <f t="shared" si="285"/>
        <v>No</v>
      </c>
      <c r="J2013" s="1" t="str">
        <f t="shared" si="286"/>
        <v>Si</v>
      </c>
      <c r="K2013" s="1" t="str">
        <f t="shared" si="287"/>
        <v/>
      </c>
    </row>
    <row r="2014" spans="1:11" x14ac:dyDescent="0.3">
      <c r="A2014" s="1">
        <v>39</v>
      </c>
      <c r="B2014" s="1">
        <v>7</v>
      </c>
      <c r="C2014" s="12">
        <f t="shared" si="279"/>
        <v>1.0499999999999998</v>
      </c>
      <c r="D2014" s="12">
        <f t="shared" si="280"/>
        <v>-1.35</v>
      </c>
      <c r="E2014" s="12">
        <f t="shared" si="281"/>
        <v>11.127643619555554</v>
      </c>
      <c r="F2014" s="12">
        <f t="shared" si="282"/>
        <v>11.127643619555554</v>
      </c>
      <c r="G2014" s="12">
        <f t="shared" si="283"/>
        <v>14.583116657777778</v>
      </c>
      <c r="H2014" s="12">
        <f t="shared" si="284"/>
        <v>14.583116657777778</v>
      </c>
      <c r="I2014" s="1" t="str">
        <f t="shared" si="285"/>
        <v>No</v>
      </c>
      <c r="J2014" s="1" t="str">
        <f t="shared" si="286"/>
        <v>Si</v>
      </c>
      <c r="K2014" s="1" t="str">
        <f t="shared" si="287"/>
        <v/>
      </c>
    </row>
    <row r="2015" spans="1:11" x14ac:dyDescent="0.3">
      <c r="A2015" s="1">
        <v>39</v>
      </c>
      <c r="B2015" s="1">
        <v>8</v>
      </c>
      <c r="C2015" s="12">
        <f t="shared" si="279"/>
        <v>1.0499999999999998</v>
      </c>
      <c r="D2015" s="12">
        <f t="shared" si="280"/>
        <v>-1.2749999999999999</v>
      </c>
      <c r="E2015" s="12">
        <f t="shared" si="281"/>
        <v>11.12515552711111</v>
      </c>
      <c r="F2015" s="12">
        <f t="shared" si="282"/>
        <v>11.12515552711111</v>
      </c>
      <c r="G2015" s="12">
        <f t="shared" si="283"/>
        <v>14.579612302222221</v>
      </c>
      <c r="H2015" s="12">
        <f t="shared" si="284"/>
        <v>14.579612302222221</v>
      </c>
      <c r="I2015" s="1" t="str">
        <f t="shared" si="285"/>
        <v>No</v>
      </c>
      <c r="J2015" s="1" t="str">
        <f t="shared" si="286"/>
        <v>Si</v>
      </c>
      <c r="K2015" s="1" t="str">
        <f t="shared" si="287"/>
        <v/>
      </c>
    </row>
    <row r="2016" spans="1:11" x14ac:dyDescent="0.3">
      <c r="A2016" s="1">
        <v>39</v>
      </c>
      <c r="B2016" s="1">
        <v>9</v>
      </c>
      <c r="C2016" s="12">
        <f t="shared" si="279"/>
        <v>1.0499999999999998</v>
      </c>
      <c r="D2016" s="12">
        <f t="shared" si="280"/>
        <v>-1.2</v>
      </c>
      <c r="E2016" s="12">
        <f t="shared" si="281"/>
        <v>11.122667434666665</v>
      </c>
      <c r="F2016" s="12">
        <f t="shared" si="282"/>
        <v>11.122667434666665</v>
      </c>
      <c r="G2016" s="12">
        <f t="shared" si="283"/>
        <v>14.576107946666665</v>
      </c>
      <c r="H2016" s="12">
        <f t="shared" si="284"/>
        <v>14.576107946666665</v>
      </c>
      <c r="I2016" s="1" t="str">
        <f t="shared" si="285"/>
        <v>No</v>
      </c>
      <c r="J2016" s="1" t="str">
        <f t="shared" si="286"/>
        <v>Si</v>
      </c>
      <c r="K2016" s="1" t="str">
        <f t="shared" si="287"/>
        <v/>
      </c>
    </row>
    <row r="2017" spans="1:11" x14ac:dyDescent="0.3">
      <c r="A2017" s="1">
        <v>39</v>
      </c>
      <c r="B2017" s="1">
        <v>10</v>
      </c>
      <c r="C2017" s="12">
        <f t="shared" si="279"/>
        <v>1.0499999999999998</v>
      </c>
      <c r="D2017" s="12">
        <f t="shared" si="280"/>
        <v>-1.125</v>
      </c>
      <c r="E2017" s="12">
        <f t="shared" si="281"/>
        <v>11.120179342222221</v>
      </c>
      <c r="F2017" s="12">
        <f t="shared" si="282"/>
        <v>11.120179342222221</v>
      </c>
      <c r="G2017" s="12">
        <f t="shared" si="283"/>
        <v>14.572603591111111</v>
      </c>
      <c r="H2017" s="12">
        <f t="shared" si="284"/>
        <v>14.572603591111111</v>
      </c>
      <c r="I2017" s="1" t="str">
        <f t="shared" si="285"/>
        <v>No</v>
      </c>
      <c r="J2017" s="1" t="str">
        <f t="shared" si="286"/>
        <v>Si</v>
      </c>
      <c r="K2017" s="1" t="str">
        <f t="shared" si="287"/>
        <v/>
      </c>
    </row>
    <row r="2018" spans="1:11" x14ac:dyDescent="0.3">
      <c r="A2018" s="1">
        <v>39</v>
      </c>
      <c r="B2018" s="1">
        <v>11</v>
      </c>
      <c r="C2018" s="12">
        <f t="shared" si="279"/>
        <v>1.0499999999999998</v>
      </c>
      <c r="D2018" s="12">
        <f t="shared" si="280"/>
        <v>-1.05</v>
      </c>
      <c r="E2018" s="12">
        <f t="shared" si="281"/>
        <v>11.117691249777776</v>
      </c>
      <c r="F2018" s="12">
        <f t="shared" si="282"/>
        <v>11.117691249777776</v>
      </c>
      <c r="G2018" s="12">
        <f t="shared" si="283"/>
        <v>14.569099235555555</v>
      </c>
      <c r="H2018" s="12">
        <f t="shared" si="284"/>
        <v>14.569099235555555</v>
      </c>
      <c r="I2018" s="1" t="str">
        <f t="shared" si="285"/>
        <v>No</v>
      </c>
      <c r="J2018" s="1" t="str">
        <f t="shared" si="286"/>
        <v>Si</v>
      </c>
      <c r="K2018" s="1" t="str">
        <f t="shared" si="287"/>
        <v/>
      </c>
    </row>
    <row r="2019" spans="1:11" x14ac:dyDescent="0.3">
      <c r="A2019" s="1">
        <v>39</v>
      </c>
      <c r="B2019" s="1">
        <v>12</v>
      </c>
      <c r="C2019" s="12">
        <f t="shared" si="279"/>
        <v>1.0499999999999998</v>
      </c>
      <c r="D2019" s="12">
        <f t="shared" si="280"/>
        <v>-0.97499999999999998</v>
      </c>
      <c r="E2019" s="12">
        <f t="shared" si="281"/>
        <v>11.115203157333331</v>
      </c>
      <c r="F2019" s="12">
        <f t="shared" si="282"/>
        <v>11.115203157333331</v>
      </c>
      <c r="G2019" s="12">
        <f t="shared" si="283"/>
        <v>14.565594879999999</v>
      </c>
      <c r="H2019" s="12">
        <f t="shared" si="284"/>
        <v>14.565594879999999</v>
      </c>
      <c r="I2019" s="1" t="str">
        <f t="shared" si="285"/>
        <v>No</v>
      </c>
      <c r="J2019" s="1" t="str">
        <f t="shared" si="286"/>
        <v>Si</v>
      </c>
      <c r="K2019" s="1" t="str">
        <f t="shared" si="287"/>
        <v/>
      </c>
    </row>
    <row r="2020" spans="1:11" x14ac:dyDescent="0.3">
      <c r="A2020" s="1">
        <v>39</v>
      </c>
      <c r="B2020" s="1">
        <v>13</v>
      </c>
      <c r="C2020" s="12">
        <f t="shared" si="279"/>
        <v>1.0499999999999998</v>
      </c>
      <c r="D2020" s="12">
        <f t="shared" si="280"/>
        <v>-0.9</v>
      </c>
      <c r="E2020" s="12">
        <f t="shared" si="281"/>
        <v>11.112715064888887</v>
      </c>
      <c r="F2020" s="12">
        <f t="shared" si="282"/>
        <v>11.112715064888887</v>
      </c>
      <c r="G2020" s="12">
        <f t="shared" si="283"/>
        <v>14.562090524444445</v>
      </c>
      <c r="H2020" s="12">
        <f t="shared" si="284"/>
        <v>14.562090524444445</v>
      </c>
      <c r="I2020" s="1" t="str">
        <f t="shared" si="285"/>
        <v>No</v>
      </c>
      <c r="J2020" s="1" t="str">
        <f t="shared" si="286"/>
        <v>Si</v>
      </c>
      <c r="K2020" s="1" t="str">
        <f t="shared" si="287"/>
        <v/>
      </c>
    </row>
    <row r="2021" spans="1:11" x14ac:dyDescent="0.3">
      <c r="A2021" s="1">
        <v>39</v>
      </c>
      <c r="B2021" s="1">
        <v>14</v>
      </c>
      <c r="C2021" s="12">
        <f t="shared" si="279"/>
        <v>1.0499999999999998</v>
      </c>
      <c r="D2021" s="12">
        <f t="shared" si="280"/>
        <v>-0.82499999999999996</v>
      </c>
      <c r="E2021" s="12">
        <f t="shared" si="281"/>
        <v>11.110226972444442</v>
      </c>
      <c r="F2021" s="12">
        <f t="shared" si="282"/>
        <v>11.110226972444442</v>
      </c>
      <c r="G2021" s="12">
        <f t="shared" si="283"/>
        <v>14.558586168888889</v>
      </c>
      <c r="H2021" s="12">
        <f t="shared" si="284"/>
        <v>14.558586168888889</v>
      </c>
      <c r="I2021" s="1" t="str">
        <f t="shared" si="285"/>
        <v>No</v>
      </c>
      <c r="J2021" s="1" t="str">
        <f t="shared" si="286"/>
        <v>Si</v>
      </c>
      <c r="K2021" s="1" t="str">
        <f t="shared" si="287"/>
        <v/>
      </c>
    </row>
    <row r="2022" spans="1:11" x14ac:dyDescent="0.3">
      <c r="A2022" s="1">
        <v>39</v>
      </c>
      <c r="B2022" s="1">
        <v>15</v>
      </c>
      <c r="C2022" s="12">
        <f t="shared" si="279"/>
        <v>1.0499999999999998</v>
      </c>
      <c r="D2022" s="12">
        <f t="shared" si="280"/>
        <v>-0.75</v>
      </c>
      <c r="E2022" s="12">
        <f t="shared" si="281"/>
        <v>11.107738879999998</v>
      </c>
      <c r="F2022" s="12">
        <f t="shared" si="282"/>
        <v>11.107738879999998</v>
      </c>
      <c r="G2022" s="12">
        <f t="shared" si="283"/>
        <v>14.555081813333333</v>
      </c>
      <c r="H2022" s="12">
        <f t="shared" si="284"/>
        <v>14.555081813333333</v>
      </c>
      <c r="I2022" s="1" t="str">
        <f t="shared" si="285"/>
        <v>No</v>
      </c>
      <c r="J2022" s="1" t="str">
        <f t="shared" si="286"/>
        <v>Si</v>
      </c>
      <c r="K2022" s="1" t="str">
        <f t="shared" si="287"/>
        <v/>
      </c>
    </row>
    <row r="2023" spans="1:11" x14ac:dyDescent="0.3">
      <c r="A2023" s="1">
        <v>39</v>
      </c>
      <c r="B2023" s="1">
        <v>16</v>
      </c>
      <c r="C2023" s="12">
        <f t="shared" si="279"/>
        <v>1.0499999999999998</v>
      </c>
      <c r="D2023" s="12">
        <f t="shared" si="280"/>
        <v>-0.67500000000000004</v>
      </c>
      <c r="E2023" s="12">
        <f t="shared" si="281"/>
        <v>11.105250787555553</v>
      </c>
      <c r="F2023" s="12">
        <f t="shared" si="282"/>
        <v>11.105250787555553</v>
      </c>
      <c r="G2023" s="12">
        <f t="shared" si="283"/>
        <v>14.551577457777777</v>
      </c>
      <c r="H2023" s="12">
        <f t="shared" si="284"/>
        <v>14.551577457777777</v>
      </c>
      <c r="I2023" s="1" t="str">
        <f t="shared" si="285"/>
        <v>No</v>
      </c>
      <c r="J2023" s="1" t="str">
        <f t="shared" si="286"/>
        <v>Si</v>
      </c>
      <c r="K2023" s="1" t="str">
        <f t="shared" si="287"/>
        <v/>
      </c>
    </row>
    <row r="2024" spans="1:11" x14ac:dyDescent="0.3">
      <c r="A2024" s="1">
        <v>39</v>
      </c>
      <c r="B2024" s="1">
        <v>17</v>
      </c>
      <c r="C2024" s="12">
        <f t="shared" si="279"/>
        <v>1.0499999999999998</v>
      </c>
      <c r="D2024" s="12">
        <f t="shared" si="280"/>
        <v>-0.60000000000000009</v>
      </c>
      <c r="E2024" s="12">
        <f t="shared" si="281"/>
        <v>11.102762695111108</v>
      </c>
      <c r="F2024" s="12">
        <f t="shared" si="282"/>
        <v>11.102762695111108</v>
      </c>
      <c r="G2024" s="12">
        <f t="shared" si="283"/>
        <v>14.548073102222222</v>
      </c>
      <c r="H2024" s="12">
        <f t="shared" si="284"/>
        <v>14.548073102222222</v>
      </c>
      <c r="I2024" s="1" t="str">
        <f t="shared" si="285"/>
        <v>No</v>
      </c>
      <c r="J2024" s="1" t="str">
        <f t="shared" si="286"/>
        <v>Si</v>
      </c>
      <c r="K2024" s="1" t="str">
        <f t="shared" si="287"/>
        <v/>
      </c>
    </row>
    <row r="2025" spans="1:11" x14ac:dyDescent="0.3">
      <c r="A2025" s="1">
        <v>39</v>
      </c>
      <c r="B2025" s="1">
        <v>18</v>
      </c>
      <c r="C2025" s="12">
        <f t="shared" si="279"/>
        <v>1.0499999999999998</v>
      </c>
      <c r="D2025" s="12">
        <f t="shared" si="280"/>
        <v>-0.52499999999999991</v>
      </c>
      <c r="E2025" s="12">
        <f t="shared" si="281"/>
        <v>11.100274602666664</v>
      </c>
      <c r="F2025" s="12">
        <f t="shared" si="282"/>
        <v>11.100274602666664</v>
      </c>
      <c r="G2025" s="12">
        <f t="shared" si="283"/>
        <v>14.544568746666666</v>
      </c>
      <c r="H2025" s="12">
        <f t="shared" si="284"/>
        <v>14.544568746666666</v>
      </c>
      <c r="I2025" s="1" t="str">
        <f t="shared" si="285"/>
        <v>No</v>
      </c>
      <c r="J2025" s="1" t="str">
        <f t="shared" si="286"/>
        <v>Si</v>
      </c>
      <c r="K2025" s="1" t="str">
        <f t="shared" si="287"/>
        <v/>
      </c>
    </row>
    <row r="2026" spans="1:11" x14ac:dyDescent="0.3">
      <c r="A2026" s="1">
        <v>39</v>
      </c>
      <c r="B2026" s="1">
        <v>19</v>
      </c>
      <c r="C2026" s="12">
        <f t="shared" si="279"/>
        <v>1.0499999999999998</v>
      </c>
      <c r="D2026" s="12">
        <f t="shared" si="280"/>
        <v>-0.44999999999999996</v>
      </c>
      <c r="E2026" s="12">
        <f t="shared" si="281"/>
        <v>11.097786510222221</v>
      </c>
      <c r="F2026" s="12">
        <f t="shared" si="282"/>
        <v>11.097786510222221</v>
      </c>
      <c r="G2026" s="12">
        <f t="shared" si="283"/>
        <v>14.54106439111111</v>
      </c>
      <c r="H2026" s="12">
        <f t="shared" si="284"/>
        <v>14.54106439111111</v>
      </c>
      <c r="I2026" s="1" t="str">
        <f t="shared" si="285"/>
        <v>No</v>
      </c>
      <c r="J2026" s="1" t="str">
        <f t="shared" si="286"/>
        <v>Si</v>
      </c>
      <c r="K2026" s="1" t="str">
        <f t="shared" si="287"/>
        <v/>
      </c>
    </row>
    <row r="2027" spans="1:11" x14ac:dyDescent="0.3">
      <c r="A2027" s="1">
        <v>39</v>
      </c>
      <c r="B2027" s="1">
        <v>20</v>
      </c>
      <c r="C2027" s="12">
        <f t="shared" si="279"/>
        <v>1.0499999999999998</v>
      </c>
      <c r="D2027" s="12">
        <f t="shared" si="280"/>
        <v>-0.375</v>
      </c>
      <c r="E2027" s="12">
        <f t="shared" si="281"/>
        <v>11.095298417777776</v>
      </c>
      <c r="F2027" s="12">
        <f t="shared" si="282"/>
        <v>11.095298417777776</v>
      </c>
      <c r="G2027" s="12">
        <f t="shared" si="283"/>
        <v>14.537560035555556</v>
      </c>
      <c r="H2027" s="12">
        <f t="shared" si="284"/>
        <v>14.537560035555556</v>
      </c>
      <c r="I2027" s="1" t="str">
        <f t="shared" si="285"/>
        <v>No</v>
      </c>
      <c r="J2027" s="1" t="str">
        <f t="shared" si="286"/>
        <v>Si</v>
      </c>
      <c r="K2027" s="1" t="str">
        <f t="shared" si="287"/>
        <v/>
      </c>
    </row>
    <row r="2028" spans="1:11" x14ac:dyDescent="0.3">
      <c r="A2028" s="1">
        <v>39</v>
      </c>
      <c r="B2028" s="1">
        <v>21</v>
      </c>
      <c r="C2028" s="12">
        <f t="shared" si="279"/>
        <v>1.0499999999999998</v>
      </c>
      <c r="D2028" s="12">
        <f t="shared" si="280"/>
        <v>-0.30000000000000004</v>
      </c>
      <c r="E2028" s="12">
        <f t="shared" si="281"/>
        <v>11.092810325333332</v>
      </c>
      <c r="F2028" s="12">
        <f t="shared" si="282"/>
        <v>11.092810325333332</v>
      </c>
      <c r="G2028" s="12">
        <f t="shared" si="283"/>
        <v>14.53405568</v>
      </c>
      <c r="H2028" s="12">
        <f t="shared" si="284"/>
        <v>14.53405568</v>
      </c>
      <c r="I2028" s="1" t="str">
        <f t="shared" si="285"/>
        <v>No</v>
      </c>
      <c r="J2028" s="1" t="str">
        <f t="shared" si="286"/>
        <v>Si</v>
      </c>
      <c r="K2028" s="1" t="str">
        <f t="shared" si="287"/>
        <v/>
      </c>
    </row>
    <row r="2029" spans="1:11" x14ac:dyDescent="0.3">
      <c r="A2029" s="1">
        <v>39</v>
      </c>
      <c r="B2029" s="1">
        <v>22</v>
      </c>
      <c r="C2029" s="12">
        <f t="shared" si="279"/>
        <v>1.0499999999999998</v>
      </c>
      <c r="D2029" s="12">
        <f t="shared" si="280"/>
        <v>-0.22500000000000009</v>
      </c>
      <c r="E2029" s="12">
        <f t="shared" si="281"/>
        <v>11.090322232888887</v>
      </c>
      <c r="F2029" s="12">
        <f t="shared" si="282"/>
        <v>11.090322232888887</v>
      </c>
      <c r="G2029" s="12">
        <f t="shared" si="283"/>
        <v>14.530551324444444</v>
      </c>
      <c r="H2029" s="12">
        <f t="shared" si="284"/>
        <v>14.530551324444444</v>
      </c>
      <c r="I2029" s="1" t="str">
        <f t="shared" si="285"/>
        <v>No</v>
      </c>
      <c r="J2029" s="1" t="str">
        <f t="shared" si="286"/>
        <v>Si</v>
      </c>
      <c r="K2029" s="1" t="str">
        <f t="shared" si="287"/>
        <v/>
      </c>
    </row>
    <row r="2030" spans="1:11" x14ac:dyDescent="0.3">
      <c r="A2030" s="1">
        <v>39</v>
      </c>
      <c r="B2030" s="1">
        <v>23</v>
      </c>
      <c r="C2030" s="12">
        <f t="shared" si="279"/>
        <v>1.0499999999999998</v>
      </c>
      <c r="D2030" s="12">
        <f t="shared" si="280"/>
        <v>-0.14999999999999991</v>
      </c>
      <c r="E2030" s="12">
        <f t="shared" si="281"/>
        <v>11.087834140444443</v>
      </c>
      <c r="F2030" s="12">
        <f t="shared" si="282"/>
        <v>11.087834140444443</v>
      </c>
      <c r="G2030" s="12">
        <f t="shared" si="283"/>
        <v>14.527046968888888</v>
      </c>
      <c r="H2030" s="12">
        <f t="shared" si="284"/>
        <v>14.527046968888888</v>
      </c>
      <c r="I2030" s="1" t="str">
        <f t="shared" si="285"/>
        <v>No</v>
      </c>
      <c r="J2030" s="1" t="str">
        <f t="shared" si="286"/>
        <v>Si</v>
      </c>
      <c r="K2030" s="1" t="str">
        <f t="shared" si="287"/>
        <v/>
      </c>
    </row>
    <row r="2031" spans="1:11" x14ac:dyDescent="0.3">
      <c r="A2031" s="1">
        <v>39</v>
      </c>
      <c r="B2031" s="1">
        <v>24</v>
      </c>
      <c r="C2031" s="12">
        <f t="shared" si="279"/>
        <v>1.0499999999999998</v>
      </c>
      <c r="D2031" s="12">
        <f t="shared" si="280"/>
        <v>-7.4999999999999956E-2</v>
      </c>
      <c r="E2031" s="12">
        <f t="shared" si="281"/>
        <v>11.085346047999998</v>
      </c>
      <c r="F2031" s="12">
        <f t="shared" si="282"/>
        <v>11.085346047999998</v>
      </c>
      <c r="G2031" s="12">
        <f t="shared" si="283"/>
        <v>14.523542613333333</v>
      </c>
      <c r="H2031" s="12">
        <f t="shared" si="284"/>
        <v>14.523542613333333</v>
      </c>
      <c r="I2031" s="1" t="str">
        <f t="shared" si="285"/>
        <v>No</v>
      </c>
      <c r="J2031" s="1" t="str">
        <f t="shared" si="286"/>
        <v>Si</v>
      </c>
      <c r="K2031" s="1" t="str">
        <f t="shared" si="287"/>
        <v/>
      </c>
    </row>
    <row r="2032" spans="1:11" x14ac:dyDescent="0.3">
      <c r="A2032" s="1">
        <v>39</v>
      </c>
      <c r="B2032" s="1">
        <v>25</v>
      </c>
      <c r="C2032" s="12">
        <f t="shared" si="279"/>
        <v>1.0499999999999998</v>
      </c>
      <c r="D2032" s="12">
        <f t="shared" si="280"/>
        <v>0</v>
      </c>
      <c r="E2032" s="12">
        <f t="shared" si="281"/>
        <v>11.082857955555554</v>
      </c>
      <c r="F2032" s="12">
        <f t="shared" si="282"/>
        <v>11.082857955555554</v>
      </c>
      <c r="G2032" s="12">
        <f t="shared" si="283"/>
        <v>14.520038257777777</v>
      </c>
      <c r="H2032" s="12">
        <f t="shared" si="284"/>
        <v>14.520038257777777</v>
      </c>
      <c r="I2032" s="1" t="str">
        <f t="shared" si="285"/>
        <v>No</v>
      </c>
      <c r="J2032" s="1" t="str">
        <f t="shared" si="286"/>
        <v>Si</v>
      </c>
      <c r="K2032" s="1" t="str">
        <f t="shared" si="287"/>
        <v/>
      </c>
    </row>
    <row r="2033" spans="1:11" x14ac:dyDescent="0.3">
      <c r="A2033" s="1">
        <v>39</v>
      </c>
      <c r="B2033" s="1">
        <v>26</v>
      </c>
      <c r="C2033" s="12">
        <f t="shared" si="279"/>
        <v>1.0499999999999998</v>
      </c>
      <c r="D2033" s="12">
        <f t="shared" si="280"/>
        <v>7.4999999999999956E-2</v>
      </c>
      <c r="E2033" s="12">
        <f t="shared" si="281"/>
        <v>11.080369863111109</v>
      </c>
      <c r="F2033" s="12">
        <f t="shared" si="282"/>
        <v>11.080369863111109</v>
      </c>
      <c r="G2033" s="12">
        <f t="shared" si="283"/>
        <v>14.516533902222221</v>
      </c>
      <c r="H2033" s="12">
        <f t="shared" si="284"/>
        <v>14.516533902222221</v>
      </c>
      <c r="I2033" s="1" t="str">
        <f t="shared" si="285"/>
        <v>No</v>
      </c>
      <c r="J2033" s="1" t="str">
        <f t="shared" si="286"/>
        <v>Si</v>
      </c>
      <c r="K2033" s="1" t="str">
        <f t="shared" si="287"/>
        <v/>
      </c>
    </row>
    <row r="2034" spans="1:11" x14ac:dyDescent="0.3">
      <c r="A2034" s="1">
        <v>39</v>
      </c>
      <c r="B2034" s="1">
        <v>27</v>
      </c>
      <c r="C2034" s="12">
        <f t="shared" si="279"/>
        <v>1.0499999999999998</v>
      </c>
      <c r="D2034" s="12">
        <f t="shared" si="280"/>
        <v>0.14999999999999991</v>
      </c>
      <c r="E2034" s="12">
        <f t="shared" si="281"/>
        <v>11.077881770666664</v>
      </c>
      <c r="F2034" s="12">
        <f t="shared" si="282"/>
        <v>11.077881770666664</v>
      </c>
      <c r="G2034" s="12">
        <f t="shared" si="283"/>
        <v>14.513029546666667</v>
      </c>
      <c r="H2034" s="12">
        <f t="shared" si="284"/>
        <v>14.513029546666667</v>
      </c>
      <c r="I2034" s="1" t="str">
        <f t="shared" si="285"/>
        <v>No</v>
      </c>
      <c r="J2034" s="1" t="str">
        <f t="shared" si="286"/>
        <v>Si</v>
      </c>
      <c r="K2034" s="1" t="str">
        <f t="shared" si="287"/>
        <v/>
      </c>
    </row>
    <row r="2035" spans="1:11" x14ac:dyDescent="0.3">
      <c r="A2035" s="1">
        <v>39</v>
      </c>
      <c r="B2035" s="1">
        <v>28</v>
      </c>
      <c r="C2035" s="12">
        <f t="shared" si="279"/>
        <v>1.0499999999999998</v>
      </c>
      <c r="D2035" s="12">
        <f t="shared" si="280"/>
        <v>0.22500000000000009</v>
      </c>
      <c r="E2035" s="12">
        <f t="shared" si="281"/>
        <v>11.07539367822222</v>
      </c>
      <c r="F2035" s="12">
        <f t="shared" si="282"/>
        <v>11.07539367822222</v>
      </c>
      <c r="G2035" s="12">
        <f t="shared" si="283"/>
        <v>14.509525191111111</v>
      </c>
      <c r="H2035" s="12">
        <f t="shared" si="284"/>
        <v>14.509525191111111</v>
      </c>
      <c r="I2035" s="1" t="str">
        <f t="shared" si="285"/>
        <v>No</v>
      </c>
      <c r="J2035" s="1" t="str">
        <f t="shared" si="286"/>
        <v>Si</v>
      </c>
      <c r="K2035" s="1" t="str">
        <f t="shared" si="287"/>
        <v/>
      </c>
    </row>
    <row r="2036" spans="1:11" x14ac:dyDescent="0.3">
      <c r="A2036" s="1">
        <v>39</v>
      </c>
      <c r="B2036" s="1">
        <v>29</v>
      </c>
      <c r="C2036" s="12">
        <f t="shared" si="279"/>
        <v>1.0499999999999998</v>
      </c>
      <c r="D2036" s="12">
        <f t="shared" si="280"/>
        <v>0.29999999999999982</v>
      </c>
      <c r="E2036" s="12">
        <f t="shared" si="281"/>
        <v>11.072905585777775</v>
      </c>
      <c r="F2036" s="12">
        <f t="shared" si="282"/>
        <v>11.072905585777775</v>
      </c>
      <c r="G2036" s="12">
        <f t="shared" si="283"/>
        <v>14.506020835555555</v>
      </c>
      <c r="H2036" s="12">
        <f t="shared" si="284"/>
        <v>14.506020835555555</v>
      </c>
      <c r="I2036" s="1" t="str">
        <f t="shared" si="285"/>
        <v>No</v>
      </c>
      <c r="J2036" s="1" t="str">
        <f t="shared" si="286"/>
        <v>Si</v>
      </c>
      <c r="K2036" s="1" t="str">
        <f t="shared" si="287"/>
        <v/>
      </c>
    </row>
    <row r="2037" spans="1:11" x14ac:dyDescent="0.3">
      <c r="A2037" s="1">
        <v>39</v>
      </c>
      <c r="B2037" s="1">
        <v>30</v>
      </c>
      <c r="C2037" s="12">
        <f t="shared" si="279"/>
        <v>1.0499999999999998</v>
      </c>
      <c r="D2037" s="12">
        <f t="shared" si="280"/>
        <v>0.375</v>
      </c>
      <c r="E2037" s="12">
        <f t="shared" si="281"/>
        <v>11.070417493333331</v>
      </c>
      <c r="F2037" s="12">
        <f t="shared" si="282"/>
        <v>11.070417493333331</v>
      </c>
      <c r="G2037" s="12">
        <f t="shared" si="283"/>
        <v>14.502516479999999</v>
      </c>
      <c r="H2037" s="12">
        <f t="shared" si="284"/>
        <v>14.502516479999999</v>
      </c>
      <c r="I2037" s="1" t="str">
        <f t="shared" si="285"/>
        <v>No</v>
      </c>
      <c r="J2037" s="1" t="str">
        <f t="shared" si="286"/>
        <v>Si</v>
      </c>
      <c r="K2037" s="1" t="str">
        <f t="shared" si="287"/>
        <v/>
      </c>
    </row>
    <row r="2038" spans="1:11" x14ac:dyDescent="0.3">
      <c r="A2038" s="1">
        <v>39</v>
      </c>
      <c r="B2038" s="1">
        <v>31</v>
      </c>
      <c r="C2038" s="12">
        <f t="shared" si="279"/>
        <v>1.0499999999999998</v>
      </c>
      <c r="D2038" s="12">
        <f t="shared" si="280"/>
        <v>0.45000000000000018</v>
      </c>
      <c r="E2038" s="12">
        <f t="shared" si="281"/>
        <v>11.067929400888886</v>
      </c>
      <c r="F2038" s="12">
        <f t="shared" si="282"/>
        <v>11.067929400888886</v>
      </c>
      <c r="G2038" s="12">
        <f t="shared" si="283"/>
        <v>14.499012124444445</v>
      </c>
      <c r="H2038" s="12">
        <f t="shared" si="284"/>
        <v>14.499012124444445</v>
      </c>
      <c r="I2038" s="1" t="str">
        <f t="shared" si="285"/>
        <v>No</v>
      </c>
      <c r="J2038" s="1" t="str">
        <f t="shared" si="286"/>
        <v>Si</v>
      </c>
      <c r="K2038" s="1" t="str">
        <f t="shared" si="287"/>
        <v/>
      </c>
    </row>
    <row r="2039" spans="1:11" x14ac:dyDescent="0.3">
      <c r="A2039" s="1">
        <v>39</v>
      </c>
      <c r="B2039" s="1">
        <v>32</v>
      </c>
      <c r="C2039" s="12">
        <f t="shared" si="279"/>
        <v>1.0499999999999998</v>
      </c>
      <c r="D2039" s="12">
        <f t="shared" si="280"/>
        <v>0.52499999999999991</v>
      </c>
      <c r="E2039" s="12">
        <f t="shared" si="281"/>
        <v>11.065441308444443</v>
      </c>
      <c r="F2039" s="12">
        <f t="shared" si="282"/>
        <v>11.065441308444443</v>
      </c>
      <c r="G2039" s="12">
        <f t="shared" si="283"/>
        <v>14.495507768888888</v>
      </c>
      <c r="H2039" s="12">
        <f t="shared" si="284"/>
        <v>14.495507768888888</v>
      </c>
      <c r="I2039" s="1" t="str">
        <f t="shared" si="285"/>
        <v>No</v>
      </c>
      <c r="J2039" s="1" t="str">
        <f t="shared" si="286"/>
        <v>Si</v>
      </c>
      <c r="K2039" s="1" t="str">
        <f t="shared" si="287"/>
        <v/>
      </c>
    </row>
    <row r="2040" spans="1:11" x14ac:dyDescent="0.3">
      <c r="A2040" s="1">
        <v>39</v>
      </c>
      <c r="B2040" s="1">
        <v>33</v>
      </c>
      <c r="C2040" s="12">
        <f t="shared" si="279"/>
        <v>1.0499999999999998</v>
      </c>
      <c r="D2040" s="12">
        <f t="shared" si="280"/>
        <v>0.60000000000000009</v>
      </c>
      <c r="E2040" s="12">
        <f t="shared" si="281"/>
        <v>11.062953215999999</v>
      </c>
      <c r="F2040" s="12">
        <f t="shared" si="282"/>
        <v>11.062953215999999</v>
      </c>
      <c r="G2040" s="12">
        <f t="shared" si="283"/>
        <v>14.492003413333332</v>
      </c>
      <c r="H2040" s="12">
        <f t="shared" si="284"/>
        <v>14.492003413333332</v>
      </c>
      <c r="I2040" s="1" t="str">
        <f t="shared" si="285"/>
        <v>No</v>
      </c>
      <c r="J2040" s="1" t="str">
        <f t="shared" si="286"/>
        <v>Si</v>
      </c>
      <c r="K2040" s="1" t="str">
        <f t="shared" si="287"/>
        <v/>
      </c>
    </row>
    <row r="2041" spans="1:11" x14ac:dyDescent="0.3">
      <c r="A2041" s="1">
        <v>39</v>
      </c>
      <c r="B2041" s="1">
        <v>34</v>
      </c>
      <c r="C2041" s="12">
        <f t="shared" si="279"/>
        <v>1.0499999999999998</v>
      </c>
      <c r="D2041" s="12">
        <f t="shared" si="280"/>
        <v>0.67499999999999982</v>
      </c>
      <c r="E2041" s="12">
        <f t="shared" si="281"/>
        <v>11.060465123555554</v>
      </c>
      <c r="F2041" s="12">
        <f t="shared" si="282"/>
        <v>11.060465123555554</v>
      </c>
      <c r="G2041" s="12">
        <f t="shared" si="283"/>
        <v>14.488499057777778</v>
      </c>
      <c r="H2041" s="12">
        <f t="shared" si="284"/>
        <v>14.488499057777778</v>
      </c>
      <c r="I2041" s="1" t="str">
        <f t="shared" si="285"/>
        <v>No</v>
      </c>
      <c r="J2041" s="1" t="str">
        <f t="shared" si="286"/>
        <v>Si</v>
      </c>
      <c r="K2041" s="1" t="str">
        <f t="shared" si="287"/>
        <v/>
      </c>
    </row>
    <row r="2042" spans="1:11" x14ac:dyDescent="0.3">
      <c r="A2042" s="1">
        <v>39</v>
      </c>
      <c r="B2042" s="1">
        <v>35</v>
      </c>
      <c r="C2042" s="12">
        <f t="shared" si="279"/>
        <v>1.0499999999999998</v>
      </c>
      <c r="D2042" s="12">
        <f t="shared" si="280"/>
        <v>0.75</v>
      </c>
      <c r="E2042" s="12">
        <f t="shared" si="281"/>
        <v>11.057977031111109</v>
      </c>
      <c r="F2042" s="12">
        <f t="shared" si="282"/>
        <v>11.057977031111109</v>
      </c>
      <c r="G2042" s="12">
        <f t="shared" si="283"/>
        <v>14.484994702222222</v>
      </c>
      <c r="H2042" s="12">
        <f t="shared" si="284"/>
        <v>14.484994702222222</v>
      </c>
      <c r="I2042" s="1" t="str">
        <f t="shared" si="285"/>
        <v>No</v>
      </c>
      <c r="J2042" s="1" t="str">
        <f t="shared" si="286"/>
        <v>Si</v>
      </c>
      <c r="K2042" s="1" t="str">
        <f t="shared" si="287"/>
        <v/>
      </c>
    </row>
    <row r="2043" spans="1:11" x14ac:dyDescent="0.3">
      <c r="A2043" s="1">
        <v>39</v>
      </c>
      <c r="B2043" s="1">
        <v>36</v>
      </c>
      <c r="C2043" s="12">
        <f t="shared" si="279"/>
        <v>1.0499999999999998</v>
      </c>
      <c r="D2043" s="12">
        <f t="shared" si="280"/>
        <v>0.82500000000000018</v>
      </c>
      <c r="E2043" s="12">
        <f t="shared" si="281"/>
        <v>11.055488938666665</v>
      </c>
      <c r="F2043" s="12">
        <f t="shared" si="282"/>
        <v>11.055488938666665</v>
      </c>
      <c r="G2043" s="12">
        <f t="shared" si="283"/>
        <v>14.481490346666666</v>
      </c>
      <c r="H2043" s="12">
        <f t="shared" si="284"/>
        <v>14.481490346666666</v>
      </c>
      <c r="I2043" s="1" t="str">
        <f t="shared" si="285"/>
        <v>No</v>
      </c>
      <c r="J2043" s="1" t="str">
        <f t="shared" si="286"/>
        <v>Si</v>
      </c>
      <c r="K2043" s="1" t="str">
        <f t="shared" si="287"/>
        <v/>
      </c>
    </row>
    <row r="2044" spans="1:11" x14ac:dyDescent="0.3">
      <c r="A2044" s="1">
        <v>39</v>
      </c>
      <c r="B2044" s="1">
        <v>37</v>
      </c>
      <c r="C2044" s="12">
        <f t="shared" si="279"/>
        <v>1.0499999999999998</v>
      </c>
      <c r="D2044" s="12">
        <f t="shared" si="280"/>
        <v>0.89999999999999991</v>
      </c>
      <c r="E2044" s="12">
        <f t="shared" si="281"/>
        <v>11.05300084622222</v>
      </c>
      <c r="F2044" s="12">
        <f t="shared" si="282"/>
        <v>11.05300084622222</v>
      </c>
      <c r="G2044" s="12">
        <f t="shared" si="283"/>
        <v>14.47798599111111</v>
      </c>
      <c r="H2044" s="12">
        <f t="shared" si="284"/>
        <v>14.47798599111111</v>
      </c>
      <c r="I2044" s="1" t="str">
        <f t="shared" si="285"/>
        <v>No</v>
      </c>
      <c r="J2044" s="1" t="str">
        <f t="shared" si="286"/>
        <v>Si</v>
      </c>
      <c r="K2044" s="1" t="str">
        <f t="shared" si="287"/>
        <v/>
      </c>
    </row>
    <row r="2045" spans="1:11" x14ac:dyDescent="0.3">
      <c r="A2045" s="1">
        <v>39</v>
      </c>
      <c r="B2045" s="1">
        <v>38</v>
      </c>
      <c r="C2045" s="12">
        <f t="shared" si="279"/>
        <v>1.0499999999999998</v>
      </c>
      <c r="D2045" s="12">
        <f t="shared" si="280"/>
        <v>0.97500000000000009</v>
      </c>
      <c r="E2045" s="12">
        <f t="shared" si="281"/>
        <v>11.050512753777776</v>
      </c>
      <c r="F2045" s="12">
        <f t="shared" si="282"/>
        <v>11.050512753777776</v>
      </c>
      <c r="G2045" s="12">
        <f t="shared" si="283"/>
        <v>14.474481635555556</v>
      </c>
      <c r="H2045" s="12">
        <f t="shared" si="284"/>
        <v>14.474481635555556</v>
      </c>
      <c r="I2045" s="1" t="str">
        <f t="shared" si="285"/>
        <v>No</v>
      </c>
      <c r="J2045" s="1" t="str">
        <f t="shared" si="286"/>
        <v>Si</v>
      </c>
      <c r="K2045" s="1" t="str">
        <f t="shared" si="287"/>
        <v/>
      </c>
    </row>
    <row r="2046" spans="1:11" x14ac:dyDescent="0.3">
      <c r="A2046" s="1">
        <v>39</v>
      </c>
      <c r="B2046" s="1">
        <v>39</v>
      </c>
      <c r="C2046" s="12">
        <f t="shared" si="279"/>
        <v>1.0499999999999998</v>
      </c>
      <c r="D2046" s="12">
        <f t="shared" si="280"/>
        <v>1.0499999999999998</v>
      </c>
      <c r="E2046" s="12">
        <f t="shared" si="281"/>
        <v>11.048024661333331</v>
      </c>
      <c r="F2046" s="12">
        <f t="shared" si="282"/>
        <v>11.048024661333331</v>
      </c>
      <c r="G2046" s="12">
        <f t="shared" si="283"/>
        <v>14.47097728</v>
      </c>
      <c r="H2046" s="12">
        <f t="shared" si="284"/>
        <v>14.47097728</v>
      </c>
      <c r="I2046" s="1" t="str">
        <f t="shared" si="285"/>
        <v>No</v>
      </c>
      <c r="J2046" s="1" t="str">
        <f t="shared" si="286"/>
        <v>Si</v>
      </c>
      <c r="K2046" s="1" t="str">
        <f t="shared" si="287"/>
        <v/>
      </c>
    </row>
    <row r="2047" spans="1:11" x14ac:dyDescent="0.3">
      <c r="A2047" s="1">
        <v>39</v>
      </c>
      <c r="B2047" s="1">
        <v>40</v>
      </c>
      <c r="C2047" s="12">
        <f t="shared" si="279"/>
        <v>1.0499999999999998</v>
      </c>
      <c r="D2047" s="12">
        <f t="shared" si="280"/>
        <v>1.125</v>
      </c>
      <c r="E2047" s="12">
        <f t="shared" si="281"/>
        <v>11.045536568888886</v>
      </c>
      <c r="F2047" s="12">
        <f t="shared" si="282"/>
        <v>11.045536568888886</v>
      </c>
      <c r="G2047" s="12">
        <f t="shared" si="283"/>
        <v>14.467472924444444</v>
      </c>
      <c r="H2047" s="12">
        <f t="shared" si="284"/>
        <v>14.467472924444444</v>
      </c>
      <c r="I2047" s="1" t="str">
        <f t="shared" si="285"/>
        <v>No</v>
      </c>
      <c r="J2047" s="1" t="str">
        <f t="shared" si="286"/>
        <v>Si</v>
      </c>
      <c r="K2047" s="1" t="str">
        <f t="shared" si="287"/>
        <v/>
      </c>
    </row>
    <row r="2048" spans="1:11" x14ac:dyDescent="0.3">
      <c r="A2048" s="1">
        <v>39</v>
      </c>
      <c r="B2048" s="1">
        <v>41</v>
      </c>
      <c r="C2048" s="12">
        <f t="shared" si="279"/>
        <v>1.0499999999999998</v>
      </c>
      <c r="D2048" s="12">
        <f t="shared" si="280"/>
        <v>1.2000000000000002</v>
      </c>
      <c r="E2048" s="12">
        <f t="shared" si="281"/>
        <v>11.043048476444442</v>
      </c>
      <c r="F2048" s="12">
        <f t="shared" si="282"/>
        <v>11.043048476444442</v>
      </c>
      <c r="G2048" s="12">
        <f t="shared" si="283"/>
        <v>14.463968568888889</v>
      </c>
      <c r="H2048" s="12">
        <f t="shared" si="284"/>
        <v>14.463968568888889</v>
      </c>
      <c r="I2048" s="1" t="str">
        <f t="shared" si="285"/>
        <v>No</v>
      </c>
      <c r="J2048" s="1" t="str">
        <f t="shared" si="286"/>
        <v>Si</v>
      </c>
      <c r="K2048" s="1" t="str">
        <f t="shared" si="287"/>
        <v/>
      </c>
    </row>
    <row r="2049" spans="1:11" x14ac:dyDescent="0.3">
      <c r="A2049" s="1">
        <v>39</v>
      </c>
      <c r="B2049" s="1">
        <v>42</v>
      </c>
      <c r="C2049" s="12">
        <f t="shared" si="279"/>
        <v>1.0499999999999998</v>
      </c>
      <c r="D2049" s="12">
        <f t="shared" si="280"/>
        <v>1.2749999999999999</v>
      </c>
      <c r="E2049" s="12">
        <f t="shared" si="281"/>
        <v>11.040560383999997</v>
      </c>
      <c r="F2049" s="12">
        <f t="shared" si="282"/>
        <v>11.040560383999997</v>
      </c>
      <c r="G2049" s="12">
        <f t="shared" si="283"/>
        <v>14.460464213333333</v>
      </c>
      <c r="H2049" s="12">
        <f t="shared" si="284"/>
        <v>14.460464213333333</v>
      </c>
      <c r="I2049" s="1" t="str">
        <f t="shared" si="285"/>
        <v>No</v>
      </c>
      <c r="J2049" s="1" t="str">
        <f t="shared" si="286"/>
        <v>Si</v>
      </c>
      <c r="K2049" s="1" t="str">
        <f t="shared" si="287"/>
        <v/>
      </c>
    </row>
    <row r="2050" spans="1:11" x14ac:dyDescent="0.3">
      <c r="A2050" s="1">
        <v>39</v>
      </c>
      <c r="B2050" s="1">
        <v>43</v>
      </c>
      <c r="C2050" s="12">
        <f t="shared" si="279"/>
        <v>1.0499999999999998</v>
      </c>
      <c r="D2050" s="12">
        <f t="shared" si="280"/>
        <v>1.35</v>
      </c>
      <c r="E2050" s="12">
        <f t="shared" si="281"/>
        <v>11.038072291555553</v>
      </c>
      <c r="F2050" s="12">
        <f t="shared" si="282"/>
        <v>11.038072291555553</v>
      </c>
      <c r="G2050" s="12">
        <f t="shared" si="283"/>
        <v>14.456959857777777</v>
      </c>
      <c r="H2050" s="12">
        <f t="shared" si="284"/>
        <v>14.456959857777777</v>
      </c>
      <c r="I2050" s="1" t="str">
        <f t="shared" si="285"/>
        <v>No</v>
      </c>
      <c r="J2050" s="1" t="str">
        <f t="shared" si="286"/>
        <v>Si</v>
      </c>
      <c r="K2050" s="1" t="str">
        <f t="shared" si="287"/>
        <v/>
      </c>
    </row>
    <row r="2051" spans="1:11" x14ac:dyDescent="0.3">
      <c r="A2051" s="1">
        <v>39</v>
      </c>
      <c r="B2051" s="1">
        <v>44</v>
      </c>
      <c r="C2051" s="12">
        <f t="shared" si="279"/>
        <v>1.0499999999999998</v>
      </c>
      <c r="D2051" s="12">
        <f t="shared" si="280"/>
        <v>1.4249999999999998</v>
      </c>
      <c r="E2051" s="12">
        <f t="shared" si="281"/>
        <v>11.03558419911111</v>
      </c>
      <c r="F2051" s="12">
        <f t="shared" si="282"/>
        <v>11.03558419911111</v>
      </c>
      <c r="G2051" s="12">
        <f t="shared" si="283"/>
        <v>14.453455502222221</v>
      </c>
      <c r="H2051" s="12">
        <f t="shared" si="284"/>
        <v>14.453455502222221</v>
      </c>
      <c r="I2051" s="1" t="str">
        <f t="shared" si="285"/>
        <v>No</v>
      </c>
      <c r="J2051" s="1" t="str">
        <f t="shared" si="286"/>
        <v>Si</v>
      </c>
      <c r="K2051" s="1" t="str">
        <f t="shared" si="287"/>
        <v/>
      </c>
    </row>
    <row r="2052" spans="1:11" x14ac:dyDescent="0.3">
      <c r="A2052" s="1">
        <v>39</v>
      </c>
      <c r="B2052" s="1">
        <v>45</v>
      </c>
      <c r="C2052" s="12">
        <f t="shared" si="279"/>
        <v>1.0499999999999998</v>
      </c>
      <c r="D2052" s="12">
        <f t="shared" si="280"/>
        <v>1.5</v>
      </c>
      <c r="E2052" s="12">
        <f t="shared" si="281"/>
        <v>11.033096106666665</v>
      </c>
      <c r="F2052" s="12">
        <f t="shared" si="282"/>
        <v>11.033096106666665</v>
      </c>
      <c r="G2052" s="12">
        <f t="shared" si="283"/>
        <v>14.449951146666667</v>
      </c>
      <c r="H2052" s="12">
        <f t="shared" si="284"/>
        <v>14.449951146666667</v>
      </c>
      <c r="I2052" s="1" t="str">
        <f t="shared" si="285"/>
        <v>No</v>
      </c>
      <c r="J2052" s="1" t="str">
        <f t="shared" si="286"/>
        <v>Si</v>
      </c>
      <c r="K2052" s="1" t="str">
        <f t="shared" si="287"/>
        <v/>
      </c>
    </row>
    <row r="2053" spans="1:11" x14ac:dyDescent="0.3">
      <c r="A2053" s="1">
        <v>39</v>
      </c>
      <c r="B2053" s="1">
        <v>46</v>
      </c>
      <c r="C2053" s="12">
        <f t="shared" si="279"/>
        <v>1.0499999999999998</v>
      </c>
      <c r="D2053" s="12">
        <f t="shared" si="280"/>
        <v>1.5750000000000002</v>
      </c>
      <c r="E2053" s="12">
        <f t="shared" si="281"/>
        <v>11.030608014222221</v>
      </c>
      <c r="F2053" s="12">
        <f t="shared" si="282"/>
        <v>11.030608014222221</v>
      </c>
      <c r="G2053" s="12">
        <f t="shared" si="283"/>
        <v>14.446446791111111</v>
      </c>
      <c r="H2053" s="12">
        <f t="shared" si="284"/>
        <v>14.446446791111111</v>
      </c>
      <c r="I2053" s="1" t="str">
        <f t="shared" si="285"/>
        <v>No</v>
      </c>
      <c r="J2053" s="1" t="str">
        <f t="shared" si="286"/>
        <v>Si</v>
      </c>
      <c r="K2053" s="1" t="str">
        <f t="shared" si="287"/>
        <v/>
      </c>
    </row>
    <row r="2054" spans="1:11" x14ac:dyDescent="0.3">
      <c r="A2054" s="1">
        <v>39</v>
      </c>
      <c r="B2054" s="1">
        <v>47</v>
      </c>
      <c r="C2054" s="12">
        <f t="shared" si="279"/>
        <v>1.0499999999999998</v>
      </c>
      <c r="D2054" s="12">
        <f t="shared" si="280"/>
        <v>1.65</v>
      </c>
      <c r="E2054" s="12">
        <f t="shared" si="281"/>
        <v>11.028119921777776</v>
      </c>
      <c r="F2054" s="12">
        <f t="shared" si="282"/>
        <v>11.028119921777776</v>
      </c>
      <c r="G2054" s="12">
        <f t="shared" si="283"/>
        <v>14.442942435555555</v>
      </c>
      <c r="H2054" s="12">
        <f t="shared" si="284"/>
        <v>14.442942435555555</v>
      </c>
      <c r="I2054" s="1" t="str">
        <f t="shared" si="285"/>
        <v>No</v>
      </c>
      <c r="J2054" s="1" t="str">
        <f t="shared" si="286"/>
        <v>Si</v>
      </c>
      <c r="K2054" s="1" t="str">
        <f t="shared" si="287"/>
        <v/>
      </c>
    </row>
    <row r="2055" spans="1:11" x14ac:dyDescent="0.3">
      <c r="A2055" s="1">
        <v>39</v>
      </c>
      <c r="B2055" s="1">
        <v>48</v>
      </c>
      <c r="C2055" s="12">
        <f t="shared" si="279"/>
        <v>1.0499999999999998</v>
      </c>
      <c r="D2055" s="12">
        <f t="shared" si="280"/>
        <v>1.7250000000000001</v>
      </c>
      <c r="E2055" s="12">
        <f t="shared" si="281"/>
        <v>11.025631829333332</v>
      </c>
      <c r="F2055" s="12">
        <f t="shared" si="282"/>
        <v>11.025631829333332</v>
      </c>
      <c r="G2055" s="12">
        <f t="shared" si="283"/>
        <v>14.43943808</v>
      </c>
      <c r="H2055" s="12">
        <f t="shared" si="284"/>
        <v>14.43943808</v>
      </c>
      <c r="I2055" s="1" t="str">
        <f t="shared" si="285"/>
        <v>No</v>
      </c>
      <c r="J2055" s="1" t="str">
        <f t="shared" si="286"/>
        <v>Si</v>
      </c>
      <c r="K2055" s="1" t="str">
        <f t="shared" si="287"/>
        <v/>
      </c>
    </row>
    <row r="2056" spans="1:11" x14ac:dyDescent="0.3">
      <c r="A2056" s="1">
        <v>39</v>
      </c>
      <c r="B2056" s="1">
        <v>49</v>
      </c>
      <c r="C2056" s="12">
        <f t="shared" si="279"/>
        <v>1.0499999999999998</v>
      </c>
      <c r="D2056" s="12">
        <f t="shared" si="280"/>
        <v>1.7999999999999998</v>
      </c>
      <c r="E2056" s="12">
        <f t="shared" si="281"/>
        <v>11.023143736888887</v>
      </c>
      <c r="F2056" s="12">
        <f t="shared" si="282"/>
        <v>11.023143736888887</v>
      </c>
      <c r="G2056" s="12">
        <f t="shared" si="283"/>
        <v>14.435933724444444</v>
      </c>
      <c r="H2056" s="12">
        <f t="shared" si="284"/>
        <v>14.435933724444444</v>
      </c>
      <c r="I2056" s="1" t="str">
        <f t="shared" si="285"/>
        <v>No</v>
      </c>
      <c r="J2056" s="1" t="str">
        <f t="shared" si="286"/>
        <v>Si</v>
      </c>
      <c r="K2056" s="1" t="str">
        <f t="shared" si="287"/>
        <v/>
      </c>
    </row>
    <row r="2057" spans="1:11" x14ac:dyDescent="0.3">
      <c r="A2057" s="1">
        <v>39</v>
      </c>
      <c r="B2057" s="1">
        <v>50</v>
      </c>
      <c r="C2057" s="12">
        <f t="shared" si="279"/>
        <v>1.0499999999999998</v>
      </c>
      <c r="D2057" s="12">
        <f t="shared" si="280"/>
        <v>1.875</v>
      </c>
      <c r="E2057" s="12">
        <f t="shared" si="281"/>
        <v>11.020655644444442</v>
      </c>
      <c r="F2057" s="12">
        <f t="shared" si="282"/>
        <v>11.020655644444442</v>
      </c>
      <c r="G2057" s="12">
        <f t="shared" si="283"/>
        <v>14.432429368888888</v>
      </c>
      <c r="H2057" s="12">
        <f t="shared" si="284"/>
        <v>14.432429368888888</v>
      </c>
      <c r="I2057" s="1" t="str">
        <f t="shared" si="285"/>
        <v>No</v>
      </c>
      <c r="J2057" s="1" t="str">
        <f t="shared" si="286"/>
        <v>Si</v>
      </c>
      <c r="K2057" s="1" t="str">
        <f t="shared" si="287"/>
        <v/>
      </c>
    </row>
    <row r="2058" spans="1:11" x14ac:dyDescent="0.3">
      <c r="A2058" s="1">
        <v>40</v>
      </c>
      <c r="B2058" s="1">
        <v>0</v>
      </c>
      <c r="C2058" s="12">
        <f t="shared" si="279"/>
        <v>1.125</v>
      </c>
      <c r="D2058" s="12">
        <f t="shared" si="280"/>
        <v>-1.875</v>
      </c>
      <c r="E2058" s="12">
        <f t="shared" si="281"/>
        <v>11.14575431111111</v>
      </c>
      <c r="F2058" s="12">
        <f t="shared" si="282"/>
        <v>11.14575431111111</v>
      </c>
      <c r="G2058" s="12">
        <f t="shared" si="283"/>
        <v>14.608684799999999</v>
      </c>
      <c r="H2058" s="12">
        <f t="shared" si="284"/>
        <v>14.608684799999999</v>
      </c>
      <c r="I2058" s="1" t="str">
        <f t="shared" si="285"/>
        <v>No</v>
      </c>
      <c r="J2058" s="1" t="str">
        <f t="shared" si="286"/>
        <v>Si</v>
      </c>
      <c r="K2058" s="1" t="str">
        <f t="shared" si="287"/>
        <v/>
      </c>
    </row>
    <row r="2059" spans="1:11" x14ac:dyDescent="0.3">
      <c r="A2059" s="1">
        <v>40</v>
      </c>
      <c r="B2059" s="1">
        <v>1</v>
      </c>
      <c r="C2059" s="12">
        <f t="shared" si="279"/>
        <v>1.125</v>
      </c>
      <c r="D2059" s="12">
        <f t="shared" si="280"/>
        <v>-1.8</v>
      </c>
      <c r="E2059" s="12">
        <f t="shared" si="281"/>
        <v>11.143266218666666</v>
      </c>
      <c r="F2059" s="12">
        <f t="shared" si="282"/>
        <v>11.143266218666666</v>
      </c>
      <c r="G2059" s="12">
        <f t="shared" si="283"/>
        <v>14.605180444444443</v>
      </c>
      <c r="H2059" s="12">
        <f t="shared" si="284"/>
        <v>14.605180444444443</v>
      </c>
      <c r="I2059" s="1" t="str">
        <f t="shared" si="285"/>
        <v>No</v>
      </c>
      <c r="J2059" s="1" t="str">
        <f t="shared" si="286"/>
        <v>Si</v>
      </c>
      <c r="K2059" s="1" t="str">
        <f t="shared" si="287"/>
        <v/>
      </c>
    </row>
    <row r="2060" spans="1:11" x14ac:dyDescent="0.3">
      <c r="A2060" s="1">
        <v>40</v>
      </c>
      <c r="B2060" s="1">
        <v>2</v>
      </c>
      <c r="C2060" s="12">
        <f t="shared" si="279"/>
        <v>1.125</v>
      </c>
      <c r="D2060" s="12">
        <f t="shared" si="280"/>
        <v>-1.7250000000000001</v>
      </c>
      <c r="E2060" s="12">
        <f t="shared" si="281"/>
        <v>11.140778126222221</v>
      </c>
      <c r="F2060" s="12">
        <f t="shared" si="282"/>
        <v>11.140778126222221</v>
      </c>
      <c r="G2060" s="12">
        <f t="shared" si="283"/>
        <v>14.601676088888887</v>
      </c>
      <c r="H2060" s="12">
        <f t="shared" si="284"/>
        <v>14.601676088888887</v>
      </c>
      <c r="I2060" s="1" t="str">
        <f t="shared" si="285"/>
        <v>No</v>
      </c>
      <c r="J2060" s="1" t="str">
        <f t="shared" si="286"/>
        <v>Si</v>
      </c>
      <c r="K2060" s="1" t="str">
        <f t="shared" si="287"/>
        <v/>
      </c>
    </row>
    <row r="2061" spans="1:11" x14ac:dyDescent="0.3">
      <c r="A2061" s="1">
        <v>40</v>
      </c>
      <c r="B2061" s="1">
        <v>3</v>
      </c>
      <c r="C2061" s="12">
        <f t="shared" si="279"/>
        <v>1.125</v>
      </c>
      <c r="D2061" s="12">
        <f t="shared" si="280"/>
        <v>-1.65</v>
      </c>
      <c r="E2061" s="12">
        <f t="shared" si="281"/>
        <v>11.138290033777777</v>
      </c>
      <c r="F2061" s="12">
        <f t="shared" si="282"/>
        <v>11.138290033777777</v>
      </c>
      <c r="G2061" s="12">
        <f t="shared" si="283"/>
        <v>14.598171733333333</v>
      </c>
      <c r="H2061" s="12">
        <f t="shared" si="284"/>
        <v>14.598171733333333</v>
      </c>
      <c r="I2061" s="1" t="str">
        <f t="shared" si="285"/>
        <v>No</v>
      </c>
      <c r="J2061" s="1" t="str">
        <f t="shared" si="286"/>
        <v>Si</v>
      </c>
      <c r="K2061" s="1" t="str">
        <f t="shared" si="287"/>
        <v/>
      </c>
    </row>
    <row r="2062" spans="1:11" x14ac:dyDescent="0.3">
      <c r="A2062" s="1">
        <v>40</v>
      </c>
      <c r="B2062" s="1">
        <v>4</v>
      </c>
      <c r="C2062" s="12">
        <f t="shared" si="279"/>
        <v>1.125</v>
      </c>
      <c r="D2062" s="12">
        <f t="shared" si="280"/>
        <v>-1.575</v>
      </c>
      <c r="E2062" s="12">
        <f t="shared" si="281"/>
        <v>11.135801941333332</v>
      </c>
      <c r="F2062" s="12">
        <f t="shared" si="282"/>
        <v>11.135801941333332</v>
      </c>
      <c r="G2062" s="12">
        <f t="shared" si="283"/>
        <v>14.594667377777776</v>
      </c>
      <c r="H2062" s="12">
        <f t="shared" si="284"/>
        <v>14.594667377777776</v>
      </c>
      <c r="I2062" s="1" t="str">
        <f t="shared" si="285"/>
        <v>No</v>
      </c>
      <c r="J2062" s="1" t="str">
        <f t="shared" si="286"/>
        <v>Si</v>
      </c>
      <c r="K2062" s="1" t="str">
        <f t="shared" si="287"/>
        <v/>
      </c>
    </row>
    <row r="2063" spans="1:11" x14ac:dyDescent="0.3">
      <c r="A2063" s="1">
        <v>40</v>
      </c>
      <c r="B2063" s="1">
        <v>5</v>
      </c>
      <c r="C2063" s="12">
        <f t="shared" si="279"/>
        <v>1.125</v>
      </c>
      <c r="D2063" s="12">
        <f t="shared" si="280"/>
        <v>-1.5</v>
      </c>
      <c r="E2063" s="12">
        <f t="shared" si="281"/>
        <v>11.133313848888887</v>
      </c>
      <c r="F2063" s="12">
        <f t="shared" si="282"/>
        <v>11.133313848888887</v>
      </c>
      <c r="G2063" s="12">
        <f t="shared" si="283"/>
        <v>14.59116302222222</v>
      </c>
      <c r="H2063" s="12">
        <f t="shared" si="284"/>
        <v>14.59116302222222</v>
      </c>
      <c r="I2063" s="1" t="str">
        <f t="shared" si="285"/>
        <v>No</v>
      </c>
      <c r="J2063" s="1" t="str">
        <f t="shared" si="286"/>
        <v>Si</v>
      </c>
      <c r="K2063" s="1" t="str">
        <f t="shared" si="287"/>
        <v/>
      </c>
    </row>
    <row r="2064" spans="1:11" x14ac:dyDescent="0.3">
      <c r="A2064" s="1">
        <v>40</v>
      </c>
      <c r="B2064" s="1">
        <v>6</v>
      </c>
      <c r="C2064" s="12">
        <f t="shared" si="279"/>
        <v>1.125</v>
      </c>
      <c r="D2064" s="12">
        <f t="shared" si="280"/>
        <v>-1.425</v>
      </c>
      <c r="E2064" s="12">
        <f t="shared" si="281"/>
        <v>11.130825756444443</v>
      </c>
      <c r="F2064" s="12">
        <f t="shared" si="282"/>
        <v>11.130825756444443</v>
      </c>
      <c r="G2064" s="12">
        <f t="shared" si="283"/>
        <v>14.587658666666666</v>
      </c>
      <c r="H2064" s="12">
        <f t="shared" si="284"/>
        <v>14.587658666666666</v>
      </c>
      <c r="I2064" s="1" t="str">
        <f t="shared" si="285"/>
        <v>No</v>
      </c>
      <c r="J2064" s="1" t="str">
        <f t="shared" si="286"/>
        <v>Si</v>
      </c>
      <c r="K2064" s="1" t="str">
        <f t="shared" si="287"/>
        <v/>
      </c>
    </row>
    <row r="2065" spans="1:11" x14ac:dyDescent="0.3">
      <c r="A2065" s="1">
        <v>40</v>
      </c>
      <c r="B2065" s="1">
        <v>7</v>
      </c>
      <c r="C2065" s="12">
        <f t="shared" si="279"/>
        <v>1.125</v>
      </c>
      <c r="D2065" s="12">
        <f t="shared" si="280"/>
        <v>-1.35</v>
      </c>
      <c r="E2065" s="12">
        <f t="shared" si="281"/>
        <v>11.128337664</v>
      </c>
      <c r="F2065" s="12">
        <f t="shared" si="282"/>
        <v>11.128337664</v>
      </c>
      <c r="G2065" s="12">
        <f t="shared" si="283"/>
        <v>14.58415431111111</v>
      </c>
      <c r="H2065" s="12">
        <f t="shared" si="284"/>
        <v>14.58415431111111</v>
      </c>
      <c r="I2065" s="1" t="str">
        <f t="shared" si="285"/>
        <v>No</v>
      </c>
      <c r="J2065" s="1" t="str">
        <f t="shared" si="286"/>
        <v>Si</v>
      </c>
      <c r="K2065" s="1" t="str">
        <f t="shared" si="287"/>
        <v/>
      </c>
    </row>
    <row r="2066" spans="1:11" x14ac:dyDescent="0.3">
      <c r="A2066" s="1">
        <v>40</v>
      </c>
      <c r="B2066" s="1">
        <v>8</v>
      </c>
      <c r="C2066" s="12">
        <f t="shared" ref="C2066:C2129" si="288">IF(OR(A2066&gt;inp_n_div_x,B2066&gt;inp_n_div_y),"",-inp_bx/2+A2066*inp_bx/inp_n_div_x)</f>
        <v>1.125</v>
      </c>
      <c r="D2066" s="12">
        <f t="shared" ref="D2066:D2129" si="289">IF(C2066="","",-inp_by/2+B2066*inp_by/inp_n_div_y)</f>
        <v>-1.2749999999999999</v>
      </c>
      <c r="E2066" s="12">
        <f t="shared" ref="E2066:E2129" si="290">IF(C2066="","",res_srv_p_tot/geo_area+res_srv_mx_tot/geo_ix*D2066+res_srv_my_tot/geo_iy*C2066)</f>
        <v>11.125849571555555</v>
      </c>
      <c r="F2066" s="12">
        <f t="shared" ref="F2066:F2129" si="291">IF(E2066="","",MAX(0,E2066))</f>
        <v>11.125849571555555</v>
      </c>
      <c r="G2066" s="12">
        <f t="shared" ref="G2066:G2129" si="292">IF(C2066="","",res_u_p_tot/geo_area+res_u_mx_tot/geo_ix*D2066+res_u_my_tot/geo_iy*C2066)</f>
        <v>14.580649955555554</v>
      </c>
      <c r="H2066" s="12">
        <f t="shared" ref="H2066:H2129" si="293">IF(G2066="","",MAX(0,G2066))</f>
        <v>14.580649955555554</v>
      </c>
      <c r="I2066" s="1" t="str">
        <f t="shared" ref="I2066:I2129" si="294">IF(C2066="","",IF(AND(C2066&gt;=inp_xc-inp_cx/2,C2066&lt;=inp_xc+inp_cx/2,D2066&gt;=inp_yc-inp_cy/2,D2066&lt;=inp_yc+inp_cy/2),"Si","No"))</f>
        <v>No</v>
      </c>
      <c r="J2066" s="1" t="str">
        <f t="shared" ref="J2066:J2129" si="295">IF(C2066="","","Si")</f>
        <v>Si</v>
      </c>
      <c r="K2066" s="1" t="str">
        <f t="shared" ref="K2066:K2129" si="296">IF(OR(E2066&lt;0,G2066&lt;0),"Presion negativa","")</f>
        <v/>
      </c>
    </row>
    <row r="2067" spans="1:11" x14ac:dyDescent="0.3">
      <c r="A2067" s="1">
        <v>40</v>
      </c>
      <c r="B2067" s="1">
        <v>9</v>
      </c>
      <c r="C2067" s="12">
        <f t="shared" si="288"/>
        <v>1.125</v>
      </c>
      <c r="D2067" s="12">
        <f t="shared" si="289"/>
        <v>-1.2</v>
      </c>
      <c r="E2067" s="12">
        <f t="shared" si="290"/>
        <v>11.123361479111111</v>
      </c>
      <c r="F2067" s="12">
        <f t="shared" si="291"/>
        <v>11.123361479111111</v>
      </c>
      <c r="G2067" s="12">
        <f t="shared" si="292"/>
        <v>14.577145599999998</v>
      </c>
      <c r="H2067" s="12">
        <f t="shared" si="293"/>
        <v>14.577145599999998</v>
      </c>
      <c r="I2067" s="1" t="str">
        <f t="shared" si="294"/>
        <v>No</v>
      </c>
      <c r="J2067" s="1" t="str">
        <f t="shared" si="295"/>
        <v>Si</v>
      </c>
      <c r="K2067" s="1" t="str">
        <f t="shared" si="296"/>
        <v/>
      </c>
    </row>
    <row r="2068" spans="1:11" x14ac:dyDescent="0.3">
      <c r="A2068" s="1">
        <v>40</v>
      </c>
      <c r="B2068" s="1">
        <v>10</v>
      </c>
      <c r="C2068" s="12">
        <f t="shared" si="288"/>
        <v>1.125</v>
      </c>
      <c r="D2068" s="12">
        <f t="shared" si="289"/>
        <v>-1.125</v>
      </c>
      <c r="E2068" s="12">
        <f t="shared" si="290"/>
        <v>11.120873386666666</v>
      </c>
      <c r="F2068" s="12">
        <f t="shared" si="291"/>
        <v>11.120873386666666</v>
      </c>
      <c r="G2068" s="12">
        <f t="shared" si="292"/>
        <v>14.573641244444444</v>
      </c>
      <c r="H2068" s="12">
        <f t="shared" si="293"/>
        <v>14.573641244444444</v>
      </c>
      <c r="I2068" s="1" t="str">
        <f t="shared" si="294"/>
        <v>No</v>
      </c>
      <c r="J2068" s="1" t="str">
        <f t="shared" si="295"/>
        <v>Si</v>
      </c>
      <c r="K2068" s="1" t="str">
        <f t="shared" si="296"/>
        <v/>
      </c>
    </row>
    <row r="2069" spans="1:11" x14ac:dyDescent="0.3">
      <c r="A2069" s="1">
        <v>40</v>
      </c>
      <c r="B2069" s="1">
        <v>11</v>
      </c>
      <c r="C2069" s="12">
        <f t="shared" si="288"/>
        <v>1.125</v>
      </c>
      <c r="D2069" s="12">
        <f t="shared" si="289"/>
        <v>-1.05</v>
      </c>
      <c r="E2069" s="12">
        <f t="shared" si="290"/>
        <v>11.118385294222222</v>
      </c>
      <c r="F2069" s="12">
        <f t="shared" si="291"/>
        <v>11.118385294222222</v>
      </c>
      <c r="G2069" s="12">
        <f t="shared" si="292"/>
        <v>14.570136888888888</v>
      </c>
      <c r="H2069" s="12">
        <f t="shared" si="293"/>
        <v>14.570136888888888</v>
      </c>
      <c r="I2069" s="1" t="str">
        <f t="shared" si="294"/>
        <v>No</v>
      </c>
      <c r="J2069" s="1" t="str">
        <f t="shared" si="295"/>
        <v>Si</v>
      </c>
      <c r="K2069" s="1" t="str">
        <f t="shared" si="296"/>
        <v/>
      </c>
    </row>
    <row r="2070" spans="1:11" x14ac:dyDescent="0.3">
      <c r="A2070" s="1">
        <v>40</v>
      </c>
      <c r="B2070" s="1">
        <v>12</v>
      </c>
      <c r="C2070" s="12">
        <f t="shared" si="288"/>
        <v>1.125</v>
      </c>
      <c r="D2070" s="12">
        <f t="shared" si="289"/>
        <v>-0.97499999999999998</v>
      </c>
      <c r="E2070" s="12">
        <f t="shared" si="290"/>
        <v>11.115897201777777</v>
      </c>
      <c r="F2070" s="12">
        <f t="shared" si="291"/>
        <v>11.115897201777777</v>
      </c>
      <c r="G2070" s="12">
        <f t="shared" si="292"/>
        <v>14.566632533333332</v>
      </c>
      <c r="H2070" s="12">
        <f t="shared" si="293"/>
        <v>14.566632533333332</v>
      </c>
      <c r="I2070" s="1" t="str">
        <f t="shared" si="294"/>
        <v>No</v>
      </c>
      <c r="J2070" s="1" t="str">
        <f t="shared" si="295"/>
        <v>Si</v>
      </c>
      <c r="K2070" s="1" t="str">
        <f t="shared" si="296"/>
        <v/>
      </c>
    </row>
    <row r="2071" spans="1:11" x14ac:dyDescent="0.3">
      <c r="A2071" s="1">
        <v>40</v>
      </c>
      <c r="B2071" s="1">
        <v>13</v>
      </c>
      <c r="C2071" s="12">
        <f t="shared" si="288"/>
        <v>1.125</v>
      </c>
      <c r="D2071" s="12">
        <f t="shared" si="289"/>
        <v>-0.9</v>
      </c>
      <c r="E2071" s="12">
        <f t="shared" si="290"/>
        <v>11.113409109333332</v>
      </c>
      <c r="F2071" s="12">
        <f t="shared" si="291"/>
        <v>11.113409109333332</v>
      </c>
      <c r="G2071" s="12">
        <f t="shared" si="292"/>
        <v>14.563128177777777</v>
      </c>
      <c r="H2071" s="12">
        <f t="shared" si="293"/>
        <v>14.563128177777777</v>
      </c>
      <c r="I2071" s="1" t="str">
        <f t="shared" si="294"/>
        <v>No</v>
      </c>
      <c r="J2071" s="1" t="str">
        <f t="shared" si="295"/>
        <v>Si</v>
      </c>
      <c r="K2071" s="1" t="str">
        <f t="shared" si="296"/>
        <v/>
      </c>
    </row>
    <row r="2072" spans="1:11" x14ac:dyDescent="0.3">
      <c r="A2072" s="1">
        <v>40</v>
      </c>
      <c r="B2072" s="1">
        <v>14</v>
      </c>
      <c r="C2072" s="12">
        <f t="shared" si="288"/>
        <v>1.125</v>
      </c>
      <c r="D2072" s="12">
        <f t="shared" si="289"/>
        <v>-0.82499999999999996</v>
      </c>
      <c r="E2072" s="12">
        <f t="shared" si="290"/>
        <v>11.110921016888888</v>
      </c>
      <c r="F2072" s="12">
        <f t="shared" si="291"/>
        <v>11.110921016888888</v>
      </c>
      <c r="G2072" s="12">
        <f t="shared" si="292"/>
        <v>14.559623822222221</v>
      </c>
      <c r="H2072" s="12">
        <f t="shared" si="293"/>
        <v>14.559623822222221</v>
      </c>
      <c r="I2072" s="1" t="str">
        <f t="shared" si="294"/>
        <v>No</v>
      </c>
      <c r="J2072" s="1" t="str">
        <f t="shared" si="295"/>
        <v>Si</v>
      </c>
      <c r="K2072" s="1" t="str">
        <f t="shared" si="296"/>
        <v/>
      </c>
    </row>
    <row r="2073" spans="1:11" x14ac:dyDescent="0.3">
      <c r="A2073" s="1">
        <v>40</v>
      </c>
      <c r="B2073" s="1">
        <v>15</v>
      </c>
      <c r="C2073" s="12">
        <f t="shared" si="288"/>
        <v>1.125</v>
      </c>
      <c r="D2073" s="12">
        <f t="shared" si="289"/>
        <v>-0.75</v>
      </c>
      <c r="E2073" s="12">
        <f t="shared" si="290"/>
        <v>11.108432924444443</v>
      </c>
      <c r="F2073" s="12">
        <f t="shared" si="291"/>
        <v>11.108432924444443</v>
      </c>
      <c r="G2073" s="12">
        <f t="shared" si="292"/>
        <v>14.556119466666665</v>
      </c>
      <c r="H2073" s="12">
        <f t="shared" si="293"/>
        <v>14.556119466666665</v>
      </c>
      <c r="I2073" s="1" t="str">
        <f t="shared" si="294"/>
        <v>No</v>
      </c>
      <c r="J2073" s="1" t="str">
        <f t="shared" si="295"/>
        <v>Si</v>
      </c>
      <c r="K2073" s="1" t="str">
        <f t="shared" si="296"/>
        <v/>
      </c>
    </row>
    <row r="2074" spans="1:11" x14ac:dyDescent="0.3">
      <c r="A2074" s="1">
        <v>40</v>
      </c>
      <c r="B2074" s="1">
        <v>16</v>
      </c>
      <c r="C2074" s="12">
        <f t="shared" si="288"/>
        <v>1.125</v>
      </c>
      <c r="D2074" s="12">
        <f t="shared" si="289"/>
        <v>-0.67500000000000004</v>
      </c>
      <c r="E2074" s="12">
        <f t="shared" si="290"/>
        <v>11.105944831999999</v>
      </c>
      <c r="F2074" s="12">
        <f t="shared" si="291"/>
        <v>11.105944831999999</v>
      </c>
      <c r="G2074" s="12">
        <f t="shared" si="292"/>
        <v>14.552615111111109</v>
      </c>
      <c r="H2074" s="12">
        <f t="shared" si="293"/>
        <v>14.552615111111109</v>
      </c>
      <c r="I2074" s="1" t="str">
        <f t="shared" si="294"/>
        <v>No</v>
      </c>
      <c r="J2074" s="1" t="str">
        <f t="shared" si="295"/>
        <v>Si</v>
      </c>
      <c r="K2074" s="1" t="str">
        <f t="shared" si="296"/>
        <v/>
      </c>
    </row>
    <row r="2075" spans="1:11" x14ac:dyDescent="0.3">
      <c r="A2075" s="1">
        <v>40</v>
      </c>
      <c r="B2075" s="1">
        <v>17</v>
      </c>
      <c r="C2075" s="12">
        <f t="shared" si="288"/>
        <v>1.125</v>
      </c>
      <c r="D2075" s="12">
        <f t="shared" si="289"/>
        <v>-0.60000000000000009</v>
      </c>
      <c r="E2075" s="12">
        <f t="shared" si="290"/>
        <v>11.103456739555554</v>
      </c>
      <c r="F2075" s="12">
        <f t="shared" si="291"/>
        <v>11.103456739555554</v>
      </c>
      <c r="G2075" s="12">
        <f t="shared" si="292"/>
        <v>14.549110755555555</v>
      </c>
      <c r="H2075" s="12">
        <f t="shared" si="293"/>
        <v>14.549110755555555</v>
      </c>
      <c r="I2075" s="1" t="str">
        <f t="shared" si="294"/>
        <v>No</v>
      </c>
      <c r="J2075" s="1" t="str">
        <f t="shared" si="295"/>
        <v>Si</v>
      </c>
      <c r="K2075" s="1" t="str">
        <f t="shared" si="296"/>
        <v/>
      </c>
    </row>
    <row r="2076" spans="1:11" x14ac:dyDescent="0.3">
      <c r="A2076" s="1">
        <v>40</v>
      </c>
      <c r="B2076" s="1">
        <v>18</v>
      </c>
      <c r="C2076" s="12">
        <f t="shared" si="288"/>
        <v>1.125</v>
      </c>
      <c r="D2076" s="12">
        <f t="shared" si="289"/>
        <v>-0.52499999999999991</v>
      </c>
      <c r="E2076" s="12">
        <f t="shared" si="290"/>
        <v>11.10096864711111</v>
      </c>
      <c r="F2076" s="12">
        <f t="shared" si="291"/>
        <v>11.10096864711111</v>
      </c>
      <c r="G2076" s="12">
        <f t="shared" si="292"/>
        <v>14.545606399999999</v>
      </c>
      <c r="H2076" s="12">
        <f t="shared" si="293"/>
        <v>14.545606399999999</v>
      </c>
      <c r="I2076" s="1" t="str">
        <f t="shared" si="294"/>
        <v>No</v>
      </c>
      <c r="J2076" s="1" t="str">
        <f t="shared" si="295"/>
        <v>Si</v>
      </c>
      <c r="K2076" s="1" t="str">
        <f t="shared" si="296"/>
        <v/>
      </c>
    </row>
    <row r="2077" spans="1:11" x14ac:dyDescent="0.3">
      <c r="A2077" s="1">
        <v>40</v>
      </c>
      <c r="B2077" s="1">
        <v>19</v>
      </c>
      <c r="C2077" s="12">
        <f t="shared" si="288"/>
        <v>1.125</v>
      </c>
      <c r="D2077" s="12">
        <f t="shared" si="289"/>
        <v>-0.44999999999999996</v>
      </c>
      <c r="E2077" s="12">
        <f t="shared" si="290"/>
        <v>11.098480554666667</v>
      </c>
      <c r="F2077" s="12">
        <f t="shared" si="291"/>
        <v>11.098480554666667</v>
      </c>
      <c r="G2077" s="12">
        <f t="shared" si="292"/>
        <v>14.542102044444443</v>
      </c>
      <c r="H2077" s="12">
        <f t="shared" si="293"/>
        <v>14.542102044444443</v>
      </c>
      <c r="I2077" s="1" t="str">
        <f t="shared" si="294"/>
        <v>No</v>
      </c>
      <c r="J2077" s="1" t="str">
        <f t="shared" si="295"/>
        <v>Si</v>
      </c>
      <c r="K2077" s="1" t="str">
        <f t="shared" si="296"/>
        <v/>
      </c>
    </row>
    <row r="2078" spans="1:11" x14ac:dyDescent="0.3">
      <c r="A2078" s="1">
        <v>40</v>
      </c>
      <c r="B2078" s="1">
        <v>20</v>
      </c>
      <c r="C2078" s="12">
        <f t="shared" si="288"/>
        <v>1.125</v>
      </c>
      <c r="D2078" s="12">
        <f t="shared" si="289"/>
        <v>-0.375</v>
      </c>
      <c r="E2078" s="12">
        <f t="shared" si="290"/>
        <v>11.095992462222222</v>
      </c>
      <c r="F2078" s="12">
        <f t="shared" si="291"/>
        <v>11.095992462222222</v>
      </c>
      <c r="G2078" s="12">
        <f t="shared" si="292"/>
        <v>14.538597688888888</v>
      </c>
      <c r="H2078" s="12">
        <f t="shared" si="293"/>
        <v>14.538597688888888</v>
      </c>
      <c r="I2078" s="1" t="str">
        <f t="shared" si="294"/>
        <v>No</v>
      </c>
      <c r="J2078" s="1" t="str">
        <f t="shared" si="295"/>
        <v>Si</v>
      </c>
      <c r="K2078" s="1" t="str">
        <f t="shared" si="296"/>
        <v/>
      </c>
    </row>
    <row r="2079" spans="1:11" x14ac:dyDescent="0.3">
      <c r="A2079" s="1">
        <v>40</v>
      </c>
      <c r="B2079" s="1">
        <v>21</v>
      </c>
      <c r="C2079" s="12">
        <f t="shared" si="288"/>
        <v>1.125</v>
      </c>
      <c r="D2079" s="12">
        <f t="shared" si="289"/>
        <v>-0.30000000000000004</v>
      </c>
      <c r="E2079" s="12">
        <f t="shared" si="290"/>
        <v>11.093504369777778</v>
      </c>
      <c r="F2079" s="12">
        <f t="shared" si="291"/>
        <v>11.093504369777778</v>
      </c>
      <c r="G2079" s="12">
        <f t="shared" si="292"/>
        <v>14.535093333333332</v>
      </c>
      <c r="H2079" s="12">
        <f t="shared" si="293"/>
        <v>14.535093333333332</v>
      </c>
      <c r="I2079" s="1" t="str">
        <f t="shared" si="294"/>
        <v>No</v>
      </c>
      <c r="J2079" s="1" t="str">
        <f t="shared" si="295"/>
        <v>Si</v>
      </c>
      <c r="K2079" s="1" t="str">
        <f t="shared" si="296"/>
        <v/>
      </c>
    </row>
    <row r="2080" spans="1:11" x14ac:dyDescent="0.3">
      <c r="A2080" s="1">
        <v>40</v>
      </c>
      <c r="B2080" s="1">
        <v>22</v>
      </c>
      <c r="C2080" s="12">
        <f t="shared" si="288"/>
        <v>1.125</v>
      </c>
      <c r="D2080" s="12">
        <f t="shared" si="289"/>
        <v>-0.22500000000000009</v>
      </c>
      <c r="E2080" s="12">
        <f t="shared" si="290"/>
        <v>11.091016277333333</v>
      </c>
      <c r="F2080" s="12">
        <f t="shared" si="291"/>
        <v>11.091016277333333</v>
      </c>
      <c r="G2080" s="12">
        <f t="shared" si="292"/>
        <v>14.531588977777776</v>
      </c>
      <c r="H2080" s="12">
        <f t="shared" si="293"/>
        <v>14.531588977777776</v>
      </c>
      <c r="I2080" s="1" t="str">
        <f t="shared" si="294"/>
        <v>No</v>
      </c>
      <c r="J2080" s="1" t="str">
        <f t="shared" si="295"/>
        <v>Si</v>
      </c>
      <c r="K2080" s="1" t="str">
        <f t="shared" si="296"/>
        <v/>
      </c>
    </row>
    <row r="2081" spans="1:11" x14ac:dyDescent="0.3">
      <c r="A2081" s="1">
        <v>40</v>
      </c>
      <c r="B2081" s="1">
        <v>23</v>
      </c>
      <c r="C2081" s="12">
        <f t="shared" si="288"/>
        <v>1.125</v>
      </c>
      <c r="D2081" s="12">
        <f t="shared" si="289"/>
        <v>-0.14999999999999991</v>
      </c>
      <c r="E2081" s="12">
        <f t="shared" si="290"/>
        <v>11.088528184888888</v>
      </c>
      <c r="F2081" s="12">
        <f t="shared" si="291"/>
        <v>11.088528184888888</v>
      </c>
      <c r="G2081" s="12">
        <f t="shared" si="292"/>
        <v>14.52808462222222</v>
      </c>
      <c r="H2081" s="12">
        <f t="shared" si="293"/>
        <v>14.52808462222222</v>
      </c>
      <c r="I2081" s="1" t="str">
        <f t="shared" si="294"/>
        <v>No</v>
      </c>
      <c r="J2081" s="1" t="str">
        <f t="shared" si="295"/>
        <v>Si</v>
      </c>
      <c r="K2081" s="1" t="str">
        <f t="shared" si="296"/>
        <v/>
      </c>
    </row>
    <row r="2082" spans="1:11" x14ac:dyDescent="0.3">
      <c r="A2082" s="1">
        <v>40</v>
      </c>
      <c r="B2082" s="1">
        <v>24</v>
      </c>
      <c r="C2082" s="12">
        <f t="shared" si="288"/>
        <v>1.125</v>
      </c>
      <c r="D2082" s="12">
        <f t="shared" si="289"/>
        <v>-7.4999999999999956E-2</v>
      </c>
      <c r="E2082" s="12">
        <f t="shared" si="290"/>
        <v>11.086040092444444</v>
      </c>
      <c r="F2082" s="12">
        <f t="shared" si="291"/>
        <v>11.086040092444444</v>
      </c>
      <c r="G2082" s="12">
        <f t="shared" si="292"/>
        <v>14.524580266666666</v>
      </c>
      <c r="H2082" s="12">
        <f t="shared" si="293"/>
        <v>14.524580266666666</v>
      </c>
      <c r="I2082" s="1" t="str">
        <f t="shared" si="294"/>
        <v>No</v>
      </c>
      <c r="J2082" s="1" t="str">
        <f t="shared" si="295"/>
        <v>Si</v>
      </c>
      <c r="K2082" s="1" t="str">
        <f t="shared" si="296"/>
        <v/>
      </c>
    </row>
    <row r="2083" spans="1:11" x14ac:dyDescent="0.3">
      <c r="A2083" s="1">
        <v>40</v>
      </c>
      <c r="B2083" s="1">
        <v>25</v>
      </c>
      <c r="C2083" s="12">
        <f t="shared" si="288"/>
        <v>1.125</v>
      </c>
      <c r="D2083" s="12">
        <f t="shared" si="289"/>
        <v>0</v>
      </c>
      <c r="E2083" s="12">
        <f t="shared" si="290"/>
        <v>11.083551999999999</v>
      </c>
      <c r="F2083" s="12">
        <f t="shared" si="291"/>
        <v>11.083551999999999</v>
      </c>
      <c r="G2083" s="12">
        <f t="shared" si="292"/>
        <v>14.52107591111111</v>
      </c>
      <c r="H2083" s="12">
        <f t="shared" si="293"/>
        <v>14.52107591111111</v>
      </c>
      <c r="I2083" s="1" t="str">
        <f t="shared" si="294"/>
        <v>No</v>
      </c>
      <c r="J2083" s="1" t="str">
        <f t="shared" si="295"/>
        <v>Si</v>
      </c>
      <c r="K2083" s="1" t="str">
        <f t="shared" si="296"/>
        <v/>
      </c>
    </row>
    <row r="2084" spans="1:11" x14ac:dyDescent="0.3">
      <c r="A2084" s="1">
        <v>40</v>
      </c>
      <c r="B2084" s="1">
        <v>26</v>
      </c>
      <c r="C2084" s="12">
        <f t="shared" si="288"/>
        <v>1.125</v>
      </c>
      <c r="D2084" s="12">
        <f t="shared" si="289"/>
        <v>7.4999999999999956E-2</v>
      </c>
      <c r="E2084" s="12">
        <f t="shared" si="290"/>
        <v>11.081063907555555</v>
      </c>
      <c r="F2084" s="12">
        <f t="shared" si="291"/>
        <v>11.081063907555555</v>
      </c>
      <c r="G2084" s="12">
        <f t="shared" si="292"/>
        <v>14.517571555555554</v>
      </c>
      <c r="H2084" s="12">
        <f t="shared" si="293"/>
        <v>14.517571555555554</v>
      </c>
      <c r="I2084" s="1" t="str">
        <f t="shared" si="294"/>
        <v>No</v>
      </c>
      <c r="J2084" s="1" t="str">
        <f t="shared" si="295"/>
        <v>Si</v>
      </c>
      <c r="K2084" s="1" t="str">
        <f t="shared" si="296"/>
        <v/>
      </c>
    </row>
    <row r="2085" spans="1:11" x14ac:dyDescent="0.3">
      <c r="A2085" s="1">
        <v>40</v>
      </c>
      <c r="B2085" s="1">
        <v>27</v>
      </c>
      <c r="C2085" s="12">
        <f t="shared" si="288"/>
        <v>1.125</v>
      </c>
      <c r="D2085" s="12">
        <f t="shared" si="289"/>
        <v>0.14999999999999991</v>
      </c>
      <c r="E2085" s="12">
        <f t="shared" si="290"/>
        <v>11.07857581511111</v>
      </c>
      <c r="F2085" s="12">
        <f t="shared" si="291"/>
        <v>11.07857581511111</v>
      </c>
      <c r="G2085" s="12">
        <f t="shared" si="292"/>
        <v>14.5140672</v>
      </c>
      <c r="H2085" s="12">
        <f t="shared" si="293"/>
        <v>14.5140672</v>
      </c>
      <c r="I2085" s="1" t="str">
        <f t="shared" si="294"/>
        <v>No</v>
      </c>
      <c r="J2085" s="1" t="str">
        <f t="shared" si="295"/>
        <v>Si</v>
      </c>
      <c r="K2085" s="1" t="str">
        <f t="shared" si="296"/>
        <v/>
      </c>
    </row>
    <row r="2086" spans="1:11" x14ac:dyDescent="0.3">
      <c r="A2086" s="1">
        <v>40</v>
      </c>
      <c r="B2086" s="1">
        <v>28</v>
      </c>
      <c r="C2086" s="12">
        <f t="shared" si="288"/>
        <v>1.125</v>
      </c>
      <c r="D2086" s="12">
        <f t="shared" si="289"/>
        <v>0.22500000000000009</v>
      </c>
      <c r="E2086" s="12">
        <f t="shared" si="290"/>
        <v>11.076087722666665</v>
      </c>
      <c r="F2086" s="12">
        <f t="shared" si="291"/>
        <v>11.076087722666665</v>
      </c>
      <c r="G2086" s="12">
        <f t="shared" si="292"/>
        <v>14.510562844444443</v>
      </c>
      <c r="H2086" s="12">
        <f t="shared" si="293"/>
        <v>14.510562844444443</v>
      </c>
      <c r="I2086" s="1" t="str">
        <f t="shared" si="294"/>
        <v>No</v>
      </c>
      <c r="J2086" s="1" t="str">
        <f t="shared" si="295"/>
        <v>Si</v>
      </c>
      <c r="K2086" s="1" t="str">
        <f t="shared" si="296"/>
        <v/>
      </c>
    </row>
    <row r="2087" spans="1:11" x14ac:dyDescent="0.3">
      <c r="A2087" s="1">
        <v>40</v>
      </c>
      <c r="B2087" s="1">
        <v>29</v>
      </c>
      <c r="C2087" s="12">
        <f t="shared" si="288"/>
        <v>1.125</v>
      </c>
      <c r="D2087" s="12">
        <f t="shared" si="289"/>
        <v>0.29999999999999982</v>
      </c>
      <c r="E2087" s="12">
        <f t="shared" si="290"/>
        <v>11.073599630222221</v>
      </c>
      <c r="F2087" s="12">
        <f t="shared" si="291"/>
        <v>11.073599630222221</v>
      </c>
      <c r="G2087" s="12">
        <f t="shared" si="292"/>
        <v>14.507058488888887</v>
      </c>
      <c r="H2087" s="12">
        <f t="shared" si="293"/>
        <v>14.507058488888887</v>
      </c>
      <c r="I2087" s="1" t="str">
        <f t="shared" si="294"/>
        <v>No</v>
      </c>
      <c r="J2087" s="1" t="str">
        <f t="shared" si="295"/>
        <v>Si</v>
      </c>
      <c r="K2087" s="1" t="str">
        <f t="shared" si="296"/>
        <v/>
      </c>
    </row>
    <row r="2088" spans="1:11" x14ac:dyDescent="0.3">
      <c r="A2088" s="1">
        <v>40</v>
      </c>
      <c r="B2088" s="1">
        <v>30</v>
      </c>
      <c r="C2088" s="12">
        <f t="shared" si="288"/>
        <v>1.125</v>
      </c>
      <c r="D2088" s="12">
        <f t="shared" si="289"/>
        <v>0.375</v>
      </c>
      <c r="E2088" s="12">
        <f t="shared" si="290"/>
        <v>11.071111537777776</v>
      </c>
      <c r="F2088" s="12">
        <f t="shared" si="291"/>
        <v>11.071111537777776</v>
      </c>
      <c r="G2088" s="12">
        <f t="shared" si="292"/>
        <v>14.503554133333331</v>
      </c>
      <c r="H2088" s="12">
        <f t="shared" si="293"/>
        <v>14.503554133333331</v>
      </c>
      <c r="I2088" s="1" t="str">
        <f t="shared" si="294"/>
        <v>No</v>
      </c>
      <c r="J2088" s="1" t="str">
        <f t="shared" si="295"/>
        <v>Si</v>
      </c>
      <c r="K2088" s="1" t="str">
        <f t="shared" si="296"/>
        <v/>
      </c>
    </row>
    <row r="2089" spans="1:11" x14ac:dyDescent="0.3">
      <c r="A2089" s="1">
        <v>40</v>
      </c>
      <c r="B2089" s="1">
        <v>31</v>
      </c>
      <c r="C2089" s="12">
        <f t="shared" si="288"/>
        <v>1.125</v>
      </c>
      <c r="D2089" s="12">
        <f t="shared" si="289"/>
        <v>0.45000000000000018</v>
      </c>
      <c r="E2089" s="12">
        <f t="shared" si="290"/>
        <v>11.068623445333332</v>
      </c>
      <c r="F2089" s="12">
        <f t="shared" si="291"/>
        <v>11.068623445333332</v>
      </c>
      <c r="G2089" s="12">
        <f t="shared" si="292"/>
        <v>14.500049777777777</v>
      </c>
      <c r="H2089" s="12">
        <f t="shared" si="293"/>
        <v>14.500049777777777</v>
      </c>
      <c r="I2089" s="1" t="str">
        <f t="shared" si="294"/>
        <v>No</v>
      </c>
      <c r="J2089" s="1" t="str">
        <f t="shared" si="295"/>
        <v>Si</v>
      </c>
      <c r="K2089" s="1" t="str">
        <f t="shared" si="296"/>
        <v/>
      </c>
    </row>
    <row r="2090" spans="1:11" x14ac:dyDescent="0.3">
      <c r="A2090" s="1">
        <v>40</v>
      </c>
      <c r="B2090" s="1">
        <v>32</v>
      </c>
      <c r="C2090" s="12">
        <f t="shared" si="288"/>
        <v>1.125</v>
      </c>
      <c r="D2090" s="12">
        <f t="shared" si="289"/>
        <v>0.52499999999999991</v>
      </c>
      <c r="E2090" s="12">
        <f t="shared" si="290"/>
        <v>11.066135352888889</v>
      </c>
      <c r="F2090" s="12">
        <f t="shared" si="291"/>
        <v>11.066135352888889</v>
      </c>
      <c r="G2090" s="12">
        <f t="shared" si="292"/>
        <v>14.496545422222221</v>
      </c>
      <c r="H2090" s="12">
        <f t="shared" si="293"/>
        <v>14.496545422222221</v>
      </c>
      <c r="I2090" s="1" t="str">
        <f t="shared" si="294"/>
        <v>No</v>
      </c>
      <c r="J2090" s="1" t="str">
        <f t="shared" si="295"/>
        <v>Si</v>
      </c>
      <c r="K2090" s="1" t="str">
        <f t="shared" si="296"/>
        <v/>
      </c>
    </row>
    <row r="2091" spans="1:11" x14ac:dyDescent="0.3">
      <c r="A2091" s="1">
        <v>40</v>
      </c>
      <c r="B2091" s="1">
        <v>33</v>
      </c>
      <c r="C2091" s="12">
        <f t="shared" si="288"/>
        <v>1.125</v>
      </c>
      <c r="D2091" s="12">
        <f t="shared" si="289"/>
        <v>0.60000000000000009</v>
      </c>
      <c r="E2091" s="12">
        <f t="shared" si="290"/>
        <v>11.063647260444444</v>
      </c>
      <c r="F2091" s="12">
        <f t="shared" si="291"/>
        <v>11.063647260444444</v>
      </c>
      <c r="G2091" s="12">
        <f t="shared" si="292"/>
        <v>14.493041066666665</v>
      </c>
      <c r="H2091" s="12">
        <f t="shared" si="293"/>
        <v>14.493041066666665</v>
      </c>
      <c r="I2091" s="1" t="str">
        <f t="shared" si="294"/>
        <v>No</v>
      </c>
      <c r="J2091" s="1" t="str">
        <f t="shared" si="295"/>
        <v>Si</v>
      </c>
      <c r="K2091" s="1" t="str">
        <f t="shared" si="296"/>
        <v/>
      </c>
    </row>
    <row r="2092" spans="1:11" x14ac:dyDescent="0.3">
      <c r="A2092" s="1">
        <v>40</v>
      </c>
      <c r="B2092" s="1">
        <v>34</v>
      </c>
      <c r="C2092" s="12">
        <f t="shared" si="288"/>
        <v>1.125</v>
      </c>
      <c r="D2092" s="12">
        <f t="shared" si="289"/>
        <v>0.67499999999999982</v>
      </c>
      <c r="E2092" s="12">
        <f t="shared" si="290"/>
        <v>11.061159168</v>
      </c>
      <c r="F2092" s="12">
        <f t="shared" si="291"/>
        <v>11.061159168</v>
      </c>
      <c r="G2092" s="12">
        <f t="shared" si="292"/>
        <v>14.489536711111111</v>
      </c>
      <c r="H2092" s="12">
        <f t="shared" si="293"/>
        <v>14.489536711111111</v>
      </c>
      <c r="I2092" s="1" t="str">
        <f t="shared" si="294"/>
        <v>No</v>
      </c>
      <c r="J2092" s="1" t="str">
        <f t="shared" si="295"/>
        <v>Si</v>
      </c>
      <c r="K2092" s="1" t="str">
        <f t="shared" si="296"/>
        <v/>
      </c>
    </row>
    <row r="2093" spans="1:11" x14ac:dyDescent="0.3">
      <c r="A2093" s="1">
        <v>40</v>
      </c>
      <c r="B2093" s="1">
        <v>35</v>
      </c>
      <c r="C2093" s="12">
        <f t="shared" si="288"/>
        <v>1.125</v>
      </c>
      <c r="D2093" s="12">
        <f t="shared" si="289"/>
        <v>0.75</v>
      </c>
      <c r="E2093" s="12">
        <f t="shared" si="290"/>
        <v>11.058671075555555</v>
      </c>
      <c r="F2093" s="12">
        <f t="shared" si="291"/>
        <v>11.058671075555555</v>
      </c>
      <c r="G2093" s="12">
        <f t="shared" si="292"/>
        <v>14.486032355555555</v>
      </c>
      <c r="H2093" s="12">
        <f t="shared" si="293"/>
        <v>14.486032355555555</v>
      </c>
      <c r="I2093" s="1" t="str">
        <f t="shared" si="294"/>
        <v>No</v>
      </c>
      <c r="J2093" s="1" t="str">
        <f t="shared" si="295"/>
        <v>Si</v>
      </c>
      <c r="K2093" s="1" t="str">
        <f t="shared" si="296"/>
        <v/>
      </c>
    </row>
    <row r="2094" spans="1:11" x14ac:dyDescent="0.3">
      <c r="A2094" s="1">
        <v>40</v>
      </c>
      <c r="B2094" s="1">
        <v>36</v>
      </c>
      <c r="C2094" s="12">
        <f t="shared" si="288"/>
        <v>1.125</v>
      </c>
      <c r="D2094" s="12">
        <f t="shared" si="289"/>
        <v>0.82500000000000018</v>
      </c>
      <c r="E2094" s="12">
        <f t="shared" si="290"/>
        <v>11.05618298311111</v>
      </c>
      <c r="F2094" s="12">
        <f t="shared" si="291"/>
        <v>11.05618298311111</v>
      </c>
      <c r="G2094" s="12">
        <f t="shared" si="292"/>
        <v>14.482527999999999</v>
      </c>
      <c r="H2094" s="12">
        <f t="shared" si="293"/>
        <v>14.482527999999999</v>
      </c>
      <c r="I2094" s="1" t="str">
        <f t="shared" si="294"/>
        <v>No</v>
      </c>
      <c r="J2094" s="1" t="str">
        <f t="shared" si="295"/>
        <v>Si</v>
      </c>
      <c r="K2094" s="1" t="str">
        <f t="shared" si="296"/>
        <v/>
      </c>
    </row>
    <row r="2095" spans="1:11" x14ac:dyDescent="0.3">
      <c r="A2095" s="1">
        <v>40</v>
      </c>
      <c r="B2095" s="1">
        <v>37</v>
      </c>
      <c r="C2095" s="12">
        <f t="shared" si="288"/>
        <v>1.125</v>
      </c>
      <c r="D2095" s="12">
        <f t="shared" si="289"/>
        <v>0.89999999999999991</v>
      </c>
      <c r="E2095" s="12">
        <f t="shared" si="290"/>
        <v>11.053694890666666</v>
      </c>
      <c r="F2095" s="12">
        <f t="shared" si="291"/>
        <v>11.053694890666666</v>
      </c>
      <c r="G2095" s="12">
        <f t="shared" si="292"/>
        <v>14.479023644444442</v>
      </c>
      <c r="H2095" s="12">
        <f t="shared" si="293"/>
        <v>14.479023644444442</v>
      </c>
      <c r="I2095" s="1" t="str">
        <f t="shared" si="294"/>
        <v>No</v>
      </c>
      <c r="J2095" s="1" t="str">
        <f t="shared" si="295"/>
        <v>Si</v>
      </c>
      <c r="K2095" s="1" t="str">
        <f t="shared" si="296"/>
        <v/>
      </c>
    </row>
    <row r="2096" spans="1:11" x14ac:dyDescent="0.3">
      <c r="A2096" s="1">
        <v>40</v>
      </c>
      <c r="B2096" s="1">
        <v>38</v>
      </c>
      <c r="C2096" s="12">
        <f t="shared" si="288"/>
        <v>1.125</v>
      </c>
      <c r="D2096" s="12">
        <f t="shared" si="289"/>
        <v>0.97500000000000009</v>
      </c>
      <c r="E2096" s="12">
        <f t="shared" si="290"/>
        <v>11.051206798222221</v>
      </c>
      <c r="F2096" s="12">
        <f t="shared" si="291"/>
        <v>11.051206798222221</v>
      </c>
      <c r="G2096" s="12">
        <f t="shared" si="292"/>
        <v>14.475519288888888</v>
      </c>
      <c r="H2096" s="12">
        <f t="shared" si="293"/>
        <v>14.475519288888888</v>
      </c>
      <c r="I2096" s="1" t="str">
        <f t="shared" si="294"/>
        <v>No</v>
      </c>
      <c r="J2096" s="1" t="str">
        <f t="shared" si="295"/>
        <v>Si</v>
      </c>
      <c r="K2096" s="1" t="str">
        <f t="shared" si="296"/>
        <v/>
      </c>
    </row>
    <row r="2097" spans="1:11" x14ac:dyDescent="0.3">
      <c r="A2097" s="1">
        <v>40</v>
      </c>
      <c r="B2097" s="1">
        <v>39</v>
      </c>
      <c r="C2097" s="12">
        <f t="shared" si="288"/>
        <v>1.125</v>
      </c>
      <c r="D2097" s="12">
        <f t="shared" si="289"/>
        <v>1.0499999999999998</v>
      </c>
      <c r="E2097" s="12">
        <f t="shared" si="290"/>
        <v>11.048718705777777</v>
      </c>
      <c r="F2097" s="12">
        <f t="shared" si="291"/>
        <v>11.048718705777777</v>
      </c>
      <c r="G2097" s="12">
        <f t="shared" si="292"/>
        <v>14.472014933333332</v>
      </c>
      <c r="H2097" s="12">
        <f t="shared" si="293"/>
        <v>14.472014933333332</v>
      </c>
      <c r="I2097" s="1" t="str">
        <f t="shared" si="294"/>
        <v>No</v>
      </c>
      <c r="J2097" s="1" t="str">
        <f t="shared" si="295"/>
        <v>Si</v>
      </c>
      <c r="K2097" s="1" t="str">
        <f t="shared" si="296"/>
        <v/>
      </c>
    </row>
    <row r="2098" spans="1:11" x14ac:dyDescent="0.3">
      <c r="A2098" s="1">
        <v>40</v>
      </c>
      <c r="B2098" s="1">
        <v>40</v>
      </c>
      <c r="C2098" s="12">
        <f t="shared" si="288"/>
        <v>1.125</v>
      </c>
      <c r="D2098" s="12">
        <f t="shared" si="289"/>
        <v>1.125</v>
      </c>
      <c r="E2098" s="12">
        <f t="shared" si="290"/>
        <v>11.046230613333332</v>
      </c>
      <c r="F2098" s="12">
        <f t="shared" si="291"/>
        <v>11.046230613333332</v>
      </c>
      <c r="G2098" s="12">
        <f t="shared" si="292"/>
        <v>14.468510577777776</v>
      </c>
      <c r="H2098" s="12">
        <f t="shared" si="293"/>
        <v>14.468510577777776</v>
      </c>
      <c r="I2098" s="1" t="str">
        <f t="shared" si="294"/>
        <v>No</v>
      </c>
      <c r="J2098" s="1" t="str">
        <f t="shared" si="295"/>
        <v>Si</v>
      </c>
      <c r="K2098" s="1" t="str">
        <f t="shared" si="296"/>
        <v/>
      </c>
    </row>
    <row r="2099" spans="1:11" x14ac:dyDescent="0.3">
      <c r="A2099" s="1">
        <v>40</v>
      </c>
      <c r="B2099" s="1">
        <v>41</v>
      </c>
      <c r="C2099" s="12">
        <f t="shared" si="288"/>
        <v>1.125</v>
      </c>
      <c r="D2099" s="12">
        <f t="shared" si="289"/>
        <v>1.2000000000000002</v>
      </c>
      <c r="E2099" s="12">
        <f t="shared" si="290"/>
        <v>11.043742520888888</v>
      </c>
      <c r="F2099" s="12">
        <f t="shared" si="291"/>
        <v>11.043742520888888</v>
      </c>
      <c r="G2099" s="12">
        <f t="shared" si="292"/>
        <v>14.465006222222222</v>
      </c>
      <c r="H2099" s="12">
        <f t="shared" si="293"/>
        <v>14.465006222222222</v>
      </c>
      <c r="I2099" s="1" t="str">
        <f t="shared" si="294"/>
        <v>No</v>
      </c>
      <c r="J2099" s="1" t="str">
        <f t="shared" si="295"/>
        <v>Si</v>
      </c>
      <c r="K2099" s="1" t="str">
        <f t="shared" si="296"/>
        <v/>
      </c>
    </row>
    <row r="2100" spans="1:11" x14ac:dyDescent="0.3">
      <c r="A2100" s="1">
        <v>40</v>
      </c>
      <c r="B2100" s="1">
        <v>42</v>
      </c>
      <c r="C2100" s="12">
        <f t="shared" si="288"/>
        <v>1.125</v>
      </c>
      <c r="D2100" s="12">
        <f t="shared" si="289"/>
        <v>1.2749999999999999</v>
      </c>
      <c r="E2100" s="12">
        <f t="shared" si="290"/>
        <v>11.041254428444443</v>
      </c>
      <c r="F2100" s="12">
        <f t="shared" si="291"/>
        <v>11.041254428444443</v>
      </c>
      <c r="G2100" s="12">
        <f t="shared" si="292"/>
        <v>14.461501866666666</v>
      </c>
      <c r="H2100" s="12">
        <f t="shared" si="293"/>
        <v>14.461501866666666</v>
      </c>
      <c r="I2100" s="1" t="str">
        <f t="shared" si="294"/>
        <v>No</v>
      </c>
      <c r="J2100" s="1" t="str">
        <f t="shared" si="295"/>
        <v>Si</v>
      </c>
      <c r="K2100" s="1" t="str">
        <f t="shared" si="296"/>
        <v/>
      </c>
    </row>
    <row r="2101" spans="1:11" x14ac:dyDescent="0.3">
      <c r="A2101" s="1">
        <v>40</v>
      </c>
      <c r="B2101" s="1">
        <v>43</v>
      </c>
      <c r="C2101" s="12">
        <f t="shared" si="288"/>
        <v>1.125</v>
      </c>
      <c r="D2101" s="12">
        <f t="shared" si="289"/>
        <v>1.35</v>
      </c>
      <c r="E2101" s="12">
        <f t="shared" si="290"/>
        <v>11.038766335999998</v>
      </c>
      <c r="F2101" s="12">
        <f t="shared" si="291"/>
        <v>11.038766335999998</v>
      </c>
      <c r="G2101" s="12">
        <f t="shared" si="292"/>
        <v>14.45799751111111</v>
      </c>
      <c r="H2101" s="12">
        <f t="shared" si="293"/>
        <v>14.45799751111111</v>
      </c>
      <c r="I2101" s="1" t="str">
        <f t="shared" si="294"/>
        <v>No</v>
      </c>
      <c r="J2101" s="1" t="str">
        <f t="shared" si="295"/>
        <v>Si</v>
      </c>
      <c r="K2101" s="1" t="str">
        <f t="shared" si="296"/>
        <v/>
      </c>
    </row>
    <row r="2102" spans="1:11" x14ac:dyDescent="0.3">
      <c r="A2102" s="1">
        <v>40</v>
      </c>
      <c r="B2102" s="1">
        <v>44</v>
      </c>
      <c r="C2102" s="12">
        <f t="shared" si="288"/>
        <v>1.125</v>
      </c>
      <c r="D2102" s="12">
        <f t="shared" si="289"/>
        <v>1.4249999999999998</v>
      </c>
      <c r="E2102" s="12">
        <f t="shared" si="290"/>
        <v>11.036278243555556</v>
      </c>
      <c r="F2102" s="12">
        <f t="shared" si="291"/>
        <v>11.036278243555556</v>
      </c>
      <c r="G2102" s="12">
        <f t="shared" si="292"/>
        <v>14.454493155555554</v>
      </c>
      <c r="H2102" s="12">
        <f t="shared" si="293"/>
        <v>14.454493155555554</v>
      </c>
      <c r="I2102" s="1" t="str">
        <f t="shared" si="294"/>
        <v>No</v>
      </c>
      <c r="J2102" s="1" t="str">
        <f t="shared" si="295"/>
        <v>Si</v>
      </c>
      <c r="K2102" s="1" t="str">
        <f t="shared" si="296"/>
        <v/>
      </c>
    </row>
    <row r="2103" spans="1:11" x14ac:dyDescent="0.3">
      <c r="A2103" s="1">
        <v>40</v>
      </c>
      <c r="B2103" s="1">
        <v>45</v>
      </c>
      <c r="C2103" s="12">
        <f t="shared" si="288"/>
        <v>1.125</v>
      </c>
      <c r="D2103" s="12">
        <f t="shared" si="289"/>
        <v>1.5</v>
      </c>
      <c r="E2103" s="12">
        <f t="shared" si="290"/>
        <v>11.033790151111111</v>
      </c>
      <c r="F2103" s="12">
        <f t="shared" si="291"/>
        <v>11.033790151111111</v>
      </c>
      <c r="G2103" s="12">
        <f t="shared" si="292"/>
        <v>14.450988799999999</v>
      </c>
      <c r="H2103" s="12">
        <f t="shared" si="293"/>
        <v>14.450988799999999</v>
      </c>
      <c r="I2103" s="1" t="str">
        <f t="shared" si="294"/>
        <v>No</v>
      </c>
      <c r="J2103" s="1" t="str">
        <f t="shared" si="295"/>
        <v>Si</v>
      </c>
      <c r="K2103" s="1" t="str">
        <f t="shared" si="296"/>
        <v/>
      </c>
    </row>
    <row r="2104" spans="1:11" x14ac:dyDescent="0.3">
      <c r="A2104" s="1">
        <v>40</v>
      </c>
      <c r="B2104" s="1">
        <v>46</v>
      </c>
      <c r="C2104" s="12">
        <f t="shared" si="288"/>
        <v>1.125</v>
      </c>
      <c r="D2104" s="12">
        <f t="shared" si="289"/>
        <v>1.5750000000000002</v>
      </c>
      <c r="E2104" s="12">
        <f t="shared" si="290"/>
        <v>11.031302058666666</v>
      </c>
      <c r="F2104" s="12">
        <f t="shared" si="291"/>
        <v>11.031302058666666</v>
      </c>
      <c r="G2104" s="12">
        <f t="shared" si="292"/>
        <v>14.447484444444443</v>
      </c>
      <c r="H2104" s="12">
        <f t="shared" si="293"/>
        <v>14.447484444444443</v>
      </c>
      <c r="I2104" s="1" t="str">
        <f t="shared" si="294"/>
        <v>No</v>
      </c>
      <c r="J2104" s="1" t="str">
        <f t="shared" si="295"/>
        <v>Si</v>
      </c>
      <c r="K2104" s="1" t="str">
        <f t="shared" si="296"/>
        <v/>
      </c>
    </row>
    <row r="2105" spans="1:11" x14ac:dyDescent="0.3">
      <c r="A2105" s="1">
        <v>40</v>
      </c>
      <c r="B2105" s="1">
        <v>47</v>
      </c>
      <c r="C2105" s="12">
        <f t="shared" si="288"/>
        <v>1.125</v>
      </c>
      <c r="D2105" s="12">
        <f t="shared" si="289"/>
        <v>1.65</v>
      </c>
      <c r="E2105" s="12">
        <f t="shared" si="290"/>
        <v>11.028813966222222</v>
      </c>
      <c r="F2105" s="12">
        <f t="shared" si="291"/>
        <v>11.028813966222222</v>
      </c>
      <c r="G2105" s="12">
        <f t="shared" si="292"/>
        <v>14.443980088888887</v>
      </c>
      <c r="H2105" s="12">
        <f t="shared" si="293"/>
        <v>14.443980088888887</v>
      </c>
      <c r="I2105" s="1" t="str">
        <f t="shared" si="294"/>
        <v>No</v>
      </c>
      <c r="J2105" s="1" t="str">
        <f t="shared" si="295"/>
        <v>Si</v>
      </c>
      <c r="K2105" s="1" t="str">
        <f t="shared" si="296"/>
        <v/>
      </c>
    </row>
    <row r="2106" spans="1:11" x14ac:dyDescent="0.3">
      <c r="A2106" s="1">
        <v>40</v>
      </c>
      <c r="B2106" s="1">
        <v>48</v>
      </c>
      <c r="C2106" s="12">
        <f t="shared" si="288"/>
        <v>1.125</v>
      </c>
      <c r="D2106" s="12">
        <f t="shared" si="289"/>
        <v>1.7250000000000001</v>
      </c>
      <c r="E2106" s="12">
        <f t="shared" si="290"/>
        <v>11.026325873777777</v>
      </c>
      <c r="F2106" s="12">
        <f t="shared" si="291"/>
        <v>11.026325873777777</v>
      </c>
      <c r="G2106" s="12">
        <f t="shared" si="292"/>
        <v>14.440475733333333</v>
      </c>
      <c r="H2106" s="12">
        <f t="shared" si="293"/>
        <v>14.440475733333333</v>
      </c>
      <c r="I2106" s="1" t="str">
        <f t="shared" si="294"/>
        <v>No</v>
      </c>
      <c r="J2106" s="1" t="str">
        <f t="shared" si="295"/>
        <v>Si</v>
      </c>
      <c r="K2106" s="1" t="str">
        <f t="shared" si="296"/>
        <v/>
      </c>
    </row>
    <row r="2107" spans="1:11" x14ac:dyDescent="0.3">
      <c r="A2107" s="1">
        <v>40</v>
      </c>
      <c r="B2107" s="1">
        <v>49</v>
      </c>
      <c r="C2107" s="12">
        <f t="shared" si="288"/>
        <v>1.125</v>
      </c>
      <c r="D2107" s="12">
        <f t="shared" si="289"/>
        <v>1.7999999999999998</v>
      </c>
      <c r="E2107" s="12">
        <f t="shared" si="290"/>
        <v>11.023837781333333</v>
      </c>
      <c r="F2107" s="12">
        <f t="shared" si="291"/>
        <v>11.023837781333333</v>
      </c>
      <c r="G2107" s="12">
        <f t="shared" si="292"/>
        <v>14.436971377777777</v>
      </c>
      <c r="H2107" s="12">
        <f t="shared" si="293"/>
        <v>14.436971377777777</v>
      </c>
      <c r="I2107" s="1" t="str">
        <f t="shared" si="294"/>
        <v>No</v>
      </c>
      <c r="J2107" s="1" t="str">
        <f t="shared" si="295"/>
        <v>Si</v>
      </c>
      <c r="K2107" s="1" t="str">
        <f t="shared" si="296"/>
        <v/>
      </c>
    </row>
    <row r="2108" spans="1:11" x14ac:dyDescent="0.3">
      <c r="A2108" s="1">
        <v>40</v>
      </c>
      <c r="B2108" s="1">
        <v>50</v>
      </c>
      <c r="C2108" s="12">
        <f t="shared" si="288"/>
        <v>1.125</v>
      </c>
      <c r="D2108" s="12">
        <f t="shared" si="289"/>
        <v>1.875</v>
      </c>
      <c r="E2108" s="12">
        <f t="shared" si="290"/>
        <v>11.021349688888888</v>
      </c>
      <c r="F2108" s="12">
        <f t="shared" si="291"/>
        <v>11.021349688888888</v>
      </c>
      <c r="G2108" s="12">
        <f t="shared" si="292"/>
        <v>14.433467022222221</v>
      </c>
      <c r="H2108" s="12">
        <f t="shared" si="293"/>
        <v>14.433467022222221</v>
      </c>
      <c r="I2108" s="1" t="str">
        <f t="shared" si="294"/>
        <v>No</v>
      </c>
      <c r="J2108" s="1" t="str">
        <f t="shared" si="295"/>
        <v>Si</v>
      </c>
      <c r="K2108" s="1" t="str">
        <f t="shared" si="296"/>
        <v/>
      </c>
    </row>
    <row r="2109" spans="1:11" x14ac:dyDescent="0.3">
      <c r="A2109" s="1">
        <v>41</v>
      </c>
      <c r="B2109" s="1">
        <v>0</v>
      </c>
      <c r="C2109" s="12">
        <f t="shared" si="288"/>
        <v>1.2000000000000002</v>
      </c>
      <c r="D2109" s="12">
        <f t="shared" si="289"/>
        <v>-1.875</v>
      </c>
      <c r="E2109" s="12">
        <f t="shared" si="290"/>
        <v>11.146448355555554</v>
      </c>
      <c r="F2109" s="12">
        <f t="shared" si="291"/>
        <v>11.146448355555554</v>
      </c>
      <c r="G2109" s="12">
        <f t="shared" si="292"/>
        <v>14.609722453333333</v>
      </c>
      <c r="H2109" s="12">
        <f t="shared" si="293"/>
        <v>14.609722453333333</v>
      </c>
      <c r="I2109" s="1" t="str">
        <f t="shared" si="294"/>
        <v>No</v>
      </c>
      <c r="J2109" s="1" t="str">
        <f t="shared" si="295"/>
        <v>Si</v>
      </c>
      <c r="K2109" s="1" t="str">
        <f t="shared" si="296"/>
        <v/>
      </c>
    </row>
    <row r="2110" spans="1:11" x14ac:dyDescent="0.3">
      <c r="A2110" s="1">
        <v>41</v>
      </c>
      <c r="B2110" s="1">
        <v>1</v>
      </c>
      <c r="C2110" s="12">
        <f t="shared" si="288"/>
        <v>1.2000000000000002</v>
      </c>
      <c r="D2110" s="12">
        <f t="shared" si="289"/>
        <v>-1.8</v>
      </c>
      <c r="E2110" s="12">
        <f t="shared" si="290"/>
        <v>11.14396026311111</v>
      </c>
      <c r="F2110" s="12">
        <f t="shared" si="291"/>
        <v>11.14396026311111</v>
      </c>
      <c r="G2110" s="12">
        <f t="shared" si="292"/>
        <v>14.606218097777777</v>
      </c>
      <c r="H2110" s="12">
        <f t="shared" si="293"/>
        <v>14.606218097777777</v>
      </c>
      <c r="I2110" s="1" t="str">
        <f t="shared" si="294"/>
        <v>No</v>
      </c>
      <c r="J2110" s="1" t="str">
        <f t="shared" si="295"/>
        <v>Si</v>
      </c>
      <c r="K2110" s="1" t="str">
        <f t="shared" si="296"/>
        <v/>
      </c>
    </row>
    <row r="2111" spans="1:11" x14ac:dyDescent="0.3">
      <c r="A2111" s="1">
        <v>41</v>
      </c>
      <c r="B2111" s="1">
        <v>2</v>
      </c>
      <c r="C2111" s="12">
        <f t="shared" si="288"/>
        <v>1.2000000000000002</v>
      </c>
      <c r="D2111" s="12">
        <f t="shared" si="289"/>
        <v>-1.7250000000000001</v>
      </c>
      <c r="E2111" s="12">
        <f t="shared" si="290"/>
        <v>11.141472170666665</v>
      </c>
      <c r="F2111" s="12">
        <f t="shared" si="291"/>
        <v>11.141472170666665</v>
      </c>
      <c r="G2111" s="12">
        <f t="shared" si="292"/>
        <v>14.602713742222221</v>
      </c>
      <c r="H2111" s="12">
        <f t="shared" si="293"/>
        <v>14.602713742222221</v>
      </c>
      <c r="I2111" s="1" t="str">
        <f t="shared" si="294"/>
        <v>No</v>
      </c>
      <c r="J2111" s="1" t="str">
        <f t="shared" si="295"/>
        <v>Si</v>
      </c>
      <c r="K2111" s="1" t="str">
        <f t="shared" si="296"/>
        <v/>
      </c>
    </row>
    <row r="2112" spans="1:11" x14ac:dyDescent="0.3">
      <c r="A2112" s="1">
        <v>41</v>
      </c>
      <c r="B2112" s="1">
        <v>3</v>
      </c>
      <c r="C2112" s="12">
        <f t="shared" si="288"/>
        <v>1.2000000000000002</v>
      </c>
      <c r="D2112" s="12">
        <f t="shared" si="289"/>
        <v>-1.65</v>
      </c>
      <c r="E2112" s="12">
        <f t="shared" si="290"/>
        <v>11.13898407822222</v>
      </c>
      <c r="F2112" s="12">
        <f t="shared" si="291"/>
        <v>11.13898407822222</v>
      </c>
      <c r="G2112" s="12">
        <f t="shared" si="292"/>
        <v>14.599209386666667</v>
      </c>
      <c r="H2112" s="12">
        <f t="shared" si="293"/>
        <v>14.599209386666667</v>
      </c>
      <c r="I2112" s="1" t="str">
        <f t="shared" si="294"/>
        <v>No</v>
      </c>
      <c r="J2112" s="1" t="str">
        <f t="shared" si="295"/>
        <v>Si</v>
      </c>
      <c r="K2112" s="1" t="str">
        <f t="shared" si="296"/>
        <v/>
      </c>
    </row>
    <row r="2113" spans="1:11" x14ac:dyDescent="0.3">
      <c r="A2113" s="1">
        <v>41</v>
      </c>
      <c r="B2113" s="1">
        <v>4</v>
      </c>
      <c r="C2113" s="12">
        <f t="shared" si="288"/>
        <v>1.2000000000000002</v>
      </c>
      <c r="D2113" s="12">
        <f t="shared" si="289"/>
        <v>-1.575</v>
      </c>
      <c r="E2113" s="12">
        <f t="shared" si="290"/>
        <v>11.136495985777776</v>
      </c>
      <c r="F2113" s="12">
        <f t="shared" si="291"/>
        <v>11.136495985777776</v>
      </c>
      <c r="G2113" s="12">
        <f t="shared" si="292"/>
        <v>14.595705031111111</v>
      </c>
      <c r="H2113" s="12">
        <f t="shared" si="293"/>
        <v>14.595705031111111</v>
      </c>
      <c r="I2113" s="1" t="str">
        <f t="shared" si="294"/>
        <v>No</v>
      </c>
      <c r="J2113" s="1" t="str">
        <f t="shared" si="295"/>
        <v>Si</v>
      </c>
      <c r="K2113" s="1" t="str">
        <f t="shared" si="296"/>
        <v/>
      </c>
    </row>
    <row r="2114" spans="1:11" x14ac:dyDescent="0.3">
      <c r="A2114" s="1">
        <v>41</v>
      </c>
      <c r="B2114" s="1">
        <v>5</v>
      </c>
      <c r="C2114" s="12">
        <f t="shared" si="288"/>
        <v>1.2000000000000002</v>
      </c>
      <c r="D2114" s="12">
        <f t="shared" si="289"/>
        <v>-1.5</v>
      </c>
      <c r="E2114" s="12">
        <f t="shared" si="290"/>
        <v>11.134007893333331</v>
      </c>
      <c r="F2114" s="12">
        <f t="shared" si="291"/>
        <v>11.134007893333331</v>
      </c>
      <c r="G2114" s="12">
        <f t="shared" si="292"/>
        <v>14.592200675555555</v>
      </c>
      <c r="H2114" s="12">
        <f t="shared" si="293"/>
        <v>14.592200675555555</v>
      </c>
      <c r="I2114" s="1" t="str">
        <f t="shared" si="294"/>
        <v>No</v>
      </c>
      <c r="J2114" s="1" t="str">
        <f t="shared" si="295"/>
        <v>Si</v>
      </c>
      <c r="K2114" s="1" t="str">
        <f t="shared" si="296"/>
        <v/>
      </c>
    </row>
    <row r="2115" spans="1:11" x14ac:dyDescent="0.3">
      <c r="A2115" s="1">
        <v>41</v>
      </c>
      <c r="B2115" s="1">
        <v>6</v>
      </c>
      <c r="C2115" s="12">
        <f t="shared" si="288"/>
        <v>1.2000000000000002</v>
      </c>
      <c r="D2115" s="12">
        <f t="shared" si="289"/>
        <v>-1.425</v>
      </c>
      <c r="E2115" s="12">
        <f t="shared" si="290"/>
        <v>11.131519800888887</v>
      </c>
      <c r="F2115" s="12">
        <f t="shared" si="291"/>
        <v>11.131519800888887</v>
      </c>
      <c r="G2115" s="12">
        <f t="shared" si="292"/>
        <v>14.58869632</v>
      </c>
      <c r="H2115" s="12">
        <f t="shared" si="293"/>
        <v>14.58869632</v>
      </c>
      <c r="I2115" s="1" t="str">
        <f t="shared" si="294"/>
        <v>No</v>
      </c>
      <c r="J2115" s="1" t="str">
        <f t="shared" si="295"/>
        <v>Si</v>
      </c>
      <c r="K2115" s="1" t="str">
        <f t="shared" si="296"/>
        <v/>
      </c>
    </row>
    <row r="2116" spans="1:11" x14ac:dyDescent="0.3">
      <c r="A2116" s="1">
        <v>41</v>
      </c>
      <c r="B2116" s="1">
        <v>7</v>
      </c>
      <c r="C2116" s="12">
        <f t="shared" si="288"/>
        <v>1.2000000000000002</v>
      </c>
      <c r="D2116" s="12">
        <f t="shared" si="289"/>
        <v>-1.35</v>
      </c>
      <c r="E2116" s="12">
        <f t="shared" si="290"/>
        <v>11.129031708444444</v>
      </c>
      <c r="F2116" s="12">
        <f t="shared" si="291"/>
        <v>11.129031708444444</v>
      </c>
      <c r="G2116" s="12">
        <f t="shared" si="292"/>
        <v>14.585191964444444</v>
      </c>
      <c r="H2116" s="12">
        <f t="shared" si="293"/>
        <v>14.585191964444444</v>
      </c>
      <c r="I2116" s="1" t="str">
        <f t="shared" si="294"/>
        <v>No</v>
      </c>
      <c r="J2116" s="1" t="str">
        <f t="shared" si="295"/>
        <v>Si</v>
      </c>
      <c r="K2116" s="1" t="str">
        <f t="shared" si="296"/>
        <v/>
      </c>
    </row>
    <row r="2117" spans="1:11" x14ac:dyDescent="0.3">
      <c r="A2117" s="1">
        <v>41</v>
      </c>
      <c r="B2117" s="1">
        <v>8</v>
      </c>
      <c r="C2117" s="12">
        <f t="shared" si="288"/>
        <v>1.2000000000000002</v>
      </c>
      <c r="D2117" s="12">
        <f t="shared" si="289"/>
        <v>-1.2749999999999999</v>
      </c>
      <c r="E2117" s="12">
        <f t="shared" si="290"/>
        <v>11.126543615999999</v>
      </c>
      <c r="F2117" s="12">
        <f t="shared" si="291"/>
        <v>11.126543615999999</v>
      </c>
      <c r="G2117" s="12">
        <f t="shared" si="292"/>
        <v>14.581687608888888</v>
      </c>
      <c r="H2117" s="12">
        <f t="shared" si="293"/>
        <v>14.581687608888888</v>
      </c>
      <c r="I2117" s="1" t="str">
        <f t="shared" si="294"/>
        <v>No</v>
      </c>
      <c r="J2117" s="1" t="str">
        <f t="shared" si="295"/>
        <v>Si</v>
      </c>
      <c r="K2117" s="1" t="str">
        <f t="shared" si="296"/>
        <v/>
      </c>
    </row>
    <row r="2118" spans="1:11" x14ac:dyDescent="0.3">
      <c r="A2118" s="1">
        <v>41</v>
      </c>
      <c r="B2118" s="1">
        <v>9</v>
      </c>
      <c r="C2118" s="12">
        <f t="shared" si="288"/>
        <v>1.2000000000000002</v>
      </c>
      <c r="D2118" s="12">
        <f t="shared" si="289"/>
        <v>-1.2</v>
      </c>
      <c r="E2118" s="12">
        <f t="shared" si="290"/>
        <v>11.124055523555555</v>
      </c>
      <c r="F2118" s="12">
        <f t="shared" si="291"/>
        <v>11.124055523555555</v>
      </c>
      <c r="G2118" s="12">
        <f t="shared" si="292"/>
        <v>14.578183253333332</v>
      </c>
      <c r="H2118" s="12">
        <f t="shared" si="293"/>
        <v>14.578183253333332</v>
      </c>
      <c r="I2118" s="1" t="str">
        <f t="shared" si="294"/>
        <v>No</v>
      </c>
      <c r="J2118" s="1" t="str">
        <f t="shared" si="295"/>
        <v>Si</v>
      </c>
      <c r="K2118" s="1" t="str">
        <f t="shared" si="296"/>
        <v/>
      </c>
    </row>
    <row r="2119" spans="1:11" x14ac:dyDescent="0.3">
      <c r="A2119" s="1">
        <v>41</v>
      </c>
      <c r="B2119" s="1">
        <v>10</v>
      </c>
      <c r="C2119" s="12">
        <f t="shared" si="288"/>
        <v>1.2000000000000002</v>
      </c>
      <c r="D2119" s="12">
        <f t="shared" si="289"/>
        <v>-1.125</v>
      </c>
      <c r="E2119" s="12">
        <f t="shared" si="290"/>
        <v>11.12156743111111</v>
      </c>
      <c r="F2119" s="12">
        <f t="shared" si="291"/>
        <v>11.12156743111111</v>
      </c>
      <c r="G2119" s="12">
        <f t="shared" si="292"/>
        <v>14.574678897777778</v>
      </c>
      <c r="H2119" s="12">
        <f t="shared" si="293"/>
        <v>14.574678897777778</v>
      </c>
      <c r="I2119" s="1" t="str">
        <f t="shared" si="294"/>
        <v>No</v>
      </c>
      <c r="J2119" s="1" t="str">
        <f t="shared" si="295"/>
        <v>Si</v>
      </c>
      <c r="K2119" s="1" t="str">
        <f t="shared" si="296"/>
        <v/>
      </c>
    </row>
    <row r="2120" spans="1:11" x14ac:dyDescent="0.3">
      <c r="A2120" s="1">
        <v>41</v>
      </c>
      <c r="B2120" s="1">
        <v>11</v>
      </c>
      <c r="C2120" s="12">
        <f t="shared" si="288"/>
        <v>1.2000000000000002</v>
      </c>
      <c r="D2120" s="12">
        <f t="shared" si="289"/>
        <v>-1.05</v>
      </c>
      <c r="E2120" s="12">
        <f t="shared" si="290"/>
        <v>11.119079338666666</v>
      </c>
      <c r="F2120" s="12">
        <f t="shared" si="291"/>
        <v>11.119079338666666</v>
      </c>
      <c r="G2120" s="12">
        <f t="shared" si="292"/>
        <v>14.571174542222222</v>
      </c>
      <c r="H2120" s="12">
        <f t="shared" si="293"/>
        <v>14.571174542222222</v>
      </c>
      <c r="I2120" s="1" t="str">
        <f t="shared" si="294"/>
        <v>No</v>
      </c>
      <c r="J2120" s="1" t="str">
        <f t="shared" si="295"/>
        <v>Si</v>
      </c>
      <c r="K2120" s="1" t="str">
        <f t="shared" si="296"/>
        <v/>
      </c>
    </row>
    <row r="2121" spans="1:11" x14ac:dyDescent="0.3">
      <c r="A2121" s="1">
        <v>41</v>
      </c>
      <c r="B2121" s="1">
        <v>12</v>
      </c>
      <c r="C2121" s="12">
        <f t="shared" si="288"/>
        <v>1.2000000000000002</v>
      </c>
      <c r="D2121" s="12">
        <f t="shared" si="289"/>
        <v>-0.97499999999999998</v>
      </c>
      <c r="E2121" s="12">
        <f t="shared" si="290"/>
        <v>11.116591246222221</v>
      </c>
      <c r="F2121" s="12">
        <f t="shared" si="291"/>
        <v>11.116591246222221</v>
      </c>
      <c r="G2121" s="12">
        <f t="shared" si="292"/>
        <v>14.567670186666666</v>
      </c>
      <c r="H2121" s="12">
        <f t="shared" si="293"/>
        <v>14.567670186666666</v>
      </c>
      <c r="I2121" s="1" t="str">
        <f t="shared" si="294"/>
        <v>No</v>
      </c>
      <c r="J2121" s="1" t="str">
        <f t="shared" si="295"/>
        <v>Si</v>
      </c>
      <c r="K2121" s="1" t="str">
        <f t="shared" si="296"/>
        <v/>
      </c>
    </row>
    <row r="2122" spans="1:11" x14ac:dyDescent="0.3">
      <c r="A2122" s="1">
        <v>41</v>
      </c>
      <c r="B2122" s="1">
        <v>13</v>
      </c>
      <c r="C2122" s="12">
        <f t="shared" si="288"/>
        <v>1.2000000000000002</v>
      </c>
      <c r="D2122" s="12">
        <f t="shared" si="289"/>
        <v>-0.9</v>
      </c>
      <c r="E2122" s="12">
        <f t="shared" si="290"/>
        <v>11.114103153777776</v>
      </c>
      <c r="F2122" s="12">
        <f t="shared" si="291"/>
        <v>11.114103153777776</v>
      </c>
      <c r="G2122" s="12">
        <f t="shared" si="292"/>
        <v>14.564165831111112</v>
      </c>
      <c r="H2122" s="12">
        <f t="shared" si="293"/>
        <v>14.564165831111112</v>
      </c>
      <c r="I2122" s="1" t="str">
        <f t="shared" si="294"/>
        <v>No</v>
      </c>
      <c r="J2122" s="1" t="str">
        <f t="shared" si="295"/>
        <v>Si</v>
      </c>
      <c r="K2122" s="1" t="str">
        <f t="shared" si="296"/>
        <v/>
      </c>
    </row>
    <row r="2123" spans="1:11" x14ac:dyDescent="0.3">
      <c r="A2123" s="1">
        <v>41</v>
      </c>
      <c r="B2123" s="1">
        <v>14</v>
      </c>
      <c r="C2123" s="12">
        <f t="shared" si="288"/>
        <v>1.2000000000000002</v>
      </c>
      <c r="D2123" s="12">
        <f t="shared" si="289"/>
        <v>-0.82499999999999996</v>
      </c>
      <c r="E2123" s="12">
        <f t="shared" si="290"/>
        <v>11.111615061333332</v>
      </c>
      <c r="F2123" s="12">
        <f t="shared" si="291"/>
        <v>11.111615061333332</v>
      </c>
      <c r="G2123" s="12">
        <f t="shared" si="292"/>
        <v>14.560661475555555</v>
      </c>
      <c r="H2123" s="12">
        <f t="shared" si="293"/>
        <v>14.560661475555555</v>
      </c>
      <c r="I2123" s="1" t="str">
        <f t="shared" si="294"/>
        <v>No</v>
      </c>
      <c r="J2123" s="1" t="str">
        <f t="shared" si="295"/>
        <v>Si</v>
      </c>
      <c r="K2123" s="1" t="str">
        <f t="shared" si="296"/>
        <v/>
      </c>
    </row>
    <row r="2124" spans="1:11" x14ac:dyDescent="0.3">
      <c r="A2124" s="1">
        <v>41</v>
      </c>
      <c r="B2124" s="1">
        <v>15</v>
      </c>
      <c r="C2124" s="12">
        <f t="shared" si="288"/>
        <v>1.2000000000000002</v>
      </c>
      <c r="D2124" s="12">
        <f t="shared" si="289"/>
        <v>-0.75</v>
      </c>
      <c r="E2124" s="12">
        <f t="shared" si="290"/>
        <v>11.109126968888887</v>
      </c>
      <c r="F2124" s="12">
        <f t="shared" si="291"/>
        <v>11.109126968888887</v>
      </c>
      <c r="G2124" s="12">
        <f t="shared" si="292"/>
        <v>14.557157119999999</v>
      </c>
      <c r="H2124" s="12">
        <f t="shared" si="293"/>
        <v>14.557157119999999</v>
      </c>
      <c r="I2124" s="1" t="str">
        <f t="shared" si="294"/>
        <v>No</v>
      </c>
      <c r="J2124" s="1" t="str">
        <f t="shared" si="295"/>
        <v>Si</v>
      </c>
      <c r="K2124" s="1" t="str">
        <f t="shared" si="296"/>
        <v/>
      </c>
    </row>
    <row r="2125" spans="1:11" x14ac:dyDescent="0.3">
      <c r="A2125" s="1">
        <v>41</v>
      </c>
      <c r="B2125" s="1">
        <v>16</v>
      </c>
      <c r="C2125" s="12">
        <f t="shared" si="288"/>
        <v>1.2000000000000002</v>
      </c>
      <c r="D2125" s="12">
        <f t="shared" si="289"/>
        <v>-0.67500000000000004</v>
      </c>
      <c r="E2125" s="12">
        <f t="shared" si="290"/>
        <v>11.106638876444443</v>
      </c>
      <c r="F2125" s="12">
        <f t="shared" si="291"/>
        <v>11.106638876444443</v>
      </c>
      <c r="G2125" s="12">
        <f t="shared" si="292"/>
        <v>14.553652764444443</v>
      </c>
      <c r="H2125" s="12">
        <f t="shared" si="293"/>
        <v>14.553652764444443</v>
      </c>
      <c r="I2125" s="1" t="str">
        <f t="shared" si="294"/>
        <v>No</v>
      </c>
      <c r="J2125" s="1" t="str">
        <f t="shared" si="295"/>
        <v>Si</v>
      </c>
      <c r="K2125" s="1" t="str">
        <f t="shared" si="296"/>
        <v/>
      </c>
    </row>
    <row r="2126" spans="1:11" x14ac:dyDescent="0.3">
      <c r="A2126" s="1">
        <v>41</v>
      </c>
      <c r="B2126" s="1">
        <v>17</v>
      </c>
      <c r="C2126" s="12">
        <f t="shared" si="288"/>
        <v>1.2000000000000002</v>
      </c>
      <c r="D2126" s="12">
        <f t="shared" si="289"/>
        <v>-0.60000000000000009</v>
      </c>
      <c r="E2126" s="12">
        <f t="shared" si="290"/>
        <v>11.104150783999998</v>
      </c>
      <c r="F2126" s="12">
        <f t="shared" si="291"/>
        <v>11.104150783999998</v>
      </c>
      <c r="G2126" s="12">
        <f t="shared" si="292"/>
        <v>14.550148408888889</v>
      </c>
      <c r="H2126" s="12">
        <f t="shared" si="293"/>
        <v>14.550148408888889</v>
      </c>
      <c r="I2126" s="1" t="str">
        <f t="shared" si="294"/>
        <v>No</v>
      </c>
      <c r="J2126" s="1" t="str">
        <f t="shared" si="295"/>
        <v>Si</v>
      </c>
      <c r="K2126" s="1" t="str">
        <f t="shared" si="296"/>
        <v/>
      </c>
    </row>
    <row r="2127" spans="1:11" x14ac:dyDescent="0.3">
      <c r="A2127" s="1">
        <v>41</v>
      </c>
      <c r="B2127" s="1">
        <v>18</v>
      </c>
      <c r="C2127" s="12">
        <f t="shared" si="288"/>
        <v>1.2000000000000002</v>
      </c>
      <c r="D2127" s="12">
        <f t="shared" si="289"/>
        <v>-0.52499999999999991</v>
      </c>
      <c r="E2127" s="12">
        <f t="shared" si="290"/>
        <v>11.101662691555553</v>
      </c>
      <c r="F2127" s="12">
        <f t="shared" si="291"/>
        <v>11.101662691555553</v>
      </c>
      <c r="G2127" s="12">
        <f t="shared" si="292"/>
        <v>14.546644053333333</v>
      </c>
      <c r="H2127" s="12">
        <f t="shared" si="293"/>
        <v>14.546644053333333</v>
      </c>
      <c r="I2127" s="1" t="str">
        <f t="shared" si="294"/>
        <v>No</v>
      </c>
      <c r="J2127" s="1" t="str">
        <f t="shared" si="295"/>
        <v>Si</v>
      </c>
      <c r="K2127" s="1" t="str">
        <f t="shared" si="296"/>
        <v/>
      </c>
    </row>
    <row r="2128" spans="1:11" x14ac:dyDescent="0.3">
      <c r="A2128" s="1">
        <v>41</v>
      </c>
      <c r="B2128" s="1">
        <v>19</v>
      </c>
      <c r="C2128" s="12">
        <f t="shared" si="288"/>
        <v>1.2000000000000002</v>
      </c>
      <c r="D2128" s="12">
        <f t="shared" si="289"/>
        <v>-0.44999999999999996</v>
      </c>
      <c r="E2128" s="12">
        <f t="shared" si="290"/>
        <v>11.099174599111111</v>
      </c>
      <c r="F2128" s="12">
        <f t="shared" si="291"/>
        <v>11.099174599111111</v>
      </c>
      <c r="G2128" s="12">
        <f t="shared" si="292"/>
        <v>14.543139697777777</v>
      </c>
      <c r="H2128" s="12">
        <f t="shared" si="293"/>
        <v>14.543139697777777</v>
      </c>
      <c r="I2128" s="1" t="str">
        <f t="shared" si="294"/>
        <v>No</v>
      </c>
      <c r="J2128" s="1" t="str">
        <f t="shared" si="295"/>
        <v>Si</v>
      </c>
      <c r="K2128" s="1" t="str">
        <f t="shared" si="296"/>
        <v/>
      </c>
    </row>
    <row r="2129" spans="1:11" x14ac:dyDescent="0.3">
      <c r="A2129" s="1">
        <v>41</v>
      </c>
      <c r="B2129" s="1">
        <v>20</v>
      </c>
      <c r="C2129" s="12">
        <f t="shared" si="288"/>
        <v>1.2000000000000002</v>
      </c>
      <c r="D2129" s="12">
        <f t="shared" si="289"/>
        <v>-0.375</v>
      </c>
      <c r="E2129" s="12">
        <f t="shared" si="290"/>
        <v>11.096686506666666</v>
      </c>
      <c r="F2129" s="12">
        <f t="shared" si="291"/>
        <v>11.096686506666666</v>
      </c>
      <c r="G2129" s="12">
        <f t="shared" si="292"/>
        <v>14.539635342222223</v>
      </c>
      <c r="H2129" s="12">
        <f t="shared" si="293"/>
        <v>14.539635342222223</v>
      </c>
      <c r="I2129" s="1" t="str">
        <f t="shared" si="294"/>
        <v>No</v>
      </c>
      <c r="J2129" s="1" t="str">
        <f t="shared" si="295"/>
        <v>Si</v>
      </c>
      <c r="K2129" s="1" t="str">
        <f t="shared" si="296"/>
        <v/>
      </c>
    </row>
    <row r="2130" spans="1:11" x14ac:dyDescent="0.3">
      <c r="A2130" s="1">
        <v>41</v>
      </c>
      <c r="B2130" s="1">
        <v>21</v>
      </c>
      <c r="C2130" s="12">
        <f t="shared" ref="C2130:C2193" si="297">IF(OR(A2130&gt;inp_n_div_x,B2130&gt;inp_n_div_y),"",-inp_bx/2+A2130*inp_bx/inp_n_div_x)</f>
        <v>1.2000000000000002</v>
      </c>
      <c r="D2130" s="12">
        <f t="shared" ref="D2130:D2193" si="298">IF(C2130="","",-inp_by/2+B2130*inp_by/inp_n_div_y)</f>
        <v>-0.30000000000000004</v>
      </c>
      <c r="E2130" s="12">
        <f t="shared" ref="E2130:E2193" si="299">IF(C2130="","",res_srv_p_tot/geo_area+res_srv_mx_tot/geo_ix*D2130+res_srv_my_tot/geo_iy*C2130)</f>
        <v>11.094198414222221</v>
      </c>
      <c r="F2130" s="12">
        <f t="shared" ref="F2130:F2193" si="300">IF(E2130="","",MAX(0,E2130))</f>
        <v>11.094198414222221</v>
      </c>
      <c r="G2130" s="12">
        <f t="shared" ref="G2130:G2193" si="301">IF(C2130="","",res_u_p_tot/geo_area+res_u_mx_tot/geo_ix*D2130+res_u_my_tot/geo_iy*C2130)</f>
        <v>14.536130986666667</v>
      </c>
      <c r="H2130" s="12">
        <f t="shared" ref="H2130:H2193" si="302">IF(G2130="","",MAX(0,G2130))</f>
        <v>14.536130986666667</v>
      </c>
      <c r="I2130" s="1" t="str">
        <f t="shared" ref="I2130:I2193" si="303">IF(C2130="","",IF(AND(C2130&gt;=inp_xc-inp_cx/2,C2130&lt;=inp_xc+inp_cx/2,D2130&gt;=inp_yc-inp_cy/2,D2130&lt;=inp_yc+inp_cy/2),"Si","No"))</f>
        <v>No</v>
      </c>
      <c r="J2130" s="1" t="str">
        <f t="shared" ref="J2130:J2193" si="304">IF(C2130="","","Si")</f>
        <v>Si</v>
      </c>
      <c r="K2130" s="1" t="str">
        <f t="shared" ref="K2130:K2193" si="305">IF(OR(E2130&lt;0,G2130&lt;0),"Presion negativa","")</f>
        <v/>
      </c>
    </row>
    <row r="2131" spans="1:11" x14ac:dyDescent="0.3">
      <c r="A2131" s="1">
        <v>41</v>
      </c>
      <c r="B2131" s="1">
        <v>22</v>
      </c>
      <c r="C2131" s="12">
        <f t="shared" si="297"/>
        <v>1.2000000000000002</v>
      </c>
      <c r="D2131" s="12">
        <f t="shared" si="298"/>
        <v>-0.22500000000000009</v>
      </c>
      <c r="E2131" s="12">
        <f t="shared" si="299"/>
        <v>11.091710321777777</v>
      </c>
      <c r="F2131" s="12">
        <f t="shared" si="300"/>
        <v>11.091710321777777</v>
      </c>
      <c r="G2131" s="12">
        <f t="shared" si="301"/>
        <v>14.532626631111111</v>
      </c>
      <c r="H2131" s="12">
        <f t="shared" si="302"/>
        <v>14.532626631111111</v>
      </c>
      <c r="I2131" s="1" t="str">
        <f t="shared" si="303"/>
        <v>No</v>
      </c>
      <c r="J2131" s="1" t="str">
        <f t="shared" si="304"/>
        <v>Si</v>
      </c>
      <c r="K2131" s="1" t="str">
        <f t="shared" si="305"/>
        <v/>
      </c>
    </row>
    <row r="2132" spans="1:11" x14ac:dyDescent="0.3">
      <c r="A2132" s="1">
        <v>41</v>
      </c>
      <c r="B2132" s="1">
        <v>23</v>
      </c>
      <c r="C2132" s="12">
        <f t="shared" si="297"/>
        <v>1.2000000000000002</v>
      </c>
      <c r="D2132" s="12">
        <f t="shared" si="298"/>
        <v>-0.14999999999999991</v>
      </c>
      <c r="E2132" s="12">
        <f t="shared" si="299"/>
        <v>11.089222229333332</v>
      </c>
      <c r="F2132" s="12">
        <f t="shared" si="300"/>
        <v>11.089222229333332</v>
      </c>
      <c r="G2132" s="12">
        <f t="shared" si="301"/>
        <v>14.529122275555554</v>
      </c>
      <c r="H2132" s="12">
        <f t="shared" si="302"/>
        <v>14.529122275555554</v>
      </c>
      <c r="I2132" s="1" t="str">
        <f t="shared" si="303"/>
        <v>No</v>
      </c>
      <c r="J2132" s="1" t="str">
        <f t="shared" si="304"/>
        <v>Si</v>
      </c>
      <c r="K2132" s="1" t="str">
        <f t="shared" si="305"/>
        <v/>
      </c>
    </row>
    <row r="2133" spans="1:11" x14ac:dyDescent="0.3">
      <c r="A2133" s="1">
        <v>41</v>
      </c>
      <c r="B2133" s="1">
        <v>24</v>
      </c>
      <c r="C2133" s="12">
        <f t="shared" si="297"/>
        <v>1.2000000000000002</v>
      </c>
      <c r="D2133" s="12">
        <f t="shared" si="298"/>
        <v>-7.4999999999999956E-2</v>
      </c>
      <c r="E2133" s="12">
        <f t="shared" si="299"/>
        <v>11.086734136888888</v>
      </c>
      <c r="F2133" s="12">
        <f t="shared" si="300"/>
        <v>11.086734136888888</v>
      </c>
      <c r="G2133" s="12">
        <f t="shared" si="301"/>
        <v>14.52561792</v>
      </c>
      <c r="H2133" s="12">
        <f t="shared" si="302"/>
        <v>14.52561792</v>
      </c>
      <c r="I2133" s="1" t="str">
        <f t="shared" si="303"/>
        <v>No</v>
      </c>
      <c r="J2133" s="1" t="str">
        <f t="shared" si="304"/>
        <v>Si</v>
      </c>
      <c r="K2133" s="1" t="str">
        <f t="shared" si="305"/>
        <v/>
      </c>
    </row>
    <row r="2134" spans="1:11" x14ac:dyDescent="0.3">
      <c r="A2134" s="1">
        <v>41</v>
      </c>
      <c r="B2134" s="1">
        <v>25</v>
      </c>
      <c r="C2134" s="12">
        <f t="shared" si="297"/>
        <v>1.2000000000000002</v>
      </c>
      <c r="D2134" s="12">
        <f t="shared" si="298"/>
        <v>0</v>
      </c>
      <c r="E2134" s="12">
        <f t="shared" si="299"/>
        <v>11.084246044444443</v>
      </c>
      <c r="F2134" s="12">
        <f t="shared" si="300"/>
        <v>11.084246044444443</v>
      </c>
      <c r="G2134" s="12">
        <f t="shared" si="301"/>
        <v>14.522113564444444</v>
      </c>
      <c r="H2134" s="12">
        <f t="shared" si="302"/>
        <v>14.522113564444444</v>
      </c>
      <c r="I2134" s="1" t="str">
        <f t="shared" si="303"/>
        <v>No</v>
      </c>
      <c r="J2134" s="1" t="str">
        <f t="shared" si="304"/>
        <v>Si</v>
      </c>
      <c r="K2134" s="1" t="str">
        <f t="shared" si="305"/>
        <v/>
      </c>
    </row>
    <row r="2135" spans="1:11" x14ac:dyDescent="0.3">
      <c r="A2135" s="1">
        <v>41</v>
      </c>
      <c r="B2135" s="1">
        <v>26</v>
      </c>
      <c r="C2135" s="12">
        <f t="shared" si="297"/>
        <v>1.2000000000000002</v>
      </c>
      <c r="D2135" s="12">
        <f t="shared" si="298"/>
        <v>7.4999999999999956E-2</v>
      </c>
      <c r="E2135" s="12">
        <f t="shared" si="299"/>
        <v>11.081757951999998</v>
      </c>
      <c r="F2135" s="12">
        <f t="shared" si="300"/>
        <v>11.081757951999998</v>
      </c>
      <c r="G2135" s="12">
        <f t="shared" si="301"/>
        <v>14.518609208888888</v>
      </c>
      <c r="H2135" s="12">
        <f t="shared" si="302"/>
        <v>14.518609208888888</v>
      </c>
      <c r="I2135" s="1" t="str">
        <f t="shared" si="303"/>
        <v>No</v>
      </c>
      <c r="J2135" s="1" t="str">
        <f t="shared" si="304"/>
        <v>Si</v>
      </c>
      <c r="K2135" s="1" t="str">
        <f t="shared" si="305"/>
        <v/>
      </c>
    </row>
    <row r="2136" spans="1:11" x14ac:dyDescent="0.3">
      <c r="A2136" s="1">
        <v>41</v>
      </c>
      <c r="B2136" s="1">
        <v>27</v>
      </c>
      <c r="C2136" s="12">
        <f t="shared" si="297"/>
        <v>1.2000000000000002</v>
      </c>
      <c r="D2136" s="12">
        <f t="shared" si="298"/>
        <v>0.14999999999999991</v>
      </c>
      <c r="E2136" s="12">
        <f t="shared" si="299"/>
        <v>11.079269859555554</v>
      </c>
      <c r="F2136" s="12">
        <f t="shared" si="300"/>
        <v>11.079269859555554</v>
      </c>
      <c r="G2136" s="12">
        <f t="shared" si="301"/>
        <v>14.515104853333334</v>
      </c>
      <c r="H2136" s="12">
        <f t="shared" si="302"/>
        <v>14.515104853333334</v>
      </c>
      <c r="I2136" s="1" t="str">
        <f t="shared" si="303"/>
        <v>No</v>
      </c>
      <c r="J2136" s="1" t="str">
        <f t="shared" si="304"/>
        <v>Si</v>
      </c>
      <c r="K2136" s="1" t="str">
        <f t="shared" si="305"/>
        <v/>
      </c>
    </row>
    <row r="2137" spans="1:11" x14ac:dyDescent="0.3">
      <c r="A2137" s="1">
        <v>41</v>
      </c>
      <c r="B2137" s="1">
        <v>28</v>
      </c>
      <c r="C2137" s="12">
        <f t="shared" si="297"/>
        <v>1.2000000000000002</v>
      </c>
      <c r="D2137" s="12">
        <f t="shared" si="298"/>
        <v>0.22500000000000009</v>
      </c>
      <c r="E2137" s="12">
        <f t="shared" si="299"/>
        <v>11.076781767111109</v>
      </c>
      <c r="F2137" s="12">
        <f t="shared" si="300"/>
        <v>11.076781767111109</v>
      </c>
      <c r="G2137" s="12">
        <f t="shared" si="301"/>
        <v>14.511600497777778</v>
      </c>
      <c r="H2137" s="12">
        <f t="shared" si="302"/>
        <v>14.511600497777778</v>
      </c>
      <c r="I2137" s="1" t="str">
        <f t="shared" si="303"/>
        <v>No</v>
      </c>
      <c r="J2137" s="1" t="str">
        <f t="shared" si="304"/>
        <v>Si</v>
      </c>
      <c r="K2137" s="1" t="str">
        <f t="shared" si="305"/>
        <v/>
      </c>
    </row>
    <row r="2138" spans="1:11" x14ac:dyDescent="0.3">
      <c r="A2138" s="1">
        <v>41</v>
      </c>
      <c r="B2138" s="1">
        <v>29</v>
      </c>
      <c r="C2138" s="12">
        <f t="shared" si="297"/>
        <v>1.2000000000000002</v>
      </c>
      <c r="D2138" s="12">
        <f t="shared" si="298"/>
        <v>0.29999999999999982</v>
      </c>
      <c r="E2138" s="12">
        <f t="shared" si="299"/>
        <v>11.074293674666665</v>
      </c>
      <c r="F2138" s="12">
        <f t="shared" si="300"/>
        <v>11.074293674666665</v>
      </c>
      <c r="G2138" s="12">
        <f t="shared" si="301"/>
        <v>14.508096142222222</v>
      </c>
      <c r="H2138" s="12">
        <f t="shared" si="302"/>
        <v>14.508096142222222</v>
      </c>
      <c r="I2138" s="1" t="str">
        <f t="shared" si="303"/>
        <v>No</v>
      </c>
      <c r="J2138" s="1" t="str">
        <f t="shared" si="304"/>
        <v>Si</v>
      </c>
      <c r="K2138" s="1" t="str">
        <f t="shared" si="305"/>
        <v/>
      </c>
    </row>
    <row r="2139" spans="1:11" x14ac:dyDescent="0.3">
      <c r="A2139" s="1">
        <v>41</v>
      </c>
      <c r="B2139" s="1">
        <v>30</v>
      </c>
      <c r="C2139" s="12">
        <f t="shared" si="297"/>
        <v>1.2000000000000002</v>
      </c>
      <c r="D2139" s="12">
        <f t="shared" si="298"/>
        <v>0.375</v>
      </c>
      <c r="E2139" s="12">
        <f t="shared" si="299"/>
        <v>11.07180558222222</v>
      </c>
      <c r="F2139" s="12">
        <f t="shared" si="300"/>
        <v>11.07180558222222</v>
      </c>
      <c r="G2139" s="12">
        <f t="shared" si="301"/>
        <v>14.504591786666666</v>
      </c>
      <c r="H2139" s="12">
        <f t="shared" si="302"/>
        <v>14.504591786666666</v>
      </c>
      <c r="I2139" s="1" t="str">
        <f t="shared" si="303"/>
        <v>No</v>
      </c>
      <c r="J2139" s="1" t="str">
        <f t="shared" si="304"/>
        <v>Si</v>
      </c>
      <c r="K2139" s="1" t="str">
        <f t="shared" si="305"/>
        <v/>
      </c>
    </row>
    <row r="2140" spans="1:11" x14ac:dyDescent="0.3">
      <c r="A2140" s="1">
        <v>41</v>
      </c>
      <c r="B2140" s="1">
        <v>31</v>
      </c>
      <c r="C2140" s="12">
        <f t="shared" si="297"/>
        <v>1.2000000000000002</v>
      </c>
      <c r="D2140" s="12">
        <f t="shared" si="298"/>
        <v>0.45000000000000018</v>
      </c>
      <c r="E2140" s="12">
        <f t="shared" si="299"/>
        <v>11.069317489777776</v>
      </c>
      <c r="F2140" s="12">
        <f t="shared" si="300"/>
        <v>11.069317489777776</v>
      </c>
      <c r="G2140" s="12">
        <f t="shared" si="301"/>
        <v>14.501087431111111</v>
      </c>
      <c r="H2140" s="12">
        <f t="shared" si="302"/>
        <v>14.501087431111111</v>
      </c>
      <c r="I2140" s="1" t="str">
        <f t="shared" si="303"/>
        <v>No</v>
      </c>
      <c r="J2140" s="1" t="str">
        <f t="shared" si="304"/>
        <v>Si</v>
      </c>
      <c r="K2140" s="1" t="str">
        <f t="shared" si="305"/>
        <v/>
      </c>
    </row>
    <row r="2141" spans="1:11" x14ac:dyDescent="0.3">
      <c r="A2141" s="1">
        <v>41</v>
      </c>
      <c r="B2141" s="1">
        <v>32</v>
      </c>
      <c r="C2141" s="12">
        <f t="shared" si="297"/>
        <v>1.2000000000000002</v>
      </c>
      <c r="D2141" s="12">
        <f t="shared" si="298"/>
        <v>0.52499999999999991</v>
      </c>
      <c r="E2141" s="12">
        <f t="shared" si="299"/>
        <v>11.066829397333333</v>
      </c>
      <c r="F2141" s="12">
        <f t="shared" si="300"/>
        <v>11.066829397333333</v>
      </c>
      <c r="G2141" s="12">
        <f t="shared" si="301"/>
        <v>14.497583075555555</v>
      </c>
      <c r="H2141" s="12">
        <f t="shared" si="302"/>
        <v>14.497583075555555</v>
      </c>
      <c r="I2141" s="1" t="str">
        <f t="shared" si="303"/>
        <v>No</v>
      </c>
      <c r="J2141" s="1" t="str">
        <f t="shared" si="304"/>
        <v>Si</v>
      </c>
      <c r="K2141" s="1" t="str">
        <f t="shared" si="305"/>
        <v/>
      </c>
    </row>
    <row r="2142" spans="1:11" x14ac:dyDescent="0.3">
      <c r="A2142" s="1">
        <v>41</v>
      </c>
      <c r="B2142" s="1">
        <v>33</v>
      </c>
      <c r="C2142" s="12">
        <f t="shared" si="297"/>
        <v>1.2000000000000002</v>
      </c>
      <c r="D2142" s="12">
        <f t="shared" si="298"/>
        <v>0.60000000000000009</v>
      </c>
      <c r="E2142" s="12">
        <f t="shared" si="299"/>
        <v>11.064341304888888</v>
      </c>
      <c r="F2142" s="12">
        <f t="shared" si="300"/>
        <v>11.064341304888888</v>
      </c>
      <c r="G2142" s="12">
        <f t="shared" si="301"/>
        <v>14.494078719999999</v>
      </c>
      <c r="H2142" s="12">
        <f t="shared" si="302"/>
        <v>14.494078719999999</v>
      </c>
      <c r="I2142" s="1" t="str">
        <f t="shared" si="303"/>
        <v>No</v>
      </c>
      <c r="J2142" s="1" t="str">
        <f t="shared" si="304"/>
        <v>Si</v>
      </c>
      <c r="K2142" s="1" t="str">
        <f t="shared" si="305"/>
        <v/>
      </c>
    </row>
    <row r="2143" spans="1:11" x14ac:dyDescent="0.3">
      <c r="A2143" s="1">
        <v>41</v>
      </c>
      <c r="B2143" s="1">
        <v>34</v>
      </c>
      <c r="C2143" s="12">
        <f t="shared" si="297"/>
        <v>1.2000000000000002</v>
      </c>
      <c r="D2143" s="12">
        <f t="shared" si="298"/>
        <v>0.67499999999999982</v>
      </c>
      <c r="E2143" s="12">
        <f t="shared" si="299"/>
        <v>11.061853212444444</v>
      </c>
      <c r="F2143" s="12">
        <f t="shared" si="300"/>
        <v>11.061853212444444</v>
      </c>
      <c r="G2143" s="12">
        <f t="shared" si="301"/>
        <v>14.490574364444445</v>
      </c>
      <c r="H2143" s="12">
        <f t="shared" si="302"/>
        <v>14.490574364444445</v>
      </c>
      <c r="I2143" s="1" t="str">
        <f t="shared" si="303"/>
        <v>No</v>
      </c>
      <c r="J2143" s="1" t="str">
        <f t="shared" si="304"/>
        <v>Si</v>
      </c>
      <c r="K2143" s="1" t="str">
        <f t="shared" si="305"/>
        <v/>
      </c>
    </row>
    <row r="2144" spans="1:11" x14ac:dyDescent="0.3">
      <c r="A2144" s="1">
        <v>41</v>
      </c>
      <c r="B2144" s="1">
        <v>35</v>
      </c>
      <c r="C2144" s="12">
        <f t="shared" si="297"/>
        <v>1.2000000000000002</v>
      </c>
      <c r="D2144" s="12">
        <f t="shared" si="298"/>
        <v>0.75</v>
      </c>
      <c r="E2144" s="12">
        <f t="shared" si="299"/>
        <v>11.059365119999999</v>
      </c>
      <c r="F2144" s="12">
        <f t="shared" si="300"/>
        <v>11.059365119999999</v>
      </c>
      <c r="G2144" s="12">
        <f t="shared" si="301"/>
        <v>14.487070008888889</v>
      </c>
      <c r="H2144" s="12">
        <f t="shared" si="302"/>
        <v>14.487070008888889</v>
      </c>
      <c r="I2144" s="1" t="str">
        <f t="shared" si="303"/>
        <v>No</v>
      </c>
      <c r="J2144" s="1" t="str">
        <f t="shared" si="304"/>
        <v>Si</v>
      </c>
      <c r="K2144" s="1" t="str">
        <f t="shared" si="305"/>
        <v/>
      </c>
    </row>
    <row r="2145" spans="1:11" x14ac:dyDescent="0.3">
      <c r="A2145" s="1">
        <v>41</v>
      </c>
      <c r="B2145" s="1">
        <v>36</v>
      </c>
      <c r="C2145" s="12">
        <f t="shared" si="297"/>
        <v>1.2000000000000002</v>
      </c>
      <c r="D2145" s="12">
        <f t="shared" si="298"/>
        <v>0.82500000000000018</v>
      </c>
      <c r="E2145" s="12">
        <f t="shared" si="299"/>
        <v>11.056877027555554</v>
      </c>
      <c r="F2145" s="12">
        <f t="shared" si="300"/>
        <v>11.056877027555554</v>
      </c>
      <c r="G2145" s="12">
        <f t="shared" si="301"/>
        <v>14.483565653333333</v>
      </c>
      <c r="H2145" s="12">
        <f t="shared" si="302"/>
        <v>14.483565653333333</v>
      </c>
      <c r="I2145" s="1" t="str">
        <f t="shared" si="303"/>
        <v>No</v>
      </c>
      <c r="J2145" s="1" t="str">
        <f t="shared" si="304"/>
        <v>Si</v>
      </c>
      <c r="K2145" s="1" t="str">
        <f t="shared" si="305"/>
        <v/>
      </c>
    </row>
    <row r="2146" spans="1:11" x14ac:dyDescent="0.3">
      <c r="A2146" s="1">
        <v>41</v>
      </c>
      <c r="B2146" s="1">
        <v>37</v>
      </c>
      <c r="C2146" s="12">
        <f t="shared" si="297"/>
        <v>1.2000000000000002</v>
      </c>
      <c r="D2146" s="12">
        <f t="shared" si="298"/>
        <v>0.89999999999999991</v>
      </c>
      <c r="E2146" s="12">
        <f t="shared" si="299"/>
        <v>11.05438893511111</v>
      </c>
      <c r="F2146" s="12">
        <f t="shared" si="300"/>
        <v>11.05438893511111</v>
      </c>
      <c r="G2146" s="12">
        <f t="shared" si="301"/>
        <v>14.480061297777777</v>
      </c>
      <c r="H2146" s="12">
        <f t="shared" si="302"/>
        <v>14.480061297777777</v>
      </c>
      <c r="I2146" s="1" t="str">
        <f t="shared" si="303"/>
        <v>No</v>
      </c>
      <c r="J2146" s="1" t="str">
        <f t="shared" si="304"/>
        <v>Si</v>
      </c>
      <c r="K2146" s="1" t="str">
        <f t="shared" si="305"/>
        <v/>
      </c>
    </row>
    <row r="2147" spans="1:11" x14ac:dyDescent="0.3">
      <c r="A2147" s="1">
        <v>41</v>
      </c>
      <c r="B2147" s="1">
        <v>38</v>
      </c>
      <c r="C2147" s="12">
        <f t="shared" si="297"/>
        <v>1.2000000000000002</v>
      </c>
      <c r="D2147" s="12">
        <f t="shared" si="298"/>
        <v>0.97500000000000009</v>
      </c>
      <c r="E2147" s="12">
        <f t="shared" si="299"/>
        <v>11.051900842666665</v>
      </c>
      <c r="F2147" s="12">
        <f t="shared" si="300"/>
        <v>11.051900842666665</v>
      </c>
      <c r="G2147" s="12">
        <f t="shared" si="301"/>
        <v>14.476556942222222</v>
      </c>
      <c r="H2147" s="12">
        <f t="shared" si="302"/>
        <v>14.476556942222222</v>
      </c>
      <c r="I2147" s="1" t="str">
        <f t="shared" si="303"/>
        <v>No</v>
      </c>
      <c r="J2147" s="1" t="str">
        <f t="shared" si="304"/>
        <v>Si</v>
      </c>
      <c r="K2147" s="1" t="str">
        <f t="shared" si="305"/>
        <v/>
      </c>
    </row>
    <row r="2148" spans="1:11" x14ac:dyDescent="0.3">
      <c r="A2148" s="1">
        <v>41</v>
      </c>
      <c r="B2148" s="1">
        <v>39</v>
      </c>
      <c r="C2148" s="12">
        <f t="shared" si="297"/>
        <v>1.2000000000000002</v>
      </c>
      <c r="D2148" s="12">
        <f t="shared" si="298"/>
        <v>1.0499999999999998</v>
      </c>
      <c r="E2148" s="12">
        <f t="shared" si="299"/>
        <v>11.049412750222221</v>
      </c>
      <c r="F2148" s="12">
        <f t="shared" si="300"/>
        <v>11.049412750222221</v>
      </c>
      <c r="G2148" s="12">
        <f t="shared" si="301"/>
        <v>14.473052586666666</v>
      </c>
      <c r="H2148" s="12">
        <f t="shared" si="302"/>
        <v>14.473052586666666</v>
      </c>
      <c r="I2148" s="1" t="str">
        <f t="shared" si="303"/>
        <v>No</v>
      </c>
      <c r="J2148" s="1" t="str">
        <f t="shared" si="304"/>
        <v>Si</v>
      </c>
      <c r="K2148" s="1" t="str">
        <f t="shared" si="305"/>
        <v/>
      </c>
    </row>
    <row r="2149" spans="1:11" x14ac:dyDescent="0.3">
      <c r="A2149" s="1">
        <v>41</v>
      </c>
      <c r="B2149" s="1">
        <v>40</v>
      </c>
      <c r="C2149" s="12">
        <f t="shared" si="297"/>
        <v>1.2000000000000002</v>
      </c>
      <c r="D2149" s="12">
        <f t="shared" si="298"/>
        <v>1.125</v>
      </c>
      <c r="E2149" s="12">
        <f t="shared" si="299"/>
        <v>11.046924657777776</v>
      </c>
      <c r="F2149" s="12">
        <f t="shared" si="300"/>
        <v>11.046924657777776</v>
      </c>
      <c r="G2149" s="12">
        <f t="shared" si="301"/>
        <v>14.46954823111111</v>
      </c>
      <c r="H2149" s="12">
        <f t="shared" si="302"/>
        <v>14.46954823111111</v>
      </c>
      <c r="I2149" s="1" t="str">
        <f t="shared" si="303"/>
        <v>No</v>
      </c>
      <c r="J2149" s="1" t="str">
        <f t="shared" si="304"/>
        <v>Si</v>
      </c>
      <c r="K2149" s="1" t="str">
        <f t="shared" si="305"/>
        <v/>
      </c>
    </row>
    <row r="2150" spans="1:11" x14ac:dyDescent="0.3">
      <c r="A2150" s="1">
        <v>41</v>
      </c>
      <c r="B2150" s="1">
        <v>41</v>
      </c>
      <c r="C2150" s="12">
        <f t="shared" si="297"/>
        <v>1.2000000000000002</v>
      </c>
      <c r="D2150" s="12">
        <f t="shared" si="298"/>
        <v>1.2000000000000002</v>
      </c>
      <c r="E2150" s="12">
        <f t="shared" si="299"/>
        <v>11.044436565333331</v>
      </c>
      <c r="F2150" s="12">
        <f t="shared" si="300"/>
        <v>11.044436565333331</v>
      </c>
      <c r="G2150" s="12">
        <f t="shared" si="301"/>
        <v>14.466043875555556</v>
      </c>
      <c r="H2150" s="12">
        <f t="shared" si="302"/>
        <v>14.466043875555556</v>
      </c>
      <c r="I2150" s="1" t="str">
        <f t="shared" si="303"/>
        <v>No</v>
      </c>
      <c r="J2150" s="1" t="str">
        <f t="shared" si="304"/>
        <v>Si</v>
      </c>
      <c r="K2150" s="1" t="str">
        <f t="shared" si="305"/>
        <v/>
      </c>
    </row>
    <row r="2151" spans="1:11" x14ac:dyDescent="0.3">
      <c r="A2151" s="1">
        <v>41</v>
      </c>
      <c r="B2151" s="1">
        <v>42</v>
      </c>
      <c r="C2151" s="12">
        <f t="shared" si="297"/>
        <v>1.2000000000000002</v>
      </c>
      <c r="D2151" s="12">
        <f t="shared" si="298"/>
        <v>1.2749999999999999</v>
      </c>
      <c r="E2151" s="12">
        <f t="shared" si="299"/>
        <v>11.041948472888887</v>
      </c>
      <c r="F2151" s="12">
        <f t="shared" si="300"/>
        <v>11.041948472888887</v>
      </c>
      <c r="G2151" s="12">
        <f t="shared" si="301"/>
        <v>14.46253952</v>
      </c>
      <c r="H2151" s="12">
        <f t="shared" si="302"/>
        <v>14.46253952</v>
      </c>
      <c r="I2151" s="1" t="str">
        <f t="shared" si="303"/>
        <v>No</v>
      </c>
      <c r="J2151" s="1" t="str">
        <f t="shared" si="304"/>
        <v>Si</v>
      </c>
      <c r="K2151" s="1" t="str">
        <f t="shared" si="305"/>
        <v/>
      </c>
    </row>
    <row r="2152" spans="1:11" x14ac:dyDescent="0.3">
      <c r="A2152" s="1">
        <v>41</v>
      </c>
      <c r="B2152" s="1">
        <v>43</v>
      </c>
      <c r="C2152" s="12">
        <f t="shared" si="297"/>
        <v>1.2000000000000002</v>
      </c>
      <c r="D2152" s="12">
        <f t="shared" si="298"/>
        <v>1.35</v>
      </c>
      <c r="E2152" s="12">
        <f t="shared" si="299"/>
        <v>11.039460380444442</v>
      </c>
      <c r="F2152" s="12">
        <f t="shared" si="300"/>
        <v>11.039460380444442</v>
      </c>
      <c r="G2152" s="12">
        <f t="shared" si="301"/>
        <v>14.459035164444444</v>
      </c>
      <c r="H2152" s="12">
        <f t="shared" si="302"/>
        <v>14.459035164444444</v>
      </c>
      <c r="I2152" s="1" t="str">
        <f t="shared" si="303"/>
        <v>No</v>
      </c>
      <c r="J2152" s="1" t="str">
        <f t="shared" si="304"/>
        <v>Si</v>
      </c>
      <c r="K2152" s="1" t="str">
        <f t="shared" si="305"/>
        <v/>
      </c>
    </row>
    <row r="2153" spans="1:11" x14ac:dyDescent="0.3">
      <c r="A2153" s="1">
        <v>41</v>
      </c>
      <c r="B2153" s="1">
        <v>44</v>
      </c>
      <c r="C2153" s="12">
        <f t="shared" si="297"/>
        <v>1.2000000000000002</v>
      </c>
      <c r="D2153" s="12">
        <f t="shared" si="298"/>
        <v>1.4249999999999998</v>
      </c>
      <c r="E2153" s="12">
        <f t="shared" si="299"/>
        <v>11.036972287999999</v>
      </c>
      <c r="F2153" s="12">
        <f t="shared" si="300"/>
        <v>11.036972287999999</v>
      </c>
      <c r="G2153" s="12">
        <f t="shared" si="301"/>
        <v>14.455530808888888</v>
      </c>
      <c r="H2153" s="12">
        <f t="shared" si="302"/>
        <v>14.455530808888888</v>
      </c>
      <c r="I2153" s="1" t="str">
        <f t="shared" si="303"/>
        <v>No</v>
      </c>
      <c r="J2153" s="1" t="str">
        <f t="shared" si="304"/>
        <v>Si</v>
      </c>
      <c r="K2153" s="1" t="str">
        <f t="shared" si="305"/>
        <v/>
      </c>
    </row>
    <row r="2154" spans="1:11" x14ac:dyDescent="0.3">
      <c r="A2154" s="1">
        <v>41</v>
      </c>
      <c r="B2154" s="1">
        <v>45</v>
      </c>
      <c r="C2154" s="12">
        <f t="shared" si="297"/>
        <v>1.2000000000000002</v>
      </c>
      <c r="D2154" s="12">
        <f t="shared" si="298"/>
        <v>1.5</v>
      </c>
      <c r="E2154" s="12">
        <f t="shared" si="299"/>
        <v>11.034484195555555</v>
      </c>
      <c r="F2154" s="12">
        <f t="shared" si="300"/>
        <v>11.034484195555555</v>
      </c>
      <c r="G2154" s="12">
        <f t="shared" si="301"/>
        <v>14.452026453333334</v>
      </c>
      <c r="H2154" s="12">
        <f t="shared" si="302"/>
        <v>14.452026453333334</v>
      </c>
      <c r="I2154" s="1" t="str">
        <f t="shared" si="303"/>
        <v>No</v>
      </c>
      <c r="J2154" s="1" t="str">
        <f t="shared" si="304"/>
        <v>Si</v>
      </c>
      <c r="K2154" s="1" t="str">
        <f t="shared" si="305"/>
        <v/>
      </c>
    </row>
    <row r="2155" spans="1:11" x14ac:dyDescent="0.3">
      <c r="A2155" s="1">
        <v>41</v>
      </c>
      <c r="B2155" s="1">
        <v>46</v>
      </c>
      <c r="C2155" s="12">
        <f t="shared" si="297"/>
        <v>1.2000000000000002</v>
      </c>
      <c r="D2155" s="12">
        <f t="shared" si="298"/>
        <v>1.5750000000000002</v>
      </c>
      <c r="E2155" s="12">
        <f t="shared" si="299"/>
        <v>11.03199610311111</v>
      </c>
      <c r="F2155" s="12">
        <f t="shared" si="300"/>
        <v>11.03199610311111</v>
      </c>
      <c r="G2155" s="12">
        <f t="shared" si="301"/>
        <v>14.448522097777778</v>
      </c>
      <c r="H2155" s="12">
        <f t="shared" si="302"/>
        <v>14.448522097777778</v>
      </c>
      <c r="I2155" s="1" t="str">
        <f t="shared" si="303"/>
        <v>No</v>
      </c>
      <c r="J2155" s="1" t="str">
        <f t="shared" si="304"/>
        <v>Si</v>
      </c>
      <c r="K2155" s="1" t="str">
        <f t="shared" si="305"/>
        <v/>
      </c>
    </row>
    <row r="2156" spans="1:11" x14ac:dyDescent="0.3">
      <c r="A2156" s="1">
        <v>41</v>
      </c>
      <c r="B2156" s="1">
        <v>47</v>
      </c>
      <c r="C2156" s="12">
        <f t="shared" si="297"/>
        <v>1.2000000000000002</v>
      </c>
      <c r="D2156" s="12">
        <f t="shared" si="298"/>
        <v>1.65</v>
      </c>
      <c r="E2156" s="12">
        <f t="shared" si="299"/>
        <v>11.029508010666666</v>
      </c>
      <c r="F2156" s="12">
        <f t="shared" si="300"/>
        <v>11.029508010666666</v>
      </c>
      <c r="G2156" s="12">
        <f t="shared" si="301"/>
        <v>14.445017742222221</v>
      </c>
      <c r="H2156" s="12">
        <f t="shared" si="302"/>
        <v>14.445017742222221</v>
      </c>
      <c r="I2156" s="1" t="str">
        <f t="shared" si="303"/>
        <v>No</v>
      </c>
      <c r="J2156" s="1" t="str">
        <f t="shared" si="304"/>
        <v>Si</v>
      </c>
      <c r="K2156" s="1" t="str">
        <f t="shared" si="305"/>
        <v/>
      </c>
    </row>
    <row r="2157" spans="1:11" x14ac:dyDescent="0.3">
      <c r="A2157" s="1">
        <v>41</v>
      </c>
      <c r="B2157" s="1">
        <v>48</v>
      </c>
      <c r="C2157" s="12">
        <f t="shared" si="297"/>
        <v>1.2000000000000002</v>
      </c>
      <c r="D2157" s="12">
        <f t="shared" si="298"/>
        <v>1.7250000000000001</v>
      </c>
      <c r="E2157" s="12">
        <f t="shared" si="299"/>
        <v>11.027019918222221</v>
      </c>
      <c r="F2157" s="12">
        <f t="shared" si="300"/>
        <v>11.027019918222221</v>
      </c>
      <c r="G2157" s="12">
        <f t="shared" si="301"/>
        <v>14.441513386666667</v>
      </c>
      <c r="H2157" s="12">
        <f t="shared" si="302"/>
        <v>14.441513386666667</v>
      </c>
      <c r="I2157" s="1" t="str">
        <f t="shared" si="303"/>
        <v>No</v>
      </c>
      <c r="J2157" s="1" t="str">
        <f t="shared" si="304"/>
        <v>Si</v>
      </c>
      <c r="K2157" s="1" t="str">
        <f t="shared" si="305"/>
        <v/>
      </c>
    </row>
    <row r="2158" spans="1:11" x14ac:dyDescent="0.3">
      <c r="A2158" s="1">
        <v>41</v>
      </c>
      <c r="B2158" s="1">
        <v>49</v>
      </c>
      <c r="C2158" s="12">
        <f t="shared" si="297"/>
        <v>1.2000000000000002</v>
      </c>
      <c r="D2158" s="12">
        <f t="shared" si="298"/>
        <v>1.7999999999999998</v>
      </c>
      <c r="E2158" s="12">
        <f t="shared" si="299"/>
        <v>11.024531825777776</v>
      </c>
      <c r="F2158" s="12">
        <f t="shared" si="300"/>
        <v>11.024531825777776</v>
      </c>
      <c r="G2158" s="12">
        <f t="shared" si="301"/>
        <v>14.438009031111111</v>
      </c>
      <c r="H2158" s="12">
        <f t="shared" si="302"/>
        <v>14.438009031111111</v>
      </c>
      <c r="I2158" s="1" t="str">
        <f t="shared" si="303"/>
        <v>No</v>
      </c>
      <c r="J2158" s="1" t="str">
        <f t="shared" si="304"/>
        <v>Si</v>
      </c>
      <c r="K2158" s="1" t="str">
        <f t="shared" si="305"/>
        <v/>
      </c>
    </row>
    <row r="2159" spans="1:11" x14ac:dyDescent="0.3">
      <c r="A2159" s="1">
        <v>41</v>
      </c>
      <c r="B2159" s="1">
        <v>50</v>
      </c>
      <c r="C2159" s="12">
        <f t="shared" si="297"/>
        <v>1.2000000000000002</v>
      </c>
      <c r="D2159" s="12">
        <f t="shared" si="298"/>
        <v>1.875</v>
      </c>
      <c r="E2159" s="12">
        <f t="shared" si="299"/>
        <v>11.022043733333332</v>
      </c>
      <c r="F2159" s="12">
        <f t="shared" si="300"/>
        <v>11.022043733333332</v>
      </c>
      <c r="G2159" s="12">
        <f t="shared" si="301"/>
        <v>14.434504675555555</v>
      </c>
      <c r="H2159" s="12">
        <f t="shared" si="302"/>
        <v>14.434504675555555</v>
      </c>
      <c r="I2159" s="1" t="str">
        <f t="shared" si="303"/>
        <v>No</v>
      </c>
      <c r="J2159" s="1" t="str">
        <f t="shared" si="304"/>
        <v>Si</v>
      </c>
      <c r="K2159" s="1" t="str">
        <f t="shared" si="305"/>
        <v/>
      </c>
    </row>
    <row r="2160" spans="1:11" x14ac:dyDescent="0.3">
      <c r="A2160" s="1">
        <v>42</v>
      </c>
      <c r="B2160" s="1">
        <v>0</v>
      </c>
      <c r="C2160" s="12">
        <f t="shared" si="297"/>
        <v>1.2749999999999999</v>
      </c>
      <c r="D2160" s="12">
        <f t="shared" si="298"/>
        <v>-1.875</v>
      </c>
      <c r="E2160" s="12">
        <f t="shared" si="299"/>
        <v>11.147142399999998</v>
      </c>
      <c r="F2160" s="12">
        <f t="shared" si="300"/>
        <v>11.147142399999998</v>
      </c>
      <c r="G2160" s="12">
        <f t="shared" si="301"/>
        <v>14.610760106666666</v>
      </c>
      <c r="H2160" s="12">
        <f t="shared" si="302"/>
        <v>14.610760106666666</v>
      </c>
      <c r="I2160" s="1" t="str">
        <f t="shared" si="303"/>
        <v>No</v>
      </c>
      <c r="J2160" s="1" t="str">
        <f t="shared" si="304"/>
        <v>Si</v>
      </c>
      <c r="K2160" s="1" t="str">
        <f t="shared" si="305"/>
        <v/>
      </c>
    </row>
    <row r="2161" spans="1:11" x14ac:dyDescent="0.3">
      <c r="A2161" s="1">
        <v>42</v>
      </c>
      <c r="B2161" s="1">
        <v>1</v>
      </c>
      <c r="C2161" s="12">
        <f t="shared" si="297"/>
        <v>1.2749999999999999</v>
      </c>
      <c r="D2161" s="12">
        <f t="shared" si="298"/>
        <v>-1.8</v>
      </c>
      <c r="E2161" s="12">
        <f t="shared" si="299"/>
        <v>11.144654307555554</v>
      </c>
      <c r="F2161" s="12">
        <f t="shared" si="300"/>
        <v>11.144654307555554</v>
      </c>
      <c r="G2161" s="12">
        <f t="shared" si="301"/>
        <v>14.60725575111111</v>
      </c>
      <c r="H2161" s="12">
        <f t="shared" si="302"/>
        <v>14.60725575111111</v>
      </c>
      <c r="I2161" s="1" t="str">
        <f t="shared" si="303"/>
        <v>No</v>
      </c>
      <c r="J2161" s="1" t="str">
        <f t="shared" si="304"/>
        <v>Si</v>
      </c>
      <c r="K2161" s="1" t="str">
        <f t="shared" si="305"/>
        <v/>
      </c>
    </row>
    <row r="2162" spans="1:11" x14ac:dyDescent="0.3">
      <c r="A2162" s="1">
        <v>42</v>
      </c>
      <c r="B2162" s="1">
        <v>2</v>
      </c>
      <c r="C2162" s="12">
        <f t="shared" si="297"/>
        <v>1.2749999999999999</v>
      </c>
      <c r="D2162" s="12">
        <f t="shared" si="298"/>
        <v>-1.7250000000000001</v>
      </c>
      <c r="E2162" s="12">
        <f t="shared" si="299"/>
        <v>11.142166215111109</v>
      </c>
      <c r="F2162" s="12">
        <f t="shared" si="300"/>
        <v>11.142166215111109</v>
      </c>
      <c r="G2162" s="12">
        <f t="shared" si="301"/>
        <v>14.603751395555554</v>
      </c>
      <c r="H2162" s="12">
        <f t="shared" si="302"/>
        <v>14.603751395555554</v>
      </c>
      <c r="I2162" s="1" t="str">
        <f t="shared" si="303"/>
        <v>No</v>
      </c>
      <c r="J2162" s="1" t="str">
        <f t="shared" si="304"/>
        <v>Si</v>
      </c>
      <c r="K2162" s="1" t="str">
        <f t="shared" si="305"/>
        <v/>
      </c>
    </row>
    <row r="2163" spans="1:11" x14ac:dyDescent="0.3">
      <c r="A2163" s="1">
        <v>42</v>
      </c>
      <c r="B2163" s="1">
        <v>3</v>
      </c>
      <c r="C2163" s="12">
        <f t="shared" si="297"/>
        <v>1.2749999999999999</v>
      </c>
      <c r="D2163" s="12">
        <f t="shared" si="298"/>
        <v>-1.65</v>
      </c>
      <c r="E2163" s="12">
        <f t="shared" si="299"/>
        <v>11.139678122666664</v>
      </c>
      <c r="F2163" s="12">
        <f t="shared" si="300"/>
        <v>11.139678122666664</v>
      </c>
      <c r="G2163" s="12">
        <f t="shared" si="301"/>
        <v>14.600247039999999</v>
      </c>
      <c r="H2163" s="12">
        <f t="shared" si="302"/>
        <v>14.600247039999999</v>
      </c>
      <c r="I2163" s="1" t="str">
        <f t="shared" si="303"/>
        <v>No</v>
      </c>
      <c r="J2163" s="1" t="str">
        <f t="shared" si="304"/>
        <v>Si</v>
      </c>
      <c r="K2163" s="1" t="str">
        <f t="shared" si="305"/>
        <v/>
      </c>
    </row>
    <row r="2164" spans="1:11" x14ac:dyDescent="0.3">
      <c r="A2164" s="1">
        <v>42</v>
      </c>
      <c r="B2164" s="1">
        <v>4</v>
      </c>
      <c r="C2164" s="12">
        <f t="shared" si="297"/>
        <v>1.2749999999999999</v>
      </c>
      <c r="D2164" s="12">
        <f t="shared" si="298"/>
        <v>-1.575</v>
      </c>
      <c r="E2164" s="12">
        <f t="shared" si="299"/>
        <v>11.13719003022222</v>
      </c>
      <c r="F2164" s="12">
        <f t="shared" si="300"/>
        <v>11.13719003022222</v>
      </c>
      <c r="G2164" s="12">
        <f t="shared" si="301"/>
        <v>14.596742684444443</v>
      </c>
      <c r="H2164" s="12">
        <f t="shared" si="302"/>
        <v>14.596742684444443</v>
      </c>
      <c r="I2164" s="1" t="str">
        <f t="shared" si="303"/>
        <v>No</v>
      </c>
      <c r="J2164" s="1" t="str">
        <f t="shared" si="304"/>
        <v>Si</v>
      </c>
      <c r="K2164" s="1" t="str">
        <f t="shared" si="305"/>
        <v/>
      </c>
    </row>
    <row r="2165" spans="1:11" x14ac:dyDescent="0.3">
      <c r="A2165" s="1">
        <v>42</v>
      </c>
      <c r="B2165" s="1">
        <v>5</v>
      </c>
      <c r="C2165" s="12">
        <f t="shared" si="297"/>
        <v>1.2749999999999999</v>
      </c>
      <c r="D2165" s="12">
        <f t="shared" si="298"/>
        <v>-1.5</v>
      </c>
      <c r="E2165" s="12">
        <f t="shared" si="299"/>
        <v>11.134701937777775</v>
      </c>
      <c r="F2165" s="12">
        <f t="shared" si="300"/>
        <v>11.134701937777775</v>
      </c>
      <c r="G2165" s="12">
        <f t="shared" si="301"/>
        <v>14.593238328888887</v>
      </c>
      <c r="H2165" s="12">
        <f t="shared" si="302"/>
        <v>14.593238328888887</v>
      </c>
      <c r="I2165" s="1" t="str">
        <f t="shared" si="303"/>
        <v>No</v>
      </c>
      <c r="J2165" s="1" t="str">
        <f t="shared" si="304"/>
        <v>Si</v>
      </c>
      <c r="K2165" s="1" t="str">
        <f t="shared" si="305"/>
        <v/>
      </c>
    </row>
    <row r="2166" spans="1:11" x14ac:dyDescent="0.3">
      <c r="A2166" s="1">
        <v>42</v>
      </c>
      <c r="B2166" s="1">
        <v>6</v>
      </c>
      <c r="C2166" s="12">
        <f t="shared" si="297"/>
        <v>1.2749999999999999</v>
      </c>
      <c r="D2166" s="12">
        <f t="shared" si="298"/>
        <v>-1.425</v>
      </c>
      <c r="E2166" s="12">
        <f t="shared" si="299"/>
        <v>11.132213845333331</v>
      </c>
      <c r="F2166" s="12">
        <f t="shared" si="300"/>
        <v>11.132213845333331</v>
      </c>
      <c r="G2166" s="12">
        <f t="shared" si="301"/>
        <v>14.589733973333333</v>
      </c>
      <c r="H2166" s="12">
        <f t="shared" si="302"/>
        <v>14.589733973333333</v>
      </c>
      <c r="I2166" s="1" t="str">
        <f t="shared" si="303"/>
        <v>No</v>
      </c>
      <c r="J2166" s="1" t="str">
        <f t="shared" si="304"/>
        <v>Si</v>
      </c>
      <c r="K2166" s="1" t="str">
        <f t="shared" si="305"/>
        <v/>
      </c>
    </row>
    <row r="2167" spans="1:11" x14ac:dyDescent="0.3">
      <c r="A2167" s="1">
        <v>42</v>
      </c>
      <c r="B2167" s="1">
        <v>7</v>
      </c>
      <c r="C2167" s="12">
        <f t="shared" si="297"/>
        <v>1.2749999999999999</v>
      </c>
      <c r="D2167" s="12">
        <f t="shared" si="298"/>
        <v>-1.35</v>
      </c>
      <c r="E2167" s="12">
        <f t="shared" si="299"/>
        <v>11.129725752888888</v>
      </c>
      <c r="F2167" s="12">
        <f t="shared" si="300"/>
        <v>11.129725752888888</v>
      </c>
      <c r="G2167" s="12">
        <f t="shared" si="301"/>
        <v>14.586229617777777</v>
      </c>
      <c r="H2167" s="12">
        <f t="shared" si="302"/>
        <v>14.586229617777777</v>
      </c>
      <c r="I2167" s="1" t="str">
        <f t="shared" si="303"/>
        <v>No</v>
      </c>
      <c r="J2167" s="1" t="str">
        <f t="shared" si="304"/>
        <v>Si</v>
      </c>
      <c r="K2167" s="1" t="str">
        <f t="shared" si="305"/>
        <v/>
      </c>
    </row>
    <row r="2168" spans="1:11" x14ac:dyDescent="0.3">
      <c r="A2168" s="1">
        <v>42</v>
      </c>
      <c r="B2168" s="1">
        <v>8</v>
      </c>
      <c r="C2168" s="12">
        <f t="shared" si="297"/>
        <v>1.2749999999999999</v>
      </c>
      <c r="D2168" s="12">
        <f t="shared" si="298"/>
        <v>-1.2749999999999999</v>
      </c>
      <c r="E2168" s="12">
        <f t="shared" si="299"/>
        <v>11.127237660444443</v>
      </c>
      <c r="F2168" s="12">
        <f t="shared" si="300"/>
        <v>11.127237660444443</v>
      </c>
      <c r="G2168" s="12">
        <f t="shared" si="301"/>
        <v>14.582725262222221</v>
      </c>
      <c r="H2168" s="12">
        <f t="shared" si="302"/>
        <v>14.582725262222221</v>
      </c>
      <c r="I2168" s="1" t="str">
        <f t="shared" si="303"/>
        <v>No</v>
      </c>
      <c r="J2168" s="1" t="str">
        <f t="shared" si="304"/>
        <v>Si</v>
      </c>
      <c r="K2168" s="1" t="str">
        <f t="shared" si="305"/>
        <v/>
      </c>
    </row>
    <row r="2169" spans="1:11" x14ac:dyDescent="0.3">
      <c r="A2169" s="1">
        <v>42</v>
      </c>
      <c r="B2169" s="1">
        <v>9</v>
      </c>
      <c r="C2169" s="12">
        <f t="shared" si="297"/>
        <v>1.2749999999999999</v>
      </c>
      <c r="D2169" s="12">
        <f t="shared" si="298"/>
        <v>-1.2</v>
      </c>
      <c r="E2169" s="12">
        <f t="shared" si="299"/>
        <v>11.124749567999999</v>
      </c>
      <c r="F2169" s="12">
        <f t="shared" si="300"/>
        <v>11.124749567999999</v>
      </c>
      <c r="G2169" s="12">
        <f t="shared" si="301"/>
        <v>14.579220906666665</v>
      </c>
      <c r="H2169" s="12">
        <f t="shared" si="302"/>
        <v>14.579220906666665</v>
      </c>
      <c r="I2169" s="1" t="str">
        <f t="shared" si="303"/>
        <v>No</v>
      </c>
      <c r="J2169" s="1" t="str">
        <f t="shared" si="304"/>
        <v>Si</v>
      </c>
      <c r="K2169" s="1" t="str">
        <f t="shared" si="305"/>
        <v/>
      </c>
    </row>
    <row r="2170" spans="1:11" x14ac:dyDescent="0.3">
      <c r="A2170" s="1">
        <v>42</v>
      </c>
      <c r="B2170" s="1">
        <v>10</v>
      </c>
      <c r="C2170" s="12">
        <f t="shared" si="297"/>
        <v>1.2749999999999999</v>
      </c>
      <c r="D2170" s="12">
        <f t="shared" si="298"/>
        <v>-1.125</v>
      </c>
      <c r="E2170" s="12">
        <f t="shared" si="299"/>
        <v>11.122261475555554</v>
      </c>
      <c r="F2170" s="12">
        <f t="shared" si="300"/>
        <v>11.122261475555554</v>
      </c>
      <c r="G2170" s="12">
        <f t="shared" si="301"/>
        <v>14.57571655111111</v>
      </c>
      <c r="H2170" s="12">
        <f t="shared" si="302"/>
        <v>14.57571655111111</v>
      </c>
      <c r="I2170" s="1" t="str">
        <f t="shared" si="303"/>
        <v>No</v>
      </c>
      <c r="J2170" s="1" t="str">
        <f t="shared" si="304"/>
        <v>Si</v>
      </c>
      <c r="K2170" s="1" t="str">
        <f t="shared" si="305"/>
        <v/>
      </c>
    </row>
    <row r="2171" spans="1:11" x14ac:dyDescent="0.3">
      <c r="A2171" s="1">
        <v>42</v>
      </c>
      <c r="B2171" s="1">
        <v>11</v>
      </c>
      <c r="C2171" s="12">
        <f t="shared" si="297"/>
        <v>1.2749999999999999</v>
      </c>
      <c r="D2171" s="12">
        <f t="shared" si="298"/>
        <v>-1.05</v>
      </c>
      <c r="E2171" s="12">
        <f t="shared" si="299"/>
        <v>11.119773383111109</v>
      </c>
      <c r="F2171" s="12">
        <f t="shared" si="300"/>
        <v>11.119773383111109</v>
      </c>
      <c r="G2171" s="12">
        <f t="shared" si="301"/>
        <v>14.572212195555554</v>
      </c>
      <c r="H2171" s="12">
        <f t="shared" si="302"/>
        <v>14.572212195555554</v>
      </c>
      <c r="I2171" s="1" t="str">
        <f t="shared" si="303"/>
        <v>No</v>
      </c>
      <c r="J2171" s="1" t="str">
        <f t="shared" si="304"/>
        <v>Si</v>
      </c>
      <c r="K2171" s="1" t="str">
        <f t="shared" si="305"/>
        <v/>
      </c>
    </row>
    <row r="2172" spans="1:11" x14ac:dyDescent="0.3">
      <c r="A2172" s="1">
        <v>42</v>
      </c>
      <c r="B2172" s="1">
        <v>12</v>
      </c>
      <c r="C2172" s="12">
        <f t="shared" si="297"/>
        <v>1.2749999999999999</v>
      </c>
      <c r="D2172" s="12">
        <f t="shared" si="298"/>
        <v>-0.97499999999999998</v>
      </c>
      <c r="E2172" s="12">
        <f t="shared" si="299"/>
        <v>11.117285290666665</v>
      </c>
      <c r="F2172" s="12">
        <f t="shared" si="300"/>
        <v>11.117285290666665</v>
      </c>
      <c r="G2172" s="12">
        <f t="shared" si="301"/>
        <v>14.568707839999998</v>
      </c>
      <c r="H2172" s="12">
        <f t="shared" si="302"/>
        <v>14.568707839999998</v>
      </c>
      <c r="I2172" s="1" t="str">
        <f t="shared" si="303"/>
        <v>No</v>
      </c>
      <c r="J2172" s="1" t="str">
        <f t="shared" si="304"/>
        <v>Si</v>
      </c>
      <c r="K2172" s="1" t="str">
        <f t="shared" si="305"/>
        <v/>
      </c>
    </row>
    <row r="2173" spans="1:11" x14ac:dyDescent="0.3">
      <c r="A2173" s="1">
        <v>42</v>
      </c>
      <c r="B2173" s="1">
        <v>13</v>
      </c>
      <c r="C2173" s="12">
        <f t="shared" si="297"/>
        <v>1.2749999999999999</v>
      </c>
      <c r="D2173" s="12">
        <f t="shared" si="298"/>
        <v>-0.9</v>
      </c>
      <c r="E2173" s="12">
        <f t="shared" si="299"/>
        <v>11.11479719822222</v>
      </c>
      <c r="F2173" s="12">
        <f t="shared" si="300"/>
        <v>11.11479719822222</v>
      </c>
      <c r="G2173" s="12">
        <f t="shared" si="301"/>
        <v>14.565203484444444</v>
      </c>
      <c r="H2173" s="12">
        <f t="shared" si="302"/>
        <v>14.565203484444444</v>
      </c>
      <c r="I2173" s="1" t="str">
        <f t="shared" si="303"/>
        <v>No</v>
      </c>
      <c r="J2173" s="1" t="str">
        <f t="shared" si="304"/>
        <v>Si</v>
      </c>
      <c r="K2173" s="1" t="str">
        <f t="shared" si="305"/>
        <v/>
      </c>
    </row>
    <row r="2174" spans="1:11" x14ac:dyDescent="0.3">
      <c r="A2174" s="1">
        <v>42</v>
      </c>
      <c r="B2174" s="1">
        <v>14</v>
      </c>
      <c r="C2174" s="12">
        <f t="shared" si="297"/>
        <v>1.2749999999999999</v>
      </c>
      <c r="D2174" s="12">
        <f t="shared" si="298"/>
        <v>-0.82499999999999996</v>
      </c>
      <c r="E2174" s="12">
        <f t="shared" si="299"/>
        <v>11.112309105777776</v>
      </c>
      <c r="F2174" s="12">
        <f t="shared" si="300"/>
        <v>11.112309105777776</v>
      </c>
      <c r="G2174" s="12">
        <f t="shared" si="301"/>
        <v>14.561699128888888</v>
      </c>
      <c r="H2174" s="12">
        <f t="shared" si="302"/>
        <v>14.561699128888888</v>
      </c>
      <c r="I2174" s="1" t="str">
        <f t="shared" si="303"/>
        <v>No</v>
      </c>
      <c r="J2174" s="1" t="str">
        <f t="shared" si="304"/>
        <v>Si</v>
      </c>
      <c r="K2174" s="1" t="str">
        <f t="shared" si="305"/>
        <v/>
      </c>
    </row>
    <row r="2175" spans="1:11" x14ac:dyDescent="0.3">
      <c r="A2175" s="1">
        <v>42</v>
      </c>
      <c r="B2175" s="1">
        <v>15</v>
      </c>
      <c r="C2175" s="12">
        <f t="shared" si="297"/>
        <v>1.2749999999999999</v>
      </c>
      <c r="D2175" s="12">
        <f t="shared" si="298"/>
        <v>-0.75</v>
      </c>
      <c r="E2175" s="12">
        <f t="shared" si="299"/>
        <v>11.109821013333331</v>
      </c>
      <c r="F2175" s="12">
        <f t="shared" si="300"/>
        <v>11.109821013333331</v>
      </c>
      <c r="G2175" s="12">
        <f t="shared" si="301"/>
        <v>14.558194773333332</v>
      </c>
      <c r="H2175" s="12">
        <f t="shared" si="302"/>
        <v>14.558194773333332</v>
      </c>
      <c r="I2175" s="1" t="str">
        <f t="shared" si="303"/>
        <v>No</v>
      </c>
      <c r="J2175" s="1" t="str">
        <f t="shared" si="304"/>
        <v>Si</v>
      </c>
      <c r="K2175" s="1" t="str">
        <f t="shared" si="305"/>
        <v/>
      </c>
    </row>
    <row r="2176" spans="1:11" x14ac:dyDescent="0.3">
      <c r="A2176" s="1">
        <v>42</v>
      </c>
      <c r="B2176" s="1">
        <v>16</v>
      </c>
      <c r="C2176" s="12">
        <f t="shared" si="297"/>
        <v>1.2749999999999999</v>
      </c>
      <c r="D2176" s="12">
        <f t="shared" si="298"/>
        <v>-0.67500000000000004</v>
      </c>
      <c r="E2176" s="12">
        <f t="shared" si="299"/>
        <v>11.107332920888886</v>
      </c>
      <c r="F2176" s="12">
        <f t="shared" si="300"/>
        <v>11.107332920888886</v>
      </c>
      <c r="G2176" s="12">
        <f t="shared" si="301"/>
        <v>14.554690417777776</v>
      </c>
      <c r="H2176" s="12">
        <f t="shared" si="302"/>
        <v>14.554690417777776</v>
      </c>
      <c r="I2176" s="1" t="str">
        <f t="shared" si="303"/>
        <v>No</v>
      </c>
      <c r="J2176" s="1" t="str">
        <f t="shared" si="304"/>
        <v>Si</v>
      </c>
      <c r="K2176" s="1" t="str">
        <f t="shared" si="305"/>
        <v/>
      </c>
    </row>
    <row r="2177" spans="1:11" x14ac:dyDescent="0.3">
      <c r="A2177" s="1">
        <v>42</v>
      </c>
      <c r="B2177" s="1">
        <v>17</v>
      </c>
      <c r="C2177" s="12">
        <f t="shared" si="297"/>
        <v>1.2749999999999999</v>
      </c>
      <c r="D2177" s="12">
        <f t="shared" si="298"/>
        <v>-0.60000000000000009</v>
      </c>
      <c r="E2177" s="12">
        <f t="shared" si="299"/>
        <v>11.104844828444442</v>
      </c>
      <c r="F2177" s="12">
        <f t="shared" si="300"/>
        <v>11.104844828444442</v>
      </c>
      <c r="G2177" s="12">
        <f t="shared" si="301"/>
        <v>14.551186062222222</v>
      </c>
      <c r="H2177" s="12">
        <f t="shared" si="302"/>
        <v>14.551186062222222</v>
      </c>
      <c r="I2177" s="1" t="str">
        <f t="shared" si="303"/>
        <v>No</v>
      </c>
      <c r="J2177" s="1" t="str">
        <f t="shared" si="304"/>
        <v>Si</v>
      </c>
      <c r="K2177" s="1" t="str">
        <f t="shared" si="305"/>
        <v/>
      </c>
    </row>
    <row r="2178" spans="1:11" x14ac:dyDescent="0.3">
      <c r="A2178" s="1">
        <v>42</v>
      </c>
      <c r="B2178" s="1">
        <v>18</v>
      </c>
      <c r="C2178" s="12">
        <f t="shared" si="297"/>
        <v>1.2749999999999999</v>
      </c>
      <c r="D2178" s="12">
        <f t="shared" si="298"/>
        <v>-0.52499999999999991</v>
      </c>
      <c r="E2178" s="12">
        <f t="shared" si="299"/>
        <v>11.102356735999997</v>
      </c>
      <c r="F2178" s="12">
        <f t="shared" si="300"/>
        <v>11.102356735999997</v>
      </c>
      <c r="G2178" s="12">
        <f t="shared" si="301"/>
        <v>14.547681706666665</v>
      </c>
      <c r="H2178" s="12">
        <f t="shared" si="302"/>
        <v>14.547681706666665</v>
      </c>
      <c r="I2178" s="1" t="str">
        <f t="shared" si="303"/>
        <v>No</v>
      </c>
      <c r="J2178" s="1" t="str">
        <f t="shared" si="304"/>
        <v>Si</v>
      </c>
      <c r="K2178" s="1" t="str">
        <f t="shared" si="305"/>
        <v/>
      </c>
    </row>
    <row r="2179" spans="1:11" x14ac:dyDescent="0.3">
      <c r="A2179" s="1">
        <v>42</v>
      </c>
      <c r="B2179" s="1">
        <v>19</v>
      </c>
      <c r="C2179" s="12">
        <f t="shared" si="297"/>
        <v>1.2749999999999999</v>
      </c>
      <c r="D2179" s="12">
        <f t="shared" si="298"/>
        <v>-0.44999999999999996</v>
      </c>
      <c r="E2179" s="12">
        <f t="shared" si="299"/>
        <v>11.099868643555554</v>
      </c>
      <c r="F2179" s="12">
        <f t="shared" si="300"/>
        <v>11.099868643555554</v>
      </c>
      <c r="G2179" s="12">
        <f t="shared" si="301"/>
        <v>14.544177351111109</v>
      </c>
      <c r="H2179" s="12">
        <f t="shared" si="302"/>
        <v>14.544177351111109</v>
      </c>
      <c r="I2179" s="1" t="str">
        <f t="shared" si="303"/>
        <v>No</v>
      </c>
      <c r="J2179" s="1" t="str">
        <f t="shared" si="304"/>
        <v>Si</v>
      </c>
      <c r="K2179" s="1" t="str">
        <f t="shared" si="305"/>
        <v/>
      </c>
    </row>
    <row r="2180" spans="1:11" x14ac:dyDescent="0.3">
      <c r="A2180" s="1">
        <v>42</v>
      </c>
      <c r="B2180" s="1">
        <v>20</v>
      </c>
      <c r="C2180" s="12">
        <f t="shared" si="297"/>
        <v>1.2749999999999999</v>
      </c>
      <c r="D2180" s="12">
        <f t="shared" si="298"/>
        <v>-0.375</v>
      </c>
      <c r="E2180" s="12">
        <f t="shared" si="299"/>
        <v>11.09738055111111</v>
      </c>
      <c r="F2180" s="12">
        <f t="shared" si="300"/>
        <v>11.09738055111111</v>
      </c>
      <c r="G2180" s="12">
        <f t="shared" si="301"/>
        <v>14.540672995555555</v>
      </c>
      <c r="H2180" s="12">
        <f t="shared" si="302"/>
        <v>14.540672995555555</v>
      </c>
      <c r="I2180" s="1" t="str">
        <f t="shared" si="303"/>
        <v>No</v>
      </c>
      <c r="J2180" s="1" t="str">
        <f t="shared" si="304"/>
        <v>Si</v>
      </c>
      <c r="K2180" s="1" t="str">
        <f t="shared" si="305"/>
        <v/>
      </c>
    </row>
    <row r="2181" spans="1:11" x14ac:dyDescent="0.3">
      <c r="A2181" s="1">
        <v>42</v>
      </c>
      <c r="B2181" s="1">
        <v>21</v>
      </c>
      <c r="C2181" s="12">
        <f t="shared" si="297"/>
        <v>1.2749999999999999</v>
      </c>
      <c r="D2181" s="12">
        <f t="shared" si="298"/>
        <v>-0.30000000000000004</v>
      </c>
      <c r="E2181" s="12">
        <f t="shared" si="299"/>
        <v>11.094892458666665</v>
      </c>
      <c r="F2181" s="12">
        <f t="shared" si="300"/>
        <v>11.094892458666665</v>
      </c>
      <c r="G2181" s="12">
        <f t="shared" si="301"/>
        <v>14.537168639999999</v>
      </c>
      <c r="H2181" s="12">
        <f t="shared" si="302"/>
        <v>14.537168639999999</v>
      </c>
      <c r="I2181" s="1" t="str">
        <f t="shared" si="303"/>
        <v>No</v>
      </c>
      <c r="J2181" s="1" t="str">
        <f t="shared" si="304"/>
        <v>Si</v>
      </c>
      <c r="K2181" s="1" t="str">
        <f t="shared" si="305"/>
        <v/>
      </c>
    </row>
    <row r="2182" spans="1:11" x14ac:dyDescent="0.3">
      <c r="A2182" s="1">
        <v>42</v>
      </c>
      <c r="B2182" s="1">
        <v>22</v>
      </c>
      <c r="C2182" s="12">
        <f t="shared" si="297"/>
        <v>1.2749999999999999</v>
      </c>
      <c r="D2182" s="12">
        <f t="shared" si="298"/>
        <v>-0.22500000000000009</v>
      </c>
      <c r="E2182" s="12">
        <f t="shared" si="299"/>
        <v>11.092404366222221</v>
      </c>
      <c r="F2182" s="12">
        <f t="shared" si="300"/>
        <v>11.092404366222221</v>
      </c>
      <c r="G2182" s="12">
        <f t="shared" si="301"/>
        <v>14.533664284444443</v>
      </c>
      <c r="H2182" s="12">
        <f t="shared" si="302"/>
        <v>14.533664284444443</v>
      </c>
      <c r="I2182" s="1" t="str">
        <f t="shared" si="303"/>
        <v>No</v>
      </c>
      <c r="J2182" s="1" t="str">
        <f t="shared" si="304"/>
        <v>Si</v>
      </c>
      <c r="K2182" s="1" t="str">
        <f t="shared" si="305"/>
        <v/>
      </c>
    </row>
    <row r="2183" spans="1:11" x14ac:dyDescent="0.3">
      <c r="A2183" s="1">
        <v>42</v>
      </c>
      <c r="B2183" s="1">
        <v>23</v>
      </c>
      <c r="C2183" s="12">
        <f t="shared" si="297"/>
        <v>1.2749999999999999</v>
      </c>
      <c r="D2183" s="12">
        <f t="shared" si="298"/>
        <v>-0.14999999999999991</v>
      </c>
      <c r="E2183" s="12">
        <f t="shared" si="299"/>
        <v>11.089916273777776</v>
      </c>
      <c r="F2183" s="12">
        <f t="shared" si="300"/>
        <v>11.089916273777776</v>
      </c>
      <c r="G2183" s="12">
        <f t="shared" si="301"/>
        <v>14.530159928888887</v>
      </c>
      <c r="H2183" s="12">
        <f t="shared" si="302"/>
        <v>14.530159928888887</v>
      </c>
      <c r="I2183" s="1" t="str">
        <f t="shared" si="303"/>
        <v>No</v>
      </c>
      <c r="J2183" s="1" t="str">
        <f t="shared" si="304"/>
        <v>Si</v>
      </c>
      <c r="K2183" s="1" t="str">
        <f t="shared" si="305"/>
        <v/>
      </c>
    </row>
    <row r="2184" spans="1:11" x14ac:dyDescent="0.3">
      <c r="A2184" s="1">
        <v>42</v>
      </c>
      <c r="B2184" s="1">
        <v>24</v>
      </c>
      <c r="C2184" s="12">
        <f t="shared" si="297"/>
        <v>1.2749999999999999</v>
      </c>
      <c r="D2184" s="12">
        <f t="shared" si="298"/>
        <v>-7.4999999999999956E-2</v>
      </c>
      <c r="E2184" s="12">
        <f t="shared" si="299"/>
        <v>11.087428181333332</v>
      </c>
      <c r="F2184" s="12">
        <f t="shared" si="300"/>
        <v>11.087428181333332</v>
      </c>
      <c r="G2184" s="12">
        <f t="shared" si="301"/>
        <v>14.526655573333333</v>
      </c>
      <c r="H2184" s="12">
        <f t="shared" si="302"/>
        <v>14.526655573333333</v>
      </c>
      <c r="I2184" s="1" t="str">
        <f t="shared" si="303"/>
        <v>No</v>
      </c>
      <c r="J2184" s="1" t="str">
        <f t="shared" si="304"/>
        <v>Si</v>
      </c>
      <c r="K2184" s="1" t="str">
        <f t="shared" si="305"/>
        <v/>
      </c>
    </row>
    <row r="2185" spans="1:11" x14ac:dyDescent="0.3">
      <c r="A2185" s="1">
        <v>42</v>
      </c>
      <c r="B2185" s="1">
        <v>25</v>
      </c>
      <c r="C2185" s="12">
        <f t="shared" si="297"/>
        <v>1.2749999999999999</v>
      </c>
      <c r="D2185" s="12">
        <f t="shared" si="298"/>
        <v>0</v>
      </c>
      <c r="E2185" s="12">
        <f t="shared" si="299"/>
        <v>11.084940088888887</v>
      </c>
      <c r="F2185" s="12">
        <f t="shared" si="300"/>
        <v>11.084940088888887</v>
      </c>
      <c r="G2185" s="12">
        <f t="shared" si="301"/>
        <v>14.523151217777777</v>
      </c>
      <c r="H2185" s="12">
        <f t="shared" si="302"/>
        <v>14.523151217777777</v>
      </c>
      <c r="I2185" s="1" t="str">
        <f t="shared" si="303"/>
        <v>No</v>
      </c>
      <c r="J2185" s="1" t="str">
        <f t="shared" si="304"/>
        <v>Si</v>
      </c>
      <c r="K2185" s="1" t="str">
        <f t="shared" si="305"/>
        <v/>
      </c>
    </row>
    <row r="2186" spans="1:11" x14ac:dyDescent="0.3">
      <c r="A2186" s="1">
        <v>42</v>
      </c>
      <c r="B2186" s="1">
        <v>26</v>
      </c>
      <c r="C2186" s="12">
        <f t="shared" si="297"/>
        <v>1.2749999999999999</v>
      </c>
      <c r="D2186" s="12">
        <f t="shared" si="298"/>
        <v>7.4999999999999956E-2</v>
      </c>
      <c r="E2186" s="12">
        <f t="shared" si="299"/>
        <v>11.082451996444442</v>
      </c>
      <c r="F2186" s="12">
        <f t="shared" si="300"/>
        <v>11.082451996444442</v>
      </c>
      <c r="G2186" s="12">
        <f t="shared" si="301"/>
        <v>14.519646862222221</v>
      </c>
      <c r="H2186" s="12">
        <f t="shared" si="302"/>
        <v>14.519646862222221</v>
      </c>
      <c r="I2186" s="1" t="str">
        <f t="shared" si="303"/>
        <v>No</v>
      </c>
      <c r="J2186" s="1" t="str">
        <f t="shared" si="304"/>
        <v>Si</v>
      </c>
      <c r="K2186" s="1" t="str">
        <f t="shared" si="305"/>
        <v/>
      </c>
    </row>
    <row r="2187" spans="1:11" x14ac:dyDescent="0.3">
      <c r="A2187" s="1">
        <v>42</v>
      </c>
      <c r="B2187" s="1">
        <v>27</v>
      </c>
      <c r="C2187" s="12">
        <f t="shared" si="297"/>
        <v>1.2749999999999999</v>
      </c>
      <c r="D2187" s="12">
        <f t="shared" si="298"/>
        <v>0.14999999999999991</v>
      </c>
      <c r="E2187" s="12">
        <f t="shared" si="299"/>
        <v>11.079963903999998</v>
      </c>
      <c r="F2187" s="12">
        <f t="shared" si="300"/>
        <v>11.079963903999998</v>
      </c>
      <c r="G2187" s="12">
        <f t="shared" si="301"/>
        <v>14.516142506666666</v>
      </c>
      <c r="H2187" s="12">
        <f t="shared" si="302"/>
        <v>14.516142506666666</v>
      </c>
      <c r="I2187" s="1" t="str">
        <f t="shared" si="303"/>
        <v>No</v>
      </c>
      <c r="J2187" s="1" t="str">
        <f t="shared" si="304"/>
        <v>Si</v>
      </c>
      <c r="K2187" s="1" t="str">
        <f t="shared" si="305"/>
        <v/>
      </c>
    </row>
    <row r="2188" spans="1:11" x14ac:dyDescent="0.3">
      <c r="A2188" s="1">
        <v>42</v>
      </c>
      <c r="B2188" s="1">
        <v>28</v>
      </c>
      <c r="C2188" s="12">
        <f t="shared" si="297"/>
        <v>1.2749999999999999</v>
      </c>
      <c r="D2188" s="12">
        <f t="shared" si="298"/>
        <v>0.22500000000000009</v>
      </c>
      <c r="E2188" s="12">
        <f t="shared" si="299"/>
        <v>11.077475811555553</v>
      </c>
      <c r="F2188" s="12">
        <f t="shared" si="300"/>
        <v>11.077475811555553</v>
      </c>
      <c r="G2188" s="12">
        <f t="shared" si="301"/>
        <v>14.51263815111111</v>
      </c>
      <c r="H2188" s="12">
        <f t="shared" si="302"/>
        <v>14.51263815111111</v>
      </c>
      <c r="I2188" s="1" t="str">
        <f t="shared" si="303"/>
        <v>No</v>
      </c>
      <c r="J2188" s="1" t="str">
        <f t="shared" si="304"/>
        <v>Si</v>
      </c>
      <c r="K2188" s="1" t="str">
        <f t="shared" si="305"/>
        <v/>
      </c>
    </row>
    <row r="2189" spans="1:11" x14ac:dyDescent="0.3">
      <c r="A2189" s="1">
        <v>42</v>
      </c>
      <c r="B2189" s="1">
        <v>29</v>
      </c>
      <c r="C2189" s="12">
        <f t="shared" si="297"/>
        <v>1.2749999999999999</v>
      </c>
      <c r="D2189" s="12">
        <f t="shared" si="298"/>
        <v>0.29999999999999982</v>
      </c>
      <c r="E2189" s="12">
        <f t="shared" si="299"/>
        <v>11.074987719111109</v>
      </c>
      <c r="F2189" s="12">
        <f t="shared" si="300"/>
        <v>11.074987719111109</v>
      </c>
      <c r="G2189" s="12">
        <f t="shared" si="301"/>
        <v>14.509133795555554</v>
      </c>
      <c r="H2189" s="12">
        <f t="shared" si="302"/>
        <v>14.509133795555554</v>
      </c>
      <c r="I2189" s="1" t="str">
        <f t="shared" si="303"/>
        <v>No</v>
      </c>
      <c r="J2189" s="1" t="str">
        <f t="shared" si="304"/>
        <v>Si</v>
      </c>
      <c r="K2189" s="1" t="str">
        <f t="shared" si="305"/>
        <v/>
      </c>
    </row>
    <row r="2190" spans="1:11" x14ac:dyDescent="0.3">
      <c r="A2190" s="1">
        <v>42</v>
      </c>
      <c r="B2190" s="1">
        <v>30</v>
      </c>
      <c r="C2190" s="12">
        <f t="shared" si="297"/>
        <v>1.2749999999999999</v>
      </c>
      <c r="D2190" s="12">
        <f t="shared" si="298"/>
        <v>0.375</v>
      </c>
      <c r="E2190" s="12">
        <f t="shared" si="299"/>
        <v>11.072499626666664</v>
      </c>
      <c r="F2190" s="12">
        <f t="shared" si="300"/>
        <v>11.072499626666664</v>
      </c>
      <c r="G2190" s="12">
        <f t="shared" si="301"/>
        <v>14.505629439999998</v>
      </c>
      <c r="H2190" s="12">
        <f t="shared" si="302"/>
        <v>14.505629439999998</v>
      </c>
      <c r="I2190" s="1" t="str">
        <f t="shared" si="303"/>
        <v>No</v>
      </c>
      <c r="J2190" s="1" t="str">
        <f t="shared" si="304"/>
        <v>Si</v>
      </c>
      <c r="K2190" s="1" t="str">
        <f t="shared" si="305"/>
        <v/>
      </c>
    </row>
    <row r="2191" spans="1:11" x14ac:dyDescent="0.3">
      <c r="A2191" s="1">
        <v>42</v>
      </c>
      <c r="B2191" s="1">
        <v>31</v>
      </c>
      <c r="C2191" s="12">
        <f t="shared" si="297"/>
        <v>1.2749999999999999</v>
      </c>
      <c r="D2191" s="12">
        <f t="shared" si="298"/>
        <v>0.45000000000000018</v>
      </c>
      <c r="E2191" s="12">
        <f t="shared" si="299"/>
        <v>11.070011534222219</v>
      </c>
      <c r="F2191" s="12">
        <f t="shared" si="300"/>
        <v>11.070011534222219</v>
      </c>
      <c r="G2191" s="12">
        <f t="shared" si="301"/>
        <v>14.502125084444444</v>
      </c>
      <c r="H2191" s="12">
        <f t="shared" si="302"/>
        <v>14.502125084444444</v>
      </c>
      <c r="I2191" s="1" t="str">
        <f t="shared" si="303"/>
        <v>No</v>
      </c>
      <c r="J2191" s="1" t="str">
        <f t="shared" si="304"/>
        <v>Si</v>
      </c>
      <c r="K2191" s="1" t="str">
        <f t="shared" si="305"/>
        <v/>
      </c>
    </row>
    <row r="2192" spans="1:11" x14ac:dyDescent="0.3">
      <c r="A2192" s="1">
        <v>42</v>
      </c>
      <c r="B2192" s="1">
        <v>32</v>
      </c>
      <c r="C2192" s="12">
        <f t="shared" si="297"/>
        <v>1.2749999999999999</v>
      </c>
      <c r="D2192" s="12">
        <f t="shared" si="298"/>
        <v>0.52499999999999991</v>
      </c>
      <c r="E2192" s="12">
        <f t="shared" si="299"/>
        <v>11.067523441777777</v>
      </c>
      <c r="F2192" s="12">
        <f t="shared" si="300"/>
        <v>11.067523441777777</v>
      </c>
      <c r="G2192" s="12">
        <f t="shared" si="301"/>
        <v>14.498620728888888</v>
      </c>
      <c r="H2192" s="12">
        <f t="shared" si="302"/>
        <v>14.498620728888888</v>
      </c>
      <c r="I2192" s="1" t="str">
        <f t="shared" si="303"/>
        <v>No</v>
      </c>
      <c r="J2192" s="1" t="str">
        <f t="shared" si="304"/>
        <v>Si</v>
      </c>
      <c r="K2192" s="1" t="str">
        <f t="shared" si="305"/>
        <v/>
      </c>
    </row>
    <row r="2193" spans="1:11" x14ac:dyDescent="0.3">
      <c r="A2193" s="1">
        <v>42</v>
      </c>
      <c r="B2193" s="1">
        <v>33</v>
      </c>
      <c r="C2193" s="12">
        <f t="shared" si="297"/>
        <v>1.2749999999999999</v>
      </c>
      <c r="D2193" s="12">
        <f t="shared" si="298"/>
        <v>0.60000000000000009</v>
      </c>
      <c r="E2193" s="12">
        <f t="shared" si="299"/>
        <v>11.065035349333332</v>
      </c>
      <c r="F2193" s="12">
        <f t="shared" si="300"/>
        <v>11.065035349333332</v>
      </c>
      <c r="G2193" s="12">
        <f t="shared" si="301"/>
        <v>14.495116373333332</v>
      </c>
      <c r="H2193" s="12">
        <f t="shared" si="302"/>
        <v>14.495116373333332</v>
      </c>
      <c r="I2193" s="1" t="str">
        <f t="shared" si="303"/>
        <v>No</v>
      </c>
      <c r="J2193" s="1" t="str">
        <f t="shared" si="304"/>
        <v>Si</v>
      </c>
      <c r="K2193" s="1" t="str">
        <f t="shared" si="305"/>
        <v/>
      </c>
    </row>
    <row r="2194" spans="1:11" x14ac:dyDescent="0.3">
      <c r="A2194" s="1">
        <v>42</v>
      </c>
      <c r="B2194" s="1">
        <v>34</v>
      </c>
      <c r="C2194" s="12">
        <f t="shared" ref="C2194:C2257" si="306">IF(OR(A2194&gt;inp_n_div_x,B2194&gt;inp_n_div_y),"",-inp_bx/2+A2194*inp_bx/inp_n_div_x)</f>
        <v>1.2749999999999999</v>
      </c>
      <c r="D2194" s="12">
        <f t="shared" ref="D2194:D2257" si="307">IF(C2194="","",-inp_by/2+B2194*inp_by/inp_n_div_y)</f>
        <v>0.67499999999999982</v>
      </c>
      <c r="E2194" s="12">
        <f t="shared" ref="E2194:E2257" si="308">IF(C2194="","",res_srv_p_tot/geo_area+res_srv_mx_tot/geo_ix*D2194+res_srv_my_tot/geo_iy*C2194)</f>
        <v>11.062547256888887</v>
      </c>
      <c r="F2194" s="12">
        <f t="shared" ref="F2194:F2257" si="309">IF(E2194="","",MAX(0,E2194))</f>
        <v>11.062547256888887</v>
      </c>
      <c r="G2194" s="12">
        <f t="shared" ref="G2194:G2257" si="310">IF(C2194="","",res_u_p_tot/geo_area+res_u_mx_tot/geo_ix*D2194+res_u_my_tot/geo_iy*C2194)</f>
        <v>14.491612017777777</v>
      </c>
      <c r="H2194" s="12">
        <f t="shared" ref="H2194:H2257" si="311">IF(G2194="","",MAX(0,G2194))</f>
        <v>14.491612017777777</v>
      </c>
      <c r="I2194" s="1" t="str">
        <f t="shared" ref="I2194:I2257" si="312">IF(C2194="","",IF(AND(C2194&gt;=inp_xc-inp_cx/2,C2194&lt;=inp_xc+inp_cx/2,D2194&gt;=inp_yc-inp_cy/2,D2194&lt;=inp_yc+inp_cy/2),"Si","No"))</f>
        <v>No</v>
      </c>
      <c r="J2194" s="1" t="str">
        <f t="shared" ref="J2194:J2257" si="313">IF(C2194="","","Si")</f>
        <v>Si</v>
      </c>
      <c r="K2194" s="1" t="str">
        <f t="shared" ref="K2194:K2257" si="314">IF(OR(E2194&lt;0,G2194&lt;0),"Presion negativa","")</f>
        <v/>
      </c>
    </row>
    <row r="2195" spans="1:11" x14ac:dyDescent="0.3">
      <c r="A2195" s="1">
        <v>42</v>
      </c>
      <c r="B2195" s="1">
        <v>35</v>
      </c>
      <c r="C2195" s="12">
        <f t="shared" si="306"/>
        <v>1.2749999999999999</v>
      </c>
      <c r="D2195" s="12">
        <f t="shared" si="307"/>
        <v>0.75</v>
      </c>
      <c r="E2195" s="12">
        <f t="shared" si="308"/>
        <v>11.060059164444443</v>
      </c>
      <c r="F2195" s="12">
        <f t="shared" si="309"/>
        <v>11.060059164444443</v>
      </c>
      <c r="G2195" s="12">
        <f t="shared" si="310"/>
        <v>14.488107662222221</v>
      </c>
      <c r="H2195" s="12">
        <f t="shared" si="311"/>
        <v>14.488107662222221</v>
      </c>
      <c r="I2195" s="1" t="str">
        <f t="shared" si="312"/>
        <v>No</v>
      </c>
      <c r="J2195" s="1" t="str">
        <f t="shared" si="313"/>
        <v>Si</v>
      </c>
      <c r="K2195" s="1" t="str">
        <f t="shared" si="314"/>
        <v/>
      </c>
    </row>
    <row r="2196" spans="1:11" x14ac:dyDescent="0.3">
      <c r="A2196" s="1">
        <v>42</v>
      </c>
      <c r="B2196" s="1">
        <v>36</v>
      </c>
      <c r="C2196" s="12">
        <f t="shared" si="306"/>
        <v>1.2749999999999999</v>
      </c>
      <c r="D2196" s="12">
        <f t="shared" si="307"/>
        <v>0.82500000000000018</v>
      </c>
      <c r="E2196" s="12">
        <f t="shared" si="308"/>
        <v>11.057571071999998</v>
      </c>
      <c r="F2196" s="12">
        <f t="shared" si="309"/>
        <v>11.057571071999998</v>
      </c>
      <c r="G2196" s="12">
        <f t="shared" si="310"/>
        <v>14.484603306666665</v>
      </c>
      <c r="H2196" s="12">
        <f t="shared" si="311"/>
        <v>14.484603306666665</v>
      </c>
      <c r="I2196" s="1" t="str">
        <f t="shared" si="312"/>
        <v>No</v>
      </c>
      <c r="J2196" s="1" t="str">
        <f t="shared" si="313"/>
        <v>Si</v>
      </c>
      <c r="K2196" s="1" t="str">
        <f t="shared" si="314"/>
        <v/>
      </c>
    </row>
    <row r="2197" spans="1:11" x14ac:dyDescent="0.3">
      <c r="A2197" s="1">
        <v>42</v>
      </c>
      <c r="B2197" s="1">
        <v>37</v>
      </c>
      <c r="C2197" s="12">
        <f t="shared" si="306"/>
        <v>1.2749999999999999</v>
      </c>
      <c r="D2197" s="12">
        <f t="shared" si="307"/>
        <v>0.89999999999999991</v>
      </c>
      <c r="E2197" s="12">
        <f t="shared" si="308"/>
        <v>11.055082979555554</v>
      </c>
      <c r="F2197" s="12">
        <f t="shared" si="309"/>
        <v>11.055082979555554</v>
      </c>
      <c r="G2197" s="12">
        <f t="shared" si="310"/>
        <v>14.481098951111109</v>
      </c>
      <c r="H2197" s="12">
        <f t="shared" si="311"/>
        <v>14.481098951111109</v>
      </c>
      <c r="I2197" s="1" t="str">
        <f t="shared" si="312"/>
        <v>No</v>
      </c>
      <c r="J2197" s="1" t="str">
        <f t="shared" si="313"/>
        <v>Si</v>
      </c>
      <c r="K2197" s="1" t="str">
        <f t="shared" si="314"/>
        <v/>
      </c>
    </row>
    <row r="2198" spans="1:11" x14ac:dyDescent="0.3">
      <c r="A2198" s="1">
        <v>42</v>
      </c>
      <c r="B2198" s="1">
        <v>38</v>
      </c>
      <c r="C2198" s="12">
        <f t="shared" si="306"/>
        <v>1.2749999999999999</v>
      </c>
      <c r="D2198" s="12">
        <f t="shared" si="307"/>
        <v>0.97500000000000009</v>
      </c>
      <c r="E2198" s="12">
        <f t="shared" si="308"/>
        <v>11.052594887111109</v>
      </c>
      <c r="F2198" s="12">
        <f t="shared" si="309"/>
        <v>11.052594887111109</v>
      </c>
      <c r="G2198" s="12">
        <f t="shared" si="310"/>
        <v>14.477594595555555</v>
      </c>
      <c r="H2198" s="12">
        <f t="shared" si="311"/>
        <v>14.477594595555555</v>
      </c>
      <c r="I2198" s="1" t="str">
        <f t="shared" si="312"/>
        <v>No</v>
      </c>
      <c r="J2198" s="1" t="str">
        <f t="shared" si="313"/>
        <v>Si</v>
      </c>
      <c r="K2198" s="1" t="str">
        <f t="shared" si="314"/>
        <v/>
      </c>
    </row>
    <row r="2199" spans="1:11" x14ac:dyDescent="0.3">
      <c r="A2199" s="1">
        <v>42</v>
      </c>
      <c r="B2199" s="1">
        <v>39</v>
      </c>
      <c r="C2199" s="12">
        <f t="shared" si="306"/>
        <v>1.2749999999999999</v>
      </c>
      <c r="D2199" s="12">
        <f t="shared" si="307"/>
        <v>1.0499999999999998</v>
      </c>
      <c r="E2199" s="12">
        <f t="shared" si="308"/>
        <v>11.050106794666664</v>
      </c>
      <c r="F2199" s="12">
        <f t="shared" si="309"/>
        <v>11.050106794666664</v>
      </c>
      <c r="G2199" s="12">
        <f t="shared" si="310"/>
        <v>14.474090239999999</v>
      </c>
      <c r="H2199" s="12">
        <f t="shared" si="311"/>
        <v>14.474090239999999</v>
      </c>
      <c r="I2199" s="1" t="str">
        <f t="shared" si="312"/>
        <v>No</v>
      </c>
      <c r="J2199" s="1" t="str">
        <f t="shared" si="313"/>
        <v>Si</v>
      </c>
      <c r="K2199" s="1" t="str">
        <f t="shared" si="314"/>
        <v/>
      </c>
    </row>
    <row r="2200" spans="1:11" x14ac:dyDescent="0.3">
      <c r="A2200" s="1">
        <v>42</v>
      </c>
      <c r="B2200" s="1">
        <v>40</v>
      </c>
      <c r="C2200" s="12">
        <f t="shared" si="306"/>
        <v>1.2749999999999999</v>
      </c>
      <c r="D2200" s="12">
        <f t="shared" si="307"/>
        <v>1.125</v>
      </c>
      <c r="E2200" s="12">
        <f t="shared" si="308"/>
        <v>11.04761870222222</v>
      </c>
      <c r="F2200" s="12">
        <f t="shared" si="309"/>
        <v>11.04761870222222</v>
      </c>
      <c r="G2200" s="12">
        <f t="shared" si="310"/>
        <v>14.470585884444443</v>
      </c>
      <c r="H2200" s="12">
        <f t="shared" si="311"/>
        <v>14.470585884444443</v>
      </c>
      <c r="I2200" s="1" t="str">
        <f t="shared" si="312"/>
        <v>No</v>
      </c>
      <c r="J2200" s="1" t="str">
        <f t="shared" si="313"/>
        <v>Si</v>
      </c>
      <c r="K2200" s="1" t="str">
        <f t="shared" si="314"/>
        <v/>
      </c>
    </row>
    <row r="2201" spans="1:11" x14ac:dyDescent="0.3">
      <c r="A2201" s="1">
        <v>42</v>
      </c>
      <c r="B2201" s="1">
        <v>41</v>
      </c>
      <c r="C2201" s="12">
        <f t="shared" si="306"/>
        <v>1.2749999999999999</v>
      </c>
      <c r="D2201" s="12">
        <f t="shared" si="307"/>
        <v>1.2000000000000002</v>
      </c>
      <c r="E2201" s="12">
        <f t="shared" si="308"/>
        <v>11.045130609777775</v>
      </c>
      <c r="F2201" s="12">
        <f t="shared" si="309"/>
        <v>11.045130609777775</v>
      </c>
      <c r="G2201" s="12">
        <f t="shared" si="310"/>
        <v>14.467081528888889</v>
      </c>
      <c r="H2201" s="12">
        <f t="shared" si="311"/>
        <v>14.467081528888889</v>
      </c>
      <c r="I2201" s="1" t="str">
        <f t="shared" si="312"/>
        <v>No</v>
      </c>
      <c r="J2201" s="1" t="str">
        <f t="shared" si="313"/>
        <v>Si</v>
      </c>
      <c r="K2201" s="1" t="str">
        <f t="shared" si="314"/>
        <v/>
      </c>
    </row>
    <row r="2202" spans="1:11" x14ac:dyDescent="0.3">
      <c r="A2202" s="1">
        <v>42</v>
      </c>
      <c r="B2202" s="1">
        <v>42</v>
      </c>
      <c r="C2202" s="12">
        <f t="shared" si="306"/>
        <v>1.2749999999999999</v>
      </c>
      <c r="D2202" s="12">
        <f t="shared" si="307"/>
        <v>1.2749999999999999</v>
      </c>
      <c r="E2202" s="12">
        <f t="shared" si="308"/>
        <v>11.042642517333331</v>
      </c>
      <c r="F2202" s="12">
        <f t="shared" si="309"/>
        <v>11.042642517333331</v>
      </c>
      <c r="G2202" s="12">
        <f t="shared" si="310"/>
        <v>14.463577173333332</v>
      </c>
      <c r="H2202" s="12">
        <f t="shared" si="311"/>
        <v>14.463577173333332</v>
      </c>
      <c r="I2202" s="1" t="str">
        <f t="shared" si="312"/>
        <v>No</v>
      </c>
      <c r="J2202" s="1" t="str">
        <f t="shared" si="313"/>
        <v>Si</v>
      </c>
      <c r="K2202" s="1" t="str">
        <f t="shared" si="314"/>
        <v/>
      </c>
    </row>
    <row r="2203" spans="1:11" x14ac:dyDescent="0.3">
      <c r="A2203" s="1">
        <v>42</v>
      </c>
      <c r="B2203" s="1">
        <v>43</v>
      </c>
      <c r="C2203" s="12">
        <f t="shared" si="306"/>
        <v>1.2749999999999999</v>
      </c>
      <c r="D2203" s="12">
        <f t="shared" si="307"/>
        <v>1.35</v>
      </c>
      <c r="E2203" s="12">
        <f t="shared" si="308"/>
        <v>11.040154424888886</v>
      </c>
      <c r="F2203" s="12">
        <f t="shared" si="309"/>
        <v>11.040154424888886</v>
      </c>
      <c r="G2203" s="12">
        <f t="shared" si="310"/>
        <v>14.460072817777776</v>
      </c>
      <c r="H2203" s="12">
        <f t="shared" si="311"/>
        <v>14.460072817777776</v>
      </c>
      <c r="I2203" s="1" t="str">
        <f t="shared" si="312"/>
        <v>No</v>
      </c>
      <c r="J2203" s="1" t="str">
        <f t="shared" si="313"/>
        <v>Si</v>
      </c>
      <c r="K2203" s="1" t="str">
        <f t="shared" si="314"/>
        <v/>
      </c>
    </row>
    <row r="2204" spans="1:11" x14ac:dyDescent="0.3">
      <c r="A2204" s="1">
        <v>42</v>
      </c>
      <c r="B2204" s="1">
        <v>44</v>
      </c>
      <c r="C2204" s="12">
        <f t="shared" si="306"/>
        <v>1.2749999999999999</v>
      </c>
      <c r="D2204" s="12">
        <f t="shared" si="307"/>
        <v>1.4249999999999998</v>
      </c>
      <c r="E2204" s="12">
        <f t="shared" si="308"/>
        <v>11.037666332444443</v>
      </c>
      <c r="F2204" s="12">
        <f t="shared" si="309"/>
        <v>11.037666332444443</v>
      </c>
      <c r="G2204" s="12">
        <f t="shared" si="310"/>
        <v>14.45656846222222</v>
      </c>
      <c r="H2204" s="12">
        <f t="shared" si="311"/>
        <v>14.45656846222222</v>
      </c>
      <c r="I2204" s="1" t="str">
        <f t="shared" si="312"/>
        <v>No</v>
      </c>
      <c r="J2204" s="1" t="str">
        <f t="shared" si="313"/>
        <v>Si</v>
      </c>
      <c r="K2204" s="1" t="str">
        <f t="shared" si="314"/>
        <v/>
      </c>
    </row>
    <row r="2205" spans="1:11" x14ac:dyDescent="0.3">
      <c r="A2205" s="1">
        <v>42</v>
      </c>
      <c r="B2205" s="1">
        <v>45</v>
      </c>
      <c r="C2205" s="12">
        <f t="shared" si="306"/>
        <v>1.2749999999999999</v>
      </c>
      <c r="D2205" s="12">
        <f t="shared" si="307"/>
        <v>1.5</v>
      </c>
      <c r="E2205" s="12">
        <f t="shared" si="308"/>
        <v>11.035178239999999</v>
      </c>
      <c r="F2205" s="12">
        <f t="shared" si="309"/>
        <v>11.035178239999999</v>
      </c>
      <c r="G2205" s="12">
        <f t="shared" si="310"/>
        <v>14.453064106666666</v>
      </c>
      <c r="H2205" s="12">
        <f t="shared" si="311"/>
        <v>14.453064106666666</v>
      </c>
      <c r="I2205" s="1" t="str">
        <f t="shared" si="312"/>
        <v>No</v>
      </c>
      <c r="J2205" s="1" t="str">
        <f t="shared" si="313"/>
        <v>Si</v>
      </c>
      <c r="K2205" s="1" t="str">
        <f t="shared" si="314"/>
        <v/>
      </c>
    </row>
    <row r="2206" spans="1:11" x14ac:dyDescent="0.3">
      <c r="A2206" s="1">
        <v>42</v>
      </c>
      <c r="B2206" s="1">
        <v>46</v>
      </c>
      <c r="C2206" s="12">
        <f t="shared" si="306"/>
        <v>1.2749999999999999</v>
      </c>
      <c r="D2206" s="12">
        <f t="shared" si="307"/>
        <v>1.5750000000000002</v>
      </c>
      <c r="E2206" s="12">
        <f t="shared" si="308"/>
        <v>11.032690147555554</v>
      </c>
      <c r="F2206" s="12">
        <f t="shared" si="309"/>
        <v>11.032690147555554</v>
      </c>
      <c r="G2206" s="12">
        <f t="shared" si="310"/>
        <v>14.44955975111111</v>
      </c>
      <c r="H2206" s="12">
        <f t="shared" si="311"/>
        <v>14.44955975111111</v>
      </c>
      <c r="I2206" s="1" t="str">
        <f t="shared" si="312"/>
        <v>No</v>
      </c>
      <c r="J2206" s="1" t="str">
        <f t="shared" si="313"/>
        <v>Si</v>
      </c>
      <c r="K2206" s="1" t="str">
        <f t="shared" si="314"/>
        <v/>
      </c>
    </row>
    <row r="2207" spans="1:11" x14ac:dyDescent="0.3">
      <c r="A2207" s="1">
        <v>42</v>
      </c>
      <c r="B2207" s="1">
        <v>47</v>
      </c>
      <c r="C2207" s="12">
        <f t="shared" si="306"/>
        <v>1.2749999999999999</v>
      </c>
      <c r="D2207" s="12">
        <f t="shared" si="307"/>
        <v>1.65</v>
      </c>
      <c r="E2207" s="12">
        <f t="shared" si="308"/>
        <v>11.03020205511111</v>
      </c>
      <c r="F2207" s="12">
        <f t="shared" si="309"/>
        <v>11.03020205511111</v>
      </c>
      <c r="G2207" s="12">
        <f t="shared" si="310"/>
        <v>14.446055395555554</v>
      </c>
      <c r="H2207" s="12">
        <f t="shared" si="311"/>
        <v>14.446055395555554</v>
      </c>
      <c r="I2207" s="1" t="str">
        <f t="shared" si="312"/>
        <v>No</v>
      </c>
      <c r="J2207" s="1" t="str">
        <f t="shared" si="313"/>
        <v>Si</v>
      </c>
      <c r="K2207" s="1" t="str">
        <f t="shared" si="314"/>
        <v/>
      </c>
    </row>
    <row r="2208" spans="1:11" x14ac:dyDescent="0.3">
      <c r="A2208" s="1">
        <v>42</v>
      </c>
      <c r="B2208" s="1">
        <v>48</v>
      </c>
      <c r="C2208" s="12">
        <f t="shared" si="306"/>
        <v>1.2749999999999999</v>
      </c>
      <c r="D2208" s="12">
        <f t="shared" si="307"/>
        <v>1.7250000000000001</v>
      </c>
      <c r="E2208" s="12">
        <f t="shared" si="308"/>
        <v>11.027713962666665</v>
      </c>
      <c r="F2208" s="12">
        <f t="shared" si="309"/>
        <v>11.027713962666665</v>
      </c>
      <c r="G2208" s="12">
        <f t="shared" si="310"/>
        <v>14.44255104</v>
      </c>
      <c r="H2208" s="12">
        <f t="shared" si="311"/>
        <v>14.44255104</v>
      </c>
      <c r="I2208" s="1" t="str">
        <f t="shared" si="312"/>
        <v>No</v>
      </c>
      <c r="J2208" s="1" t="str">
        <f t="shared" si="313"/>
        <v>Si</v>
      </c>
      <c r="K2208" s="1" t="str">
        <f t="shared" si="314"/>
        <v/>
      </c>
    </row>
    <row r="2209" spans="1:11" x14ac:dyDescent="0.3">
      <c r="A2209" s="1">
        <v>42</v>
      </c>
      <c r="B2209" s="1">
        <v>49</v>
      </c>
      <c r="C2209" s="12">
        <f t="shared" si="306"/>
        <v>1.2749999999999999</v>
      </c>
      <c r="D2209" s="12">
        <f t="shared" si="307"/>
        <v>1.7999999999999998</v>
      </c>
      <c r="E2209" s="12">
        <f t="shared" si="308"/>
        <v>11.02522587022222</v>
      </c>
      <c r="F2209" s="12">
        <f t="shared" si="309"/>
        <v>11.02522587022222</v>
      </c>
      <c r="G2209" s="12">
        <f t="shared" si="310"/>
        <v>14.439046684444444</v>
      </c>
      <c r="H2209" s="12">
        <f t="shared" si="311"/>
        <v>14.439046684444444</v>
      </c>
      <c r="I2209" s="1" t="str">
        <f t="shared" si="312"/>
        <v>No</v>
      </c>
      <c r="J2209" s="1" t="str">
        <f t="shared" si="313"/>
        <v>Si</v>
      </c>
      <c r="K2209" s="1" t="str">
        <f t="shared" si="314"/>
        <v/>
      </c>
    </row>
    <row r="2210" spans="1:11" x14ac:dyDescent="0.3">
      <c r="A2210" s="1">
        <v>42</v>
      </c>
      <c r="B2210" s="1">
        <v>50</v>
      </c>
      <c r="C2210" s="12">
        <f t="shared" si="306"/>
        <v>1.2749999999999999</v>
      </c>
      <c r="D2210" s="12">
        <f t="shared" si="307"/>
        <v>1.875</v>
      </c>
      <c r="E2210" s="12">
        <f t="shared" si="308"/>
        <v>11.022737777777776</v>
      </c>
      <c r="F2210" s="12">
        <f t="shared" si="309"/>
        <v>11.022737777777776</v>
      </c>
      <c r="G2210" s="12">
        <f t="shared" si="310"/>
        <v>14.435542328888888</v>
      </c>
      <c r="H2210" s="12">
        <f t="shared" si="311"/>
        <v>14.435542328888888</v>
      </c>
      <c r="I2210" s="1" t="str">
        <f t="shared" si="312"/>
        <v>No</v>
      </c>
      <c r="J2210" s="1" t="str">
        <f t="shared" si="313"/>
        <v>Si</v>
      </c>
      <c r="K2210" s="1" t="str">
        <f t="shared" si="314"/>
        <v/>
      </c>
    </row>
    <row r="2211" spans="1:11" x14ac:dyDescent="0.3">
      <c r="A2211" s="1">
        <v>43</v>
      </c>
      <c r="B2211" s="1">
        <v>0</v>
      </c>
      <c r="C2211" s="12">
        <f t="shared" si="306"/>
        <v>1.35</v>
      </c>
      <c r="D2211" s="12">
        <f t="shared" si="307"/>
        <v>-1.875</v>
      </c>
      <c r="E2211" s="12">
        <f t="shared" si="308"/>
        <v>11.147836444444444</v>
      </c>
      <c r="F2211" s="12">
        <f t="shared" si="309"/>
        <v>11.147836444444444</v>
      </c>
      <c r="G2211" s="12">
        <f t="shared" si="310"/>
        <v>14.611797759999998</v>
      </c>
      <c r="H2211" s="12">
        <f t="shared" si="311"/>
        <v>14.611797759999998</v>
      </c>
      <c r="I2211" s="1" t="str">
        <f t="shared" si="312"/>
        <v>No</v>
      </c>
      <c r="J2211" s="1" t="str">
        <f t="shared" si="313"/>
        <v>Si</v>
      </c>
      <c r="K2211" s="1" t="str">
        <f t="shared" si="314"/>
        <v/>
      </c>
    </row>
    <row r="2212" spans="1:11" x14ac:dyDescent="0.3">
      <c r="A2212" s="1">
        <v>43</v>
      </c>
      <c r="B2212" s="1">
        <v>1</v>
      </c>
      <c r="C2212" s="12">
        <f t="shared" si="306"/>
        <v>1.35</v>
      </c>
      <c r="D2212" s="12">
        <f t="shared" si="307"/>
        <v>-1.8</v>
      </c>
      <c r="E2212" s="12">
        <f t="shared" si="308"/>
        <v>11.145348351999999</v>
      </c>
      <c r="F2212" s="12">
        <f t="shared" si="309"/>
        <v>11.145348351999999</v>
      </c>
      <c r="G2212" s="12">
        <f t="shared" si="310"/>
        <v>14.608293404444442</v>
      </c>
      <c r="H2212" s="12">
        <f t="shared" si="311"/>
        <v>14.608293404444442</v>
      </c>
      <c r="I2212" s="1" t="str">
        <f t="shared" si="312"/>
        <v>No</v>
      </c>
      <c r="J2212" s="1" t="str">
        <f t="shared" si="313"/>
        <v>Si</v>
      </c>
      <c r="K2212" s="1" t="str">
        <f t="shared" si="314"/>
        <v/>
      </c>
    </row>
    <row r="2213" spans="1:11" x14ac:dyDescent="0.3">
      <c r="A2213" s="1">
        <v>43</v>
      </c>
      <c r="B2213" s="1">
        <v>2</v>
      </c>
      <c r="C2213" s="12">
        <f t="shared" si="306"/>
        <v>1.35</v>
      </c>
      <c r="D2213" s="12">
        <f t="shared" si="307"/>
        <v>-1.7250000000000001</v>
      </c>
      <c r="E2213" s="12">
        <f t="shared" si="308"/>
        <v>11.142860259555555</v>
      </c>
      <c r="F2213" s="12">
        <f t="shared" si="309"/>
        <v>11.142860259555555</v>
      </c>
      <c r="G2213" s="12">
        <f t="shared" si="310"/>
        <v>14.604789048888886</v>
      </c>
      <c r="H2213" s="12">
        <f t="shared" si="311"/>
        <v>14.604789048888886</v>
      </c>
      <c r="I2213" s="1" t="str">
        <f t="shared" si="312"/>
        <v>No</v>
      </c>
      <c r="J2213" s="1" t="str">
        <f t="shared" si="313"/>
        <v>Si</v>
      </c>
      <c r="K2213" s="1" t="str">
        <f t="shared" si="314"/>
        <v/>
      </c>
    </row>
    <row r="2214" spans="1:11" x14ac:dyDescent="0.3">
      <c r="A2214" s="1">
        <v>43</v>
      </c>
      <c r="B2214" s="1">
        <v>3</v>
      </c>
      <c r="C2214" s="12">
        <f t="shared" si="306"/>
        <v>1.35</v>
      </c>
      <c r="D2214" s="12">
        <f t="shared" si="307"/>
        <v>-1.65</v>
      </c>
      <c r="E2214" s="12">
        <f t="shared" si="308"/>
        <v>11.14037216711111</v>
      </c>
      <c r="F2214" s="12">
        <f t="shared" si="309"/>
        <v>11.14037216711111</v>
      </c>
      <c r="G2214" s="12">
        <f t="shared" si="310"/>
        <v>14.601284693333332</v>
      </c>
      <c r="H2214" s="12">
        <f t="shared" si="311"/>
        <v>14.601284693333332</v>
      </c>
      <c r="I2214" s="1" t="str">
        <f t="shared" si="312"/>
        <v>No</v>
      </c>
      <c r="J2214" s="1" t="str">
        <f t="shared" si="313"/>
        <v>Si</v>
      </c>
      <c r="K2214" s="1" t="str">
        <f t="shared" si="314"/>
        <v/>
      </c>
    </row>
    <row r="2215" spans="1:11" x14ac:dyDescent="0.3">
      <c r="A2215" s="1">
        <v>43</v>
      </c>
      <c r="B2215" s="1">
        <v>4</v>
      </c>
      <c r="C2215" s="12">
        <f t="shared" si="306"/>
        <v>1.35</v>
      </c>
      <c r="D2215" s="12">
        <f t="shared" si="307"/>
        <v>-1.575</v>
      </c>
      <c r="E2215" s="12">
        <f t="shared" si="308"/>
        <v>11.137884074666665</v>
      </c>
      <c r="F2215" s="12">
        <f t="shared" si="309"/>
        <v>11.137884074666665</v>
      </c>
      <c r="G2215" s="12">
        <f t="shared" si="310"/>
        <v>14.597780337777776</v>
      </c>
      <c r="H2215" s="12">
        <f t="shared" si="311"/>
        <v>14.597780337777776</v>
      </c>
      <c r="I2215" s="1" t="str">
        <f t="shared" si="312"/>
        <v>No</v>
      </c>
      <c r="J2215" s="1" t="str">
        <f t="shared" si="313"/>
        <v>Si</v>
      </c>
      <c r="K2215" s="1" t="str">
        <f t="shared" si="314"/>
        <v/>
      </c>
    </row>
    <row r="2216" spans="1:11" x14ac:dyDescent="0.3">
      <c r="A2216" s="1">
        <v>43</v>
      </c>
      <c r="B2216" s="1">
        <v>5</v>
      </c>
      <c r="C2216" s="12">
        <f t="shared" si="306"/>
        <v>1.35</v>
      </c>
      <c r="D2216" s="12">
        <f t="shared" si="307"/>
        <v>-1.5</v>
      </c>
      <c r="E2216" s="12">
        <f t="shared" si="308"/>
        <v>11.135395982222221</v>
      </c>
      <c r="F2216" s="12">
        <f t="shared" si="309"/>
        <v>11.135395982222221</v>
      </c>
      <c r="G2216" s="12">
        <f t="shared" si="310"/>
        <v>14.59427598222222</v>
      </c>
      <c r="H2216" s="12">
        <f t="shared" si="311"/>
        <v>14.59427598222222</v>
      </c>
      <c r="I2216" s="1" t="str">
        <f t="shared" si="312"/>
        <v>No</v>
      </c>
      <c r="J2216" s="1" t="str">
        <f t="shared" si="313"/>
        <v>Si</v>
      </c>
      <c r="K2216" s="1" t="str">
        <f t="shared" si="314"/>
        <v/>
      </c>
    </row>
    <row r="2217" spans="1:11" x14ac:dyDescent="0.3">
      <c r="A2217" s="1">
        <v>43</v>
      </c>
      <c r="B2217" s="1">
        <v>6</v>
      </c>
      <c r="C2217" s="12">
        <f t="shared" si="306"/>
        <v>1.35</v>
      </c>
      <c r="D2217" s="12">
        <f t="shared" si="307"/>
        <v>-1.425</v>
      </c>
      <c r="E2217" s="12">
        <f t="shared" si="308"/>
        <v>11.132907889777776</v>
      </c>
      <c r="F2217" s="12">
        <f t="shared" si="309"/>
        <v>11.132907889777776</v>
      </c>
      <c r="G2217" s="12">
        <f t="shared" si="310"/>
        <v>14.590771626666665</v>
      </c>
      <c r="H2217" s="12">
        <f t="shared" si="311"/>
        <v>14.590771626666665</v>
      </c>
      <c r="I2217" s="1" t="str">
        <f t="shared" si="312"/>
        <v>No</v>
      </c>
      <c r="J2217" s="1" t="str">
        <f t="shared" si="313"/>
        <v>Si</v>
      </c>
      <c r="K2217" s="1" t="str">
        <f t="shared" si="314"/>
        <v/>
      </c>
    </row>
    <row r="2218" spans="1:11" x14ac:dyDescent="0.3">
      <c r="A2218" s="1">
        <v>43</v>
      </c>
      <c r="B2218" s="1">
        <v>7</v>
      </c>
      <c r="C2218" s="12">
        <f t="shared" si="306"/>
        <v>1.35</v>
      </c>
      <c r="D2218" s="12">
        <f t="shared" si="307"/>
        <v>-1.35</v>
      </c>
      <c r="E2218" s="12">
        <f t="shared" si="308"/>
        <v>11.130419797333333</v>
      </c>
      <c r="F2218" s="12">
        <f t="shared" si="309"/>
        <v>11.130419797333333</v>
      </c>
      <c r="G2218" s="12">
        <f t="shared" si="310"/>
        <v>14.587267271111109</v>
      </c>
      <c r="H2218" s="12">
        <f t="shared" si="311"/>
        <v>14.587267271111109</v>
      </c>
      <c r="I2218" s="1" t="str">
        <f t="shared" si="312"/>
        <v>No</v>
      </c>
      <c r="J2218" s="1" t="str">
        <f t="shared" si="313"/>
        <v>Si</v>
      </c>
      <c r="K2218" s="1" t="str">
        <f t="shared" si="314"/>
        <v/>
      </c>
    </row>
    <row r="2219" spans="1:11" x14ac:dyDescent="0.3">
      <c r="A2219" s="1">
        <v>43</v>
      </c>
      <c r="B2219" s="1">
        <v>8</v>
      </c>
      <c r="C2219" s="12">
        <f t="shared" si="306"/>
        <v>1.35</v>
      </c>
      <c r="D2219" s="12">
        <f t="shared" si="307"/>
        <v>-1.2749999999999999</v>
      </c>
      <c r="E2219" s="12">
        <f t="shared" si="308"/>
        <v>11.127931704888889</v>
      </c>
      <c r="F2219" s="12">
        <f t="shared" si="309"/>
        <v>11.127931704888889</v>
      </c>
      <c r="G2219" s="12">
        <f t="shared" si="310"/>
        <v>14.583762915555553</v>
      </c>
      <c r="H2219" s="12">
        <f t="shared" si="311"/>
        <v>14.583762915555553</v>
      </c>
      <c r="I2219" s="1" t="str">
        <f t="shared" si="312"/>
        <v>No</v>
      </c>
      <c r="J2219" s="1" t="str">
        <f t="shared" si="313"/>
        <v>Si</v>
      </c>
      <c r="K2219" s="1" t="str">
        <f t="shared" si="314"/>
        <v/>
      </c>
    </row>
    <row r="2220" spans="1:11" x14ac:dyDescent="0.3">
      <c r="A2220" s="1">
        <v>43</v>
      </c>
      <c r="B2220" s="1">
        <v>9</v>
      </c>
      <c r="C2220" s="12">
        <f t="shared" si="306"/>
        <v>1.35</v>
      </c>
      <c r="D2220" s="12">
        <f t="shared" si="307"/>
        <v>-1.2</v>
      </c>
      <c r="E2220" s="12">
        <f t="shared" si="308"/>
        <v>11.125443612444444</v>
      </c>
      <c r="F2220" s="12">
        <f t="shared" si="309"/>
        <v>11.125443612444444</v>
      </c>
      <c r="G2220" s="12">
        <f t="shared" si="310"/>
        <v>14.580258559999997</v>
      </c>
      <c r="H2220" s="12">
        <f t="shared" si="311"/>
        <v>14.580258559999997</v>
      </c>
      <c r="I2220" s="1" t="str">
        <f t="shared" si="312"/>
        <v>No</v>
      </c>
      <c r="J2220" s="1" t="str">
        <f t="shared" si="313"/>
        <v>Si</v>
      </c>
      <c r="K2220" s="1" t="str">
        <f t="shared" si="314"/>
        <v/>
      </c>
    </row>
    <row r="2221" spans="1:11" x14ac:dyDescent="0.3">
      <c r="A2221" s="1">
        <v>43</v>
      </c>
      <c r="B2221" s="1">
        <v>10</v>
      </c>
      <c r="C2221" s="12">
        <f t="shared" si="306"/>
        <v>1.35</v>
      </c>
      <c r="D2221" s="12">
        <f t="shared" si="307"/>
        <v>-1.125</v>
      </c>
      <c r="E2221" s="12">
        <f t="shared" si="308"/>
        <v>11.12295552</v>
      </c>
      <c r="F2221" s="12">
        <f t="shared" si="309"/>
        <v>11.12295552</v>
      </c>
      <c r="G2221" s="12">
        <f t="shared" si="310"/>
        <v>14.576754204444443</v>
      </c>
      <c r="H2221" s="12">
        <f t="shared" si="311"/>
        <v>14.576754204444443</v>
      </c>
      <c r="I2221" s="1" t="str">
        <f t="shared" si="312"/>
        <v>No</v>
      </c>
      <c r="J2221" s="1" t="str">
        <f t="shared" si="313"/>
        <v>Si</v>
      </c>
      <c r="K2221" s="1" t="str">
        <f t="shared" si="314"/>
        <v/>
      </c>
    </row>
    <row r="2222" spans="1:11" x14ac:dyDescent="0.3">
      <c r="A2222" s="1">
        <v>43</v>
      </c>
      <c r="B2222" s="1">
        <v>11</v>
      </c>
      <c r="C2222" s="12">
        <f t="shared" si="306"/>
        <v>1.35</v>
      </c>
      <c r="D2222" s="12">
        <f t="shared" si="307"/>
        <v>-1.05</v>
      </c>
      <c r="E2222" s="12">
        <f t="shared" si="308"/>
        <v>11.120467427555555</v>
      </c>
      <c r="F2222" s="12">
        <f t="shared" si="309"/>
        <v>11.120467427555555</v>
      </c>
      <c r="G2222" s="12">
        <f t="shared" si="310"/>
        <v>14.573249848888887</v>
      </c>
      <c r="H2222" s="12">
        <f t="shared" si="311"/>
        <v>14.573249848888887</v>
      </c>
      <c r="I2222" s="1" t="str">
        <f t="shared" si="312"/>
        <v>No</v>
      </c>
      <c r="J2222" s="1" t="str">
        <f t="shared" si="313"/>
        <v>Si</v>
      </c>
      <c r="K2222" s="1" t="str">
        <f t="shared" si="314"/>
        <v/>
      </c>
    </row>
    <row r="2223" spans="1:11" x14ac:dyDescent="0.3">
      <c r="A2223" s="1">
        <v>43</v>
      </c>
      <c r="B2223" s="1">
        <v>12</v>
      </c>
      <c r="C2223" s="12">
        <f t="shared" si="306"/>
        <v>1.35</v>
      </c>
      <c r="D2223" s="12">
        <f t="shared" si="307"/>
        <v>-0.97499999999999998</v>
      </c>
      <c r="E2223" s="12">
        <f t="shared" si="308"/>
        <v>11.11797933511111</v>
      </c>
      <c r="F2223" s="12">
        <f t="shared" si="309"/>
        <v>11.11797933511111</v>
      </c>
      <c r="G2223" s="12">
        <f t="shared" si="310"/>
        <v>14.569745493333331</v>
      </c>
      <c r="H2223" s="12">
        <f t="shared" si="311"/>
        <v>14.569745493333331</v>
      </c>
      <c r="I2223" s="1" t="str">
        <f t="shared" si="312"/>
        <v>No</v>
      </c>
      <c r="J2223" s="1" t="str">
        <f t="shared" si="313"/>
        <v>Si</v>
      </c>
      <c r="K2223" s="1" t="str">
        <f t="shared" si="314"/>
        <v/>
      </c>
    </row>
    <row r="2224" spans="1:11" x14ac:dyDescent="0.3">
      <c r="A2224" s="1">
        <v>43</v>
      </c>
      <c r="B2224" s="1">
        <v>13</v>
      </c>
      <c r="C2224" s="12">
        <f t="shared" si="306"/>
        <v>1.35</v>
      </c>
      <c r="D2224" s="12">
        <f t="shared" si="307"/>
        <v>-0.9</v>
      </c>
      <c r="E2224" s="12">
        <f t="shared" si="308"/>
        <v>11.115491242666666</v>
      </c>
      <c r="F2224" s="12">
        <f t="shared" si="309"/>
        <v>11.115491242666666</v>
      </c>
      <c r="G2224" s="12">
        <f t="shared" si="310"/>
        <v>14.566241137777777</v>
      </c>
      <c r="H2224" s="12">
        <f t="shared" si="311"/>
        <v>14.566241137777777</v>
      </c>
      <c r="I2224" s="1" t="str">
        <f t="shared" si="312"/>
        <v>No</v>
      </c>
      <c r="J2224" s="1" t="str">
        <f t="shared" si="313"/>
        <v>Si</v>
      </c>
      <c r="K2224" s="1" t="str">
        <f t="shared" si="314"/>
        <v/>
      </c>
    </row>
    <row r="2225" spans="1:11" x14ac:dyDescent="0.3">
      <c r="A2225" s="1">
        <v>43</v>
      </c>
      <c r="B2225" s="1">
        <v>14</v>
      </c>
      <c r="C2225" s="12">
        <f t="shared" si="306"/>
        <v>1.35</v>
      </c>
      <c r="D2225" s="12">
        <f t="shared" si="307"/>
        <v>-0.82499999999999996</v>
      </c>
      <c r="E2225" s="12">
        <f t="shared" si="308"/>
        <v>11.113003150222221</v>
      </c>
      <c r="F2225" s="12">
        <f t="shared" si="309"/>
        <v>11.113003150222221</v>
      </c>
      <c r="G2225" s="12">
        <f t="shared" si="310"/>
        <v>14.56273678222222</v>
      </c>
      <c r="H2225" s="12">
        <f t="shared" si="311"/>
        <v>14.56273678222222</v>
      </c>
      <c r="I2225" s="1" t="str">
        <f t="shared" si="312"/>
        <v>No</v>
      </c>
      <c r="J2225" s="1" t="str">
        <f t="shared" si="313"/>
        <v>Si</v>
      </c>
      <c r="K2225" s="1" t="str">
        <f t="shared" si="314"/>
        <v/>
      </c>
    </row>
    <row r="2226" spans="1:11" x14ac:dyDescent="0.3">
      <c r="A2226" s="1">
        <v>43</v>
      </c>
      <c r="B2226" s="1">
        <v>15</v>
      </c>
      <c r="C2226" s="12">
        <f t="shared" si="306"/>
        <v>1.35</v>
      </c>
      <c r="D2226" s="12">
        <f t="shared" si="307"/>
        <v>-0.75</v>
      </c>
      <c r="E2226" s="12">
        <f t="shared" si="308"/>
        <v>11.110515057777777</v>
      </c>
      <c r="F2226" s="12">
        <f t="shared" si="309"/>
        <v>11.110515057777777</v>
      </c>
      <c r="G2226" s="12">
        <f t="shared" si="310"/>
        <v>14.559232426666664</v>
      </c>
      <c r="H2226" s="12">
        <f t="shared" si="311"/>
        <v>14.559232426666664</v>
      </c>
      <c r="I2226" s="1" t="str">
        <f t="shared" si="312"/>
        <v>No</v>
      </c>
      <c r="J2226" s="1" t="str">
        <f t="shared" si="313"/>
        <v>Si</v>
      </c>
      <c r="K2226" s="1" t="str">
        <f t="shared" si="314"/>
        <v/>
      </c>
    </row>
    <row r="2227" spans="1:11" x14ac:dyDescent="0.3">
      <c r="A2227" s="1">
        <v>43</v>
      </c>
      <c r="B2227" s="1">
        <v>16</v>
      </c>
      <c r="C2227" s="12">
        <f t="shared" si="306"/>
        <v>1.35</v>
      </c>
      <c r="D2227" s="12">
        <f t="shared" si="307"/>
        <v>-0.67500000000000004</v>
      </c>
      <c r="E2227" s="12">
        <f t="shared" si="308"/>
        <v>11.108026965333332</v>
      </c>
      <c r="F2227" s="12">
        <f t="shared" si="309"/>
        <v>11.108026965333332</v>
      </c>
      <c r="G2227" s="12">
        <f t="shared" si="310"/>
        <v>14.555728071111108</v>
      </c>
      <c r="H2227" s="12">
        <f t="shared" si="311"/>
        <v>14.555728071111108</v>
      </c>
      <c r="I2227" s="1" t="str">
        <f t="shared" si="312"/>
        <v>No</v>
      </c>
      <c r="J2227" s="1" t="str">
        <f t="shared" si="313"/>
        <v>Si</v>
      </c>
      <c r="K2227" s="1" t="str">
        <f t="shared" si="314"/>
        <v/>
      </c>
    </row>
    <row r="2228" spans="1:11" x14ac:dyDescent="0.3">
      <c r="A2228" s="1">
        <v>43</v>
      </c>
      <c r="B2228" s="1">
        <v>17</v>
      </c>
      <c r="C2228" s="12">
        <f t="shared" si="306"/>
        <v>1.35</v>
      </c>
      <c r="D2228" s="12">
        <f t="shared" si="307"/>
        <v>-0.60000000000000009</v>
      </c>
      <c r="E2228" s="12">
        <f t="shared" si="308"/>
        <v>11.105538872888888</v>
      </c>
      <c r="F2228" s="12">
        <f t="shared" si="309"/>
        <v>11.105538872888888</v>
      </c>
      <c r="G2228" s="12">
        <f t="shared" si="310"/>
        <v>14.552223715555554</v>
      </c>
      <c r="H2228" s="12">
        <f t="shared" si="311"/>
        <v>14.552223715555554</v>
      </c>
      <c r="I2228" s="1" t="str">
        <f t="shared" si="312"/>
        <v>No</v>
      </c>
      <c r="J2228" s="1" t="str">
        <f t="shared" si="313"/>
        <v>Si</v>
      </c>
      <c r="K2228" s="1" t="str">
        <f t="shared" si="314"/>
        <v/>
      </c>
    </row>
    <row r="2229" spans="1:11" x14ac:dyDescent="0.3">
      <c r="A2229" s="1">
        <v>43</v>
      </c>
      <c r="B2229" s="1">
        <v>18</v>
      </c>
      <c r="C2229" s="12">
        <f t="shared" si="306"/>
        <v>1.35</v>
      </c>
      <c r="D2229" s="12">
        <f t="shared" si="307"/>
        <v>-0.52499999999999991</v>
      </c>
      <c r="E2229" s="12">
        <f t="shared" si="308"/>
        <v>11.103050780444443</v>
      </c>
      <c r="F2229" s="12">
        <f t="shared" si="309"/>
        <v>11.103050780444443</v>
      </c>
      <c r="G2229" s="12">
        <f t="shared" si="310"/>
        <v>14.548719359999998</v>
      </c>
      <c r="H2229" s="12">
        <f t="shared" si="311"/>
        <v>14.548719359999998</v>
      </c>
      <c r="I2229" s="1" t="str">
        <f t="shared" si="312"/>
        <v>No</v>
      </c>
      <c r="J2229" s="1" t="str">
        <f t="shared" si="313"/>
        <v>Si</v>
      </c>
      <c r="K2229" s="1" t="str">
        <f t="shared" si="314"/>
        <v/>
      </c>
    </row>
    <row r="2230" spans="1:11" x14ac:dyDescent="0.3">
      <c r="A2230" s="1">
        <v>43</v>
      </c>
      <c r="B2230" s="1">
        <v>19</v>
      </c>
      <c r="C2230" s="12">
        <f t="shared" si="306"/>
        <v>1.35</v>
      </c>
      <c r="D2230" s="12">
        <f t="shared" si="307"/>
        <v>-0.44999999999999996</v>
      </c>
      <c r="E2230" s="12">
        <f t="shared" si="308"/>
        <v>11.100562688</v>
      </c>
      <c r="F2230" s="12">
        <f t="shared" si="309"/>
        <v>11.100562688</v>
      </c>
      <c r="G2230" s="12">
        <f t="shared" si="310"/>
        <v>14.545215004444442</v>
      </c>
      <c r="H2230" s="12">
        <f t="shared" si="311"/>
        <v>14.545215004444442</v>
      </c>
      <c r="I2230" s="1" t="str">
        <f t="shared" si="312"/>
        <v>No</v>
      </c>
      <c r="J2230" s="1" t="str">
        <f t="shared" si="313"/>
        <v>Si</v>
      </c>
      <c r="K2230" s="1" t="str">
        <f t="shared" si="314"/>
        <v/>
      </c>
    </row>
    <row r="2231" spans="1:11" x14ac:dyDescent="0.3">
      <c r="A2231" s="1">
        <v>43</v>
      </c>
      <c r="B2231" s="1">
        <v>20</v>
      </c>
      <c r="C2231" s="12">
        <f t="shared" si="306"/>
        <v>1.35</v>
      </c>
      <c r="D2231" s="12">
        <f t="shared" si="307"/>
        <v>-0.375</v>
      </c>
      <c r="E2231" s="12">
        <f t="shared" si="308"/>
        <v>11.098074595555556</v>
      </c>
      <c r="F2231" s="12">
        <f t="shared" si="309"/>
        <v>11.098074595555556</v>
      </c>
      <c r="G2231" s="12">
        <f t="shared" si="310"/>
        <v>14.541710648888888</v>
      </c>
      <c r="H2231" s="12">
        <f t="shared" si="311"/>
        <v>14.541710648888888</v>
      </c>
      <c r="I2231" s="1" t="str">
        <f t="shared" si="312"/>
        <v>No</v>
      </c>
      <c r="J2231" s="1" t="str">
        <f t="shared" si="313"/>
        <v>Si</v>
      </c>
      <c r="K2231" s="1" t="str">
        <f t="shared" si="314"/>
        <v/>
      </c>
    </row>
    <row r="2232" spans="1:11" x14ac:dyDescent="0.3">
      <c r="A2232" s="1">
        <v>43</v>
      </c>
      <c r="B2232" s="1">
        <v>21</v>
      </c>
      <c r="C2232" s="12">
        <f t="shared" si="306"/>
        <v>1.35</v>
      </c>
      <c r="D2232" s="12">
        <f t="shared" si="307"/>
        <v>-0.30000000000000004</v>
      </c>
      <c r="E2232" s="12">
        <f t="shared" si="308"/>
        <v>11.095586503111111</v>
      </c>
      <c r="F2232" s="12">
        <f t="shared" si="309"/>
        <v>11.095586503111111</v>
      </c>
      <c r="G2232" s="12">
        <f t="shared" si="310"/>
        <v>14.538206293333332</v>
      </c>
      <c r="H2232" s="12">
        <f t="shared" si="311"/>
        <v>14.538206293333332</v>
      </c>
      <c r="I2232" s="1" t="str">
        <f t="shared" si="312"/>
        <v>No</v>
      </c>
      <c r="J2232" s="1" t="str">
        <f t="shared" si="313"/>
        <v>Si</v>
      </c>
      <c r="K2232" s="1" t="str">
        <f t="shared" si="314"/>
        <v/>
      </c>
    </row>
    <row r="2233" spans="1:11" x14ac:dyDescent="0.3">
      <c r="A2233" s="1">
        <v>43</v>
      </c>
      <c r="B2233" s="1">
        <v>22</v>
      </c>
      <c r="C2233" s="12">
        <f t="shared" si="306"/>
        <v>1.35</v>
      </c>
      <c r="D2233" s="12">
        <f t="shared" si="307"/>
        <v>-0.22500000000000009</v>
      </c>
      <c r="E2233" s="12">
        <f t="shared" si="308"/>
        <v>11.093098410666666</v>
      </c>
      <c r="F2233" s="12">
        <f t="shared" si="309"/>
        <v>11.093098410666666</v>
      </c>
      <c r="G2233" s="12">
        <f t="shared" si="310"/>
        <v>14.534701937777776</v>
      </c>
      <c r="H2233" s="12">
        <f t="shared" si="311"/>
        <v>14.534701937777776</v>
      </c>
      <c r="I2233" s="1" t="str">
        <f t="shared" si="312"/>
        <v>No</v>
      </c>
      <c r="J2233" s="1" t="str">
        <f t="shared" si="313"/>
        <v>Si</v>
      </c>
      <c r="K2233" s="1" t="str">
        <f t="shared" si="314"/>
        <v/>
      </c>
    </row>
    <row r="2234" spans="1:11" x14ac:dyDescent="0.3">
      <c r="A2234" s="1">
        <v>43</v>
      </c>
      <c r="B2234" s="1">
        <v>23</v>
      </c>
      <c r="C2234" s="12">
        <f t="shared" si="306"/>
        <v>1.35</v>
      </c>
      <c r="D2234" s="12">
        <f t="shared" si="307"/>
        <v>-0.14999999999999991</v>
      </c>
      <c r="E2234" s="12">
        <f t="shared" si="308"/>
        <v>11.090610318222222</v>
      </c>
      <c r="F2234" s="12">
        <f t="shared" si="309"/>
        <v>11.090610318222222</v>
      </c>
      <c r="G2234" s="12">
        <f t="shared" si="310"/>
        <v>14.531197582222219</v>
      </c>
      <c r="H2234" s="12">
        <f t="shared" si="311"/>
        <v>14.531197582222219</v>
      </c>
      <c r="I2234" s="1" t="str">
        <f t="shared" si="312"/>
        <v>No</v>
      </c>
      <c r="J2234" s="1" t="str">
        <f t="shared" si="313"/>
        <v>Si</v>
      </c>
      <c r="K2234" s="1" t="str">
        <f t="shared" si="314"/>
        <v/>
      </c>
    </row>
    <row r="2235" spans="1:11" x14ac:dyDescent="0.3">
      <c r="A2235" s="1">
        <v>43</v>
      </c>
      <c r="B2235" s="1">
        <v>24</v>
      </c>
      <c r="C2235" s="12">
        <f t="shared" si="306"/>
        <v>1.35</v>
      </c>
      <c r="D2235" s="12">
        <f t="shared" si="307"/>
        <v>-7.4999999999999956E-2</v>
      </c>
      <c r="E2235" s="12">
        <f t="shared" si="308"/>
        <v>11.088122225777777</v>
      </c>
      <c r="F2235" s="12">
        <f t="shared" si="309"/>
        <v>11.088122225777777</v>
      </c>
      <c r="G2235" s="12">
        <f t="shared" si="310"/>
        <v>14.527693226666665</v>
      </c>
      <c r="H2235" s="12">
        <f t="shared" si="311"/>
        <v>14.527693226666665</v>
      </c>
      <c r="I2235" s="1" t="str">
        <f t="shared" si="312"/>
        <v>No</v>
      </c>
      <c r="J2235" s="1" t="str">
        <f t="shared" si="313"/>
        <v>Si</v>
      </c>
      <c r="K2235" s="1" t="str">
        <f t="shared" si="314"/>
        <v/>
      </c>
    </row>
    <row r="2236" spans="1:11" x14ac:dyDescent="0.3">
      <c r="A2236" s="1">
        <v>43</v>
      </c>
      <c r="B2236" s="1">
        <v>25</v>
      </c>
      <c r="C2236" s="12">
        <f t="shared" si="306"/>
        <v>1.35</v>
      </c>
      <c r="D2236" s="12">
        <f t="shared" si="307"/>
        <v>0</v>
      </c>
      <c r="E2236" s="12">
        <f t="shared" si="308"/>
        <v>11.085634133333333</v>
      </c>
      <c r="F2236" s="12">
        <f t="shared" si="309"/>
        <v>11.085634133333333</v>
      </c>
      <c r="G2236" s="12">
        <f t="shared" si="310"/>
        <v>14.524188871111109</v>
      </c>
      <c r="H2236" s="12">
        <f t="shared" si="311"/>
        <v>14.524188871111109</v>
      </c>
      <c r="I2236" s="1" t="str">
        <f t="shared" si="312"/>
        <v>No</v>
      </c>
      <c r="J2236" s="1" t="str">
        <f t="shared" si="313"/>
        <v>Si</v>
      </c>
      <c r="K2236" s="1" t="str">
        <f t="shared" si="314"/>
        <v/>
      </c>
    </row>
    <row r="2237" spans="1:11" x14ac:dyDescent="0.3">
      <c r="A2237" s="1">
        <v>43</v>
      </c>
      <c r="B2237" s="1">
        <v>26</v>
      </c>
      <c r="C2237" s="12">
        <f t="shared" si="306"/>
        <v>1.35</v>
      </c>
      <c r="D2237" s="12">
        <f t="shared" si="307"/>
        <v>7.4999999999999956E-2</v>
      </c>
      <c r="E2237" s="12">
        <f t="shared" si="308"/>
        <v>11.083146040888888</v>
      </c>
      <c r="F2237" s="12">
        <f t="shared" si="309"/>
        <v>11.083146040888888</v>
      </c>
      <c r="G2237" s="12">
        <f t="shared" si="310"/>
        <v>14.520684515555553</v>
      </c>
      <c r="H2237" s="12">
        <f t="shared" si="311"/>
        <v>14.520684515555553</v>
      </c>
      <c r="I2237" s="1" t="str">
        <f t="shared" si="312"/>
        <v>No</v>
      </c>
      <c r="J2237" s="1" t="str">
        <f t="shared" si="313"/>
        <v>Si</v>
      </c>
      <c r="K2237" s="1" t="str">
        <f t="shared" si="314"/>
        <v/>
      </c>
    </row>
    <row r="2238" spans="1:11" x14ac:dyDescent="0.3">
      <c r="A2238" s="1">
        <v>43</v>
      </c>
      <c r="B2238" s="1">
        <v>27</v>
      </c>
      <c r="C2238" s="12">
        <f t="shared" si="306"/>
        <v>1.35</v>
      </c>
      <c r="D2238" s="12">
        <f t="shared" si="307"/>
        <v>0.14999999999999991</v>
      </c>
      <c r="E2238" s="12">
        <f t="shared" si="308"/>
        <v>11.080657948444443</v>
      </c>
      <c r="F2238" s="12">
        <f t="shared" si="309"/>
        <v>11.080657948444443</v>
      </c>
      <c r="G2238" s="12">
        <f t="shared" si="310"/>
        <v>14.517180159999999</v>
      </c>
      <c r="H2238" s="12">
        <f t="shared" si="311"/>
        <v>14.517180159999999</v>
      </c>
      <c r="I2238" s="1" t="str">
        <f t="shared" si="312"/>
        <v>No</v>
      </c>
      <c r="J2238" s="1" t="str">
        <f t="shared" si="313"/>
        <v>Si</v>
      </c>
      <c r="K2238" s="1" t="str">
        <f t="shared" si="314"/>
        <v/>
      </c>
    </row>
    <row r="2239" spans="1:11" x14ac:dyDescent="0.3">
      <c r="A2239" s="1">
        <v>43</v>
      </c>
      <c r="B2239" s="1">
        <v>28</v>
      </c>
      <c r="C2239" s="12">
        <f t="shared" si="306"/>
        <v>1.35</v>
      </c>
      <c r="D2239" s="12">
        <f t="shared" si="307"/>
        <v>0.22500000000000009</v>
      </c>
      <c r="E2239" s="12">
        <f t="shared" si="308"/>
        <v>11.078169855999999</v>
      </c>
      <c r="F2239" s="12">
        <f t="shared" si="309"/>
        <v>11.078169855999999</v>
      </c>
      <c r="G2239" s="12">
        <f t="shared" si="310"/>
        <v>14.513675804444443</v>
      </c>
      <c r="H2239" s="12">
        <f t="shared" si="311"/>
        <v>14.513675804444443</v>
      </c>
      <c r="I2239" s="1" t="str">
        <f t="shared" si="312"/>
        <v>No</v>
      </c>
      <c r="J2239" s="1" t="str">
        <f t="shared" si="313"/>
        <v>Si</v>
      </c>
      <c r="K2239" s="1" t="str">
        <f t="shared" si="314"/>
        <v/>
      </c>
    </row>
    <row r="2240" spans="1:11" x14ac:dyDescent="0.3">
      <c r="A2240" s="1">
        <v>43</v>
      </c>
      <c r="B2240" s="1">
        <v>29</v>
      </c>
      <c r="C2240" s="12">
        <f t="shared" si="306"/>
        <v>1.35</v>
      </c>
      <c r="D2240" s="12">
        <f t="shared" si="307"/>
        <v>0.29999999999999982</v>
      </c>
      <c r="E2240" s="12">
        <f t="shared" si="308"/>
        <v>11.075681763555554</v>
      </c>
      <c r="F2240" s="12">
        <f t="shared" si="309"/>
        <v>11.075681763555554</v>
      </c>
      <c r="G2240" s="12">
        <f t="shared" si="310"/>
        <v>14.510171448888887</v>
      </c>
      <c r="H2240" s="12">
        <f t="shared" si="311"/>
        <v>14.510171448888887</v>
      </c>
      <c r="I2240" s="1" t="str">
        <f t="shared" si="312"/>
        <v>No</v>
      </c>
      <c r="J2240" s="1" t="str">
        <f t="shared" si="313"/>
        <v>Si</v>
      </c>
      <c r="K2240" s="1" t="str">
        <f t="shared" si="314"/>
        <v/>
      </c>
    </row>
    <row r="2241" spans="1:11" x14ac:dyDescent="0.3">
      <c r="A2241" s="1">
        <v>43</v>
      </c>
      <c r="B2241" s="1">
        <v>30</v>
      </c>
      <c r="C2241" s="12">
        <f t="shared" si="306"/>
        <v>1.35</v>
      </c>
      <c r="D2241" s="12">
        <f t="shared" si="307"/>
        <v>0.375</v>
      </c>
      <c r="E2241" s="12">
        <f t="shared" si="308"/>
        <v>11.07319367111111</v>
      </c>
      <c r="F2241" s="12">
        <f t="shared" si="309"/>
        <v>11.07319367111111</v>
      </c>
      <c r="G2241" s="12">
        <f t="shared" si="310"/>
        <v>14.506667093333331</v>
      </c>
      <c r="H2241" s="12">
        <f t="shared" si="311"/>
        <v>14.506667093333331</v>
      </c>
      <c r="I2241" s="1" t="str">
        <f t="shared" si="312"/>
        <v>No</v>
      </c>
      <c r="J2241" s="1" t="str">
        <f t="shared" si="313"/>
        <v>Si</v>
      </c>
      <c r="K2241" s="1" t="str">
        <f t="shared" si="314"/>
        <v/>
      </c>
    </row>
    <row r="2242" spans="1:11" x14ac:dyDescent="0.3">
      <c r="A2242" s="1">
        <v>43</v>
      </c>
      <c r="B2242" s="1">
        <v>31</v>
      </c>
      <c r="C2242" s="12">
        <f t="shared" si="306"/>
        <v>1.35</v>
      </c>
      <c r="D2242" s="12">
        <f t="shared" si="307"/>
        <v>0.45000000000000018</v>
      </c>
      <c r="E2242" s="12">
        <f t="shared" si="308"/>
        <v>11.070705578666665</v>
      </c>
      <c r="F2242" s="12">
        <f t="shared" si="309"/>
        <v>11.070705578666665</v>
      </c>
      <c r="G2242" s="12">
        <f t="shared" si="310"/>
        <v>14.503162737777776</v>
      </c>
      <c r="H2242" s="12">
        <f t="shared" si="311"/>
        <v>14.503162737777776</v>
      </c>
      <c r="I2242" s="1" t="str">
        <f t="shared" si="312"/>
        <v>No</v>
      </c>
      <c r="J2242" s="1" t="str">
        <f t="shared" si="313"/>
        <v>Si</v>
      </c>
      <c r="K2242" s="1" t="str">
        <f t="shared" si="314"/>
        <v/>
      </c>
    </row>
    <row r="2243" spans="1:11" x14ac:dyDescent="0.3">
      <c r="A2243" s="1">
        <v>43</v>
      </c>
      <c r="B2243" s="1">
        <v>32</v>
      </c>
      <c r="C2243" s="12">
        <f t="shared" si="306"/>
        <v>1.35</v>
      </c>
      <c r="D2243" s="12">
        <f t="shared" si="307"/>
        <v>0.52499999999999991</v>
      </c>
      <c r="E2243" s="12">
        <f t="shared" si="308"/>
        <v>11.068217486222222</v>
      </c>
      <c r="F2243" s="12">
        <f t="shared" si="309"/>
        <v>11.068217486222222</v>
      </c>
      <c r="G2243" s="12">
        <f t="shared" si="310"/>
        <v>14.49965838222222</v>
      </c>
      <c r="H2243" s="12">
        <f t="shared" si="311"/>
        <v>14.49965838222222</v>
      </c>
      <c r="I2243" s="1" t="str">
        <f t="shared" si="312"/>
        <v>No</v>
      </c>
      <c r="J2243" s="1" t="str">
        <f t="shared" si="313"/>
        <v>Si</v>
      </c>
      <c r="K2243" s="1" t="str">
        <f t="shared" si="314"/>
        <v/>
      </c>
    </row>
    <row r="2244" spans="1:11" x14ac:dyDescent="0.3">
      <c r="A2244" s="1">
        <v>43</v>
      </c>
      <c r="B2244" s="1">
        <v>33</v>
      </c>
      <c r="C2244" s="12">
        <f t="shared" si="306"/>
        <v>1.35</v>
      </c>
      <c r="D2244" s="12">
        <f t="shared" si="307"/>
        <v>0.60000000000000009</v>
      </c>
      <c r="E2244" s="12">
        <f t="shared" si="308"/>
        <v>11.065729393777778</v>
      </c>
      <c r="F2244" s="12">
        <f t="shared" si="309"/>
        <v>11.065729393777778</v>
      </c>
      <c r="G2244" s="12">
        <f t="shared" si="310"/>
        <v>14.496154026666664</v>
      </c>
      <c r="H2244" s="12">
        <f t="shared" si="311"/>
        <v>14.496154026666664</v>
      </c>
      <c r="I2244" s="1" t="str">
        <f t="shared" si="312"/>
        <v>No</v>
      </c>
      <c r="J2244" s="1" t="str">
        <f t="shared" si="313"/>
        <v>Si</v>
      </c>
      <c r="K2244" s="1" t="str">
        <f t="shared" si="314"/>
        <v/>
      </c>
    </row>
    <row r="2245" spans="1:11" x14ac:dyDescent="0.3">
      <c r="A2245" s="1">
        <v>43</v>
      </c>
      <c r="B2245" s="1">
        <v>34</v>
      </c>
      <c r="C2245" s="12">
        <f t="shared" si="306"/>
        <v>1.35</v>
      </c>
      <c r="D2245" s="12">
        <f t="shared" si="307"/>
        <v>0.67499999999999982</v>
      </c>
      <c r="E2245" s="12">
        <f t="shared" si="308"/>
        <v>11.063241301333333</v>
      </c>
      <c r="F2245" s="12">
        <f t="shared" si="309"/>
        <v>11.063241301333333</v>
      </c>
      <c r="G2245" s="12">
        <f t="shared" si="310"/>
        <v>14.49264967111111</v>
      </c>
      <c r="H2245" s="12">
        <f t="shared" si="311"/>
        <v>14.49264967111111</v>
      </c>
      <c r="I2245" s="1" t="str">
        <f t="shared" si="312"/>
        <v>No</v>
      </c>
      <c r="J2245" s="1" t="str">
        <f t="shared" si="313"/>
        <v>Si</v>
      </c>
      <c r="K2245" s="1" t="str">
        <f t="shared" si="314"/>
        <v/>
      </c>
    </row>
    <row r="2246" spans="1:11" x14ac:dyDescent="0.3">
      <c r="A2246" s="1">
        <v>43</v>
      </c>
      <c r="B2246" s="1">
        <v>35</v>
      </c>
      <c r="C2246" s="12">
        <f t="shared" si="306"/>
        <v>1.35</v>
      </c>
      <c r="D2246" s="12">
        <f t="shared" si="307"/>
        <v>0.75</v>
      </c>
      <c r="E2246" s="12">
        <f t="shared" si="308"/>
        <v>11.060753208888888</v>
      </c>
      <c r="F2246" s="12">
        <f t="shared" si="309"/>
        <v>11.060753208888888</v>
      </c>
      <c r="G2246" s="12">
        <f t="shared" si="310"/>
        <v>14.489145315555554</v>
      </c>
      <c r="H2246" s="12">
        <f t="shared" si="311"/>
        <v>14.489145315555554</v>
      </c>
      <c r="I2246" s="1" t="str">
        <f t="shared" si="312"/>
        <v>No</v>
      </c>
      <c r="J2246" s="1" t="str">
        <f t="shared" si="313"/>
        <v>Si</v>
      </c>
      <c r="K2246" s="1" t="str">
        <f t="shared" si="314"/>
        <v/>
      </c>
    </row>
    <row r="2247" spans="1:11" x14ac:dyDescent="0.3">
      <c r="A2247" s="1">
        <v>43</v>
      </c>
      <c r="B2247" s="1">
        <v>36</v>
      </c>
      <c r="C2247" s="12">
        <f t="shared" si="306"/>
        <v>1.35</v>
      </c>
      <c r="D2247" s="12">
        <f t="shared" si="307"/>
        <v>0.82500000000000018</v>
      </c>
      <c r="E2247" s="12">
        <f t="shared" si="308"/>
        <v>11.058265116444444</v>
      </c>
      <c r="F2247" s="12">
        <f t="shared" si="309"/>
        <v>11.058265116444444</v>
      </c>
      <c r="G2247" s="12">
        <f t="shared" si="310"/>
        <v>14.485640959999998</v>
      </c>
      <c r="H2247" s="12">
        <f t="shared" si="311"/>
        <v>14.485640959999998</v>
      </c>
      <c r="I2247" s="1" t="str">
        <f t="shared" si="312"/>
        <v>No</v>
      </c>
      <c r="J2247" s="1" t="str">
        <f t="shared" si="313"/>
        <v>Si</v>
      </c>
      <c r="K2247" s="1" t="str">
        <f t="shared" si="314"/>
        <v/>
      </c>
    </row>
    <row r="2248" spans="1:11" x14ac:dyDescent="0.3">
      <c r="A2248" s="1">
        <v>43</v>
      </c>
      <c r="B2248" s="1">
        <v>37</v>
      </c>
      <c r="C2248" s="12">
        <f t="shared" si="306"/>
        <v>1.35</v>
      </c>
      <c r="D2248" s="12">
        <f t="shared" si="307"/>
        <v>0.89999999999999991</v>
      </c>
      <c r="E2248" s="12">
        <f t="shared" si="308"/>
        <v>11.055777023999999</v>
      </c>
      <c r="F2248" s="12">
        <f t="shared" si="309"/>
        <v>11.055777023999999</v>
      </c>
      <c r="G2248" s="12">
        <f t="shared" si="310"/>
        <v>14.482136604444442</v>
      </c>
      <c r="H2248" s="12">
        <f t="shared" si="311"/>
        <v>14.482136604444442</v>
      </c>
      <c r="I2248" s="1" t="str">
        <f t="shared" si="312"/>
        <v>No</v>
      </c>
      <c r="J2248" s="1" t="str">
        <f t="shared" si="313"/>
        <v>Si</v>
      </c>
      <c r="K2248" s="1" t="str">
        <f t="shared" si="314"/>
        <v/>
      </c>
    </row>
    <row r="2249" spans="1:11" x14ac:dyDescent="0.3">
      <c r="A2249" s="1">
        <v>43</v>
      </c>
      <c r="B2249" s="1">
        <v>38</v>
      </c>
      <c r="C2249" s="12">
        <f t="shared" si="306"/>
        <v>1.35</v>
      </c>
      <c r="D2249" s="12">
        <f t="shared" si="307"/>
        <v>0.97500000000000009</v>
      </c>
      <c r="E2249" s="12">
        <f t="shared" si="308"/>
        <v>11.053288931555555</v>
      </c>
      <c r="F2249" s="12">
        <f t="shared" si="309"/>
        <v>11.053288931555555</v>
      </c>
      <c r="G2249" s="12">
        <f t="shared" si="310"/>
        <v>14.478632248888887</v>
      </c>
      <c r="H2249" s="12">
        <f t="shared" si="311"/>
        <v>14.478632248888887</v>
      </c>
      <c r="I2249" s="1" t="str">
        <f t="shared" si="312"/>
        <v>No</v>
      </c>
      <c r="J2249" s="1" t="str">
        <f t="shared" si="313"/>
        <v>Si</v>
      </c>
      <c r="K2249" s="1" t="str">
        <f t="shared" si="314"/>
        <v/>
      </c>
    </row>
    <row r="2250" spans="1:11" x14ac:dyDescent="0.3">
      <c r="A2250" s="1">
        <v>43</v>
      </c>
      <c r="B2250" s="1">
        <v>39</v>
      </c>
      <c r="C2250" s="12">
        <f t="shared" si="306"/>
        <v>1.35</v>
      </c>
      <c r="D2250" s="12">
        <f t="shared" si="307"/>
        <v>1.0499999999999998</v>
      </c>
      <c r="E2250" s="12">
        <f t="shared" si="308"/>
        <v>11.05080083911111</v>
      </c>
      <c r="F2250" s="12">
        <f t="shared" si="309"/>
        <v>11.05080083911111</v>
      </c>
      <c r="G2250" s="12">
        <f t="shared" si="310"/>
        <v>14.475127893333331</v>
      </c>
      <c r="H2250" s="12">
        <f t="shared" si="311"/>
        <v>14.475127893333331</v>
      </c>
      <c r="I2250" s="1" t="str">
        <f t="shared" si="312"/>
        <v>No</v>
      </c>
      <c r="J2250" s="1" t="str">
        <f t="shared" si="313"/>
        <v>Si</v>
      </c>
      <c r="K2250" s="1" t="str">
        <f t="shared" si="314"/>
        <v/>
      </c>
    </row>
    <row r="2251" spans="1:11" x14ac:dyDescent="0.3">
      <c r="A2251" s="1">
        <v>43</v>
      </c>
      <c r="B2251" s="1">
        <v>40</v>
      </c>
      <c r="C2251" s="12">
        <f t="shared" si="306"/>
        <v>1.35</v>
      </c>
      <c r="D2251" s="12">
        <f t="shared" si="307"/>
        <v>1.125</v>
      </c>
      <c r="E2251" s="12">
        <f t="shared" si="308"/>
        <v>11.048312746666666</v>
      </c>
      <c r="F2251" s="12">
        <f t="shared" si="309"/>
        <v>11.048312746666666</v>
      </c>
      <c r="G2251" s="12">
        <f t="shared" si="310"/>
        <v>14.471623537777775</v>
      </c>
      <c r="H2251" s="12">
        <f t="shared" si="311"/>
        <v>14.471623537777775</v>
      </c>
      <c r="I2251" s="1" t="str">
        <f t="shared" si="312"/>
        <v>No</v>
      </c>
      <c r="J2251" s="1" t="str">
        <f t="shared" si="313"/>
        <v>Si</v>
      </c>
      <c r="K2251" s="1" t="str">
        <f t="shared" si="314"/>
        <v/>
      </c>
    </row>
    <row r="2252" spans="1:11" x14ac:dyDescent="0.3">
      <c r="A2252" s="1">
        <v>43</v>
      </c>
      <c r="B2252" s="1">
        <v>41</v>
      </c>
      <c r="C2252" s="12">
        <f t="shared" si="306"/>
        <v>1.35</v>
      </c>
      <c r="D2252" s="12">
        <f t="shared" si="307"/>
        <v>1.2000000000000002</v>
      </c>
      <c r="E2252" s="12">
        <f t="shared" si="308"/>
        <v>11.045824654222221</v>
      </c>
      <c r="F2252" s="12">
        <f t="shared" si="309"/>
        <v>11.045824654222221</v>
      </c>
      <c r="G2252" s="12">
        <f t="shared" si="310"/>
        <v>14.468119182222221</v>
      </c>
      <c r="H2252" s="12">
        <f t="shared" si="311"/>
        <v>14.468119182222221</v>
      </c>
      <c r="I2252" s="1" t="str">
        <f t="shared" si="312"/>
        <v>No</v>
      </c>
      <c r="J2252" s="1" t="str">
        <f t="shared" si="313"/>
        <v>Si</v>
      </c>
      <c r="K2252" s="1" t="str">
        <f t="shared" si="314"/>
        <v/>
      </c>
    </row>
    <row r="2253" spans="1:11" x14ac:dyDescent="0.3">
      <c r="A2253" s="1">
        <v>43</v>
      </c>
      <c r="B2253" s="1">
        <v>42</v>
      </c>
      <c r="C2253" s="12">
        <f t="shared" si="306"/>
        <v>1.35</v>
      </c>
      <c r="D2253" s="12">
        <f t="shared" si="307"/>
        <v>1.2749999999999999</v>
      </c>
      <c r="E2253" s="12">
        <f t="shared" si="308"/>
        <v>11.043336561777776</v>
      </c>
      <c r="F2253" s="12">
        <f t="shared" si="309"/>
        <v>11.043336561777776</v>
      </c>
      <c r="G2253" s="12">
        <f t="shared" si="310"/>
        <v>14.464614826666665</v>
      </c>
      <c r="H2253" s="12">
        <f t="shared" si="311"/>
        <v>14.464614826666665</v>
      </c>
      <c r="I2253" s="1" t="str">
        <f t="shared" si="312"/>
        <v>No</v>
      </c>
      <c r="J2253" s="1" t="str">
        <f t="shared" si="313"/>
        <v>Si</v>
      </c>
      <c r="K2253" s="1" t="str">
        <f t="shared" si="314"/>
        <v/>
      </c>
    </row>
    <row r="2254" spans="1:11" x14ac:dyDescent="0.3">
      <c r="A2254" s="1">
        <v>43</v>
      </c>
      <c r="B2254" s="1">
        <v>43</v>
      </c>
      <c r="C2254" s="12">
        <f t="shared" si="306"/>
        <v>1.35</v>
      </c>
      <c r="D2254" s="12">
        <f t="shared" si="307"/>
        <v>1.35</v>
      </c>
      <c r="E2254" s="12">
        <f t="shared" si="308"/>
        <v>11.040848469333332</v>
      </c>
      <c r="F2254" s="12">
        <f t="shared" si="309"/>
        <v>11.040848469333332</v>
      </c>
      <c r="G2254" s="12">
        <f t="shared" si="310"/>
        <v>14.461110471111109</v>
      </c>
      <c r="H2254" s="12">
        <f t="shared" si="311"/>
        <v>14.461110471111109</v>
      </c>
      <c r="I2254" s="1" t="str">
        <f t="shared" si="312"/>
        <v>No</v>
      </c>
      <c r="J2254" s="1" t="str">
        <f t="shared" si="313"/>
        <v>Si</v>
      </c>
      <c r="K2254" s="1" t="str">
        <f t="shared" si="314"/>
        <v/>
      </c>
    </row>
    <row r="2255" spans="1:11" x14ac:dyDescent="0.3">
      <c r="A2255" s="1">
        <v>43</v>
      </c>
      <c r="B2255" s="1">
        <v>44</v>
      </c>
      <c r="C2255" s="12">
        <f t="shared" si="306"/>
        <v>1.35</v>
      </c>
      <c r="D2255" s="12">
        <f t="shared" si="307"/>
        <v>1.4249999999999998</v>
      </c>
      <c r="E2255" s="12">
        <f t="shared" si="308"/>
        <v>11.038360376888889</v>
      </c>
      <c r="F2255" s="12">
        <f t="shared" si="309"/>
        <v>11.038360376888889</v>
      </c>
      <c r="G2255" s="12">
        <f t="shared" si="310"/>
        <v>14.457606115555553</v>
      </c>
      <c r="H2255" s="12">
        <f t="shared" si="311"/>
        <v>14.457606115555553</v>
      </c>
      <c r="I2255" s="1" t="str">
        <f t="shared" si="312"/>
        <v>No</v>
      </c>
      <c r="J2255" s="1" t="str">
        <f t="shared" si="313"/>
        <v>Si</v>
      </c>
      <c r="K2255" s="1" t="str">
        <f t="shared" si="314"/>
        <v/>
      </c>
    </row>
    <row r="2256" spans="1:11" x14ac:dyDescent="0.3">
      <c r="A2256" s="1">
        <v>43</v>
      </c>
      <c r="B2256" s="1">
        <v>45</v>
      </c>
      <c r="C2256" s="12">
        <f t="shared" si="306"/>
        <v>1.35</v>
      </c>
      <c r="D2256" s="12">
        <f t="shared" si="307"/>
        <v>1.5</v>
      </c>
      <c r="E2256" s="12">
        <f t="shared" si="308"/>
        <v>11.035872284444444</v>
      </c>
      <c r="F2256" s="12">
        <f t="shared" si="309"/>
        <v>11.035872284444444</v>
      </c>
      <c r="G2256" s="12">
        <f t="shared" si="310"/>
        <v>14.454101759999999</v>
      </c>
      <c r="H2256" s="12">
        <f t="shared" si="311"/>
        <v>14.454101759999999</v>
      </c>
      <c r="I2256" s="1" t="str">
        <f t="shared" si="312"/>
        <v>No</v>
      </c>
      <c r="J2256" s="1" t="str">
        <f t="shared" si="313"/>
        <v>Si</v>
      </c>
      <c r="K2256" s="1" t="str">
        <f t="shared" si="314"/>
        <v/>
      </c>
    </row>
    <row r="2257" spans="1:11" x14ac:dyDescent="0.3">
      <c r="A2257" s="1">
        <v>43</v>
      </c>
      <c r="B2257" s="1">
        <v>46</v>
      </c>
      <c r="C2257" s="12">
        <f t="shared" si="306"/>
        <v>1.35</v>
      </c>
      <c r="D2257" s="12">
        <f t="shared" si="307"/>
        <v>1.5750000000000002</v>
      </c>
      <c r="E2257" s="12">
        <f t="shared" si="308"/>
        <v>11.033384192</v>
      </c>
      <c r="F2257" s="12">
        <f t="shared" si="309"/>
        <v>11.033384192</v>
      </c>
      <c r="G2257" s="12">
        <f t="shared" si="310"/>
        <v>14.450597404444443</v>
      </c>
      <c r="H2257" s="12">
        <f t="shared" si="311"/>
        <v>14.450597404444443</v>
      </c>
      <c r="I2257" s="1" t="str">
        <f t="shared" si="312"/>
        <v>No</v>
      </c>
      <c r="J2257" s="1" t="str">
        <f t="shared" si="313"/>
        <v>Si</v>
      </c>
      <c r="K2257" s="1" t="str">
        <f t="shared" si="314"/>
        <v/>
      </c>
    </row>
    <row r="2258" spans="1:11" x14ac:dyDescent="0.3">
      <c r="A2258" s="1">
        <v>43</v>
      </c>
      <c r="B2258" s="1">
        <v>47</v>
      </c>
      <c r="C2258" s="12">
        <f t="shared" ref="C2258:C2321" si="315">IF(OR(A2258&gt;inp_n_div_x,B2258&gt;inp_n_div_y),"",-inp_bx/2+A2258*inp_bx/inp_n_div_x)</f>
        <v>1.35</v>
      </c>
      <c r="D2258" s="12">
        <f t="shared" ref="D2258:D2321" si="316">IF(C2258="","",-inp_by/2+B2258*inp_by/inp_n_div_y)</f>
        <v>1.65</v>
      </c>
      <c r="E2258" s="12">
        <f t="shared" ref="E2258:E2321" si="317">IF(C2258="","",res_srv_p_tot/geo_area+res_srv_mx_tot/geo_ix*D2258+res_srv_my_tot/geo_iy*C2258)</f>
        <v>11.030896099555555</v>
      </c>
      <c r="F2258" s="12">
        <f t="shared" ref="F2258:F2321" si="318">IF(E2258="","",MAX(0,E2258))</f>
        <v>11.030896099555555</v>
      </c>
      <c r="G2258" s="12">
        <f t="shared" ref="G2258:G2321" si="319">IF(C2258="","",res_u_p_tot/geo_area+res_u_mx_tot/geo_ix*D2258+res_u_my_tot/geo_iy*C2258)</f>
        <v>14.447093048888886</v>
      </c>
      <c r="H2258" s="12">
        <f t="shared" ref="H2258:H2321" si="320">IF(G2258="","",MAX(0,G2258))</f>
        <v>14.447093048888886</v>
      </c>
      <c r="I2258" s="1" t="str">
        <f t="shared" ref="I2258:I2321" si="321">IF(C2258="","",IF(AND(C2258&gt;=inp_xc-inp_cx/2,C2258&lt;=inp_xc+inp_cx/2,D2258&gt;=inp_yc-inp_cy/2,D2258&lt;=inp_yc+inp_cy/2),"Si","No"))</f>
        <v>No</v>
      </c>
      <c r="J2258" s="1" t="str">
        <f t="shared" ref="J2258:J2321" si="322">IF(C2258="","","Si")</f>
        <v>Si</v>
      </c>
      <c r="K2258" s="1" t="str">
        <f t="shared" ref="K2258:K2321" si="323">IF(OR(E2258&lt;0,G2258&lt;0),"Presion negativa","")</f>
        <v/>
      </c>
    </row>
    <row r="2259" spans="1:11" x14ac:dyDescent="0.3">
      <c r="A2259" s="1">
        <v>43</v>
      </c>
      <c r="B2259" s="1">
        <v>48</v>
      </c>
      <c r="C2259" s="12">
        <f t="shared" si="315"/>
        <v>1.35</v>
      </c>
      <c r="D2259" s="12">
        <f t="shared" si="316"/>
        <v>1.7250000000000001</v>
      </c>
      <c r="E2259" s="12">
        <f t="shared" si="317"/>
        <v>11.028408007111111</v>
      </c>
      <c r="F2259" s="12">
        <f t="shared" si="318"/>
        <v>11.028408007111111</v>
      </c>
      <c r="G2259" s="12">
        <f t="shared" si="319"/>
        <v>14.443588693333332</v>
      </c>
      <c r="H2259" s="12">
        <f t="shared" si="320"/>
        <v>14.443588693333332</v>
      </c>
      <c r="I2259" s="1" t="str">
        <f t="shared" si="321"/>
        <v>No</v>
      </c>
      <c r="J2259" s="1" t="str">
        <f t="shared" si="322"/>
        <v>Si</v>
      </c>
      <c r="K2259" s="1" t="str">
        <f t="shared" si="323"/>
        <v/>
      </c>
    </row>
    <row r="2260" spans="1:11" x14ac:dyDescent="0.3">
      <c r="A2260" s="1">
        <v>43</v>
      </c>
      <c r="B2260" s="1">
        <v>49</v>
      </c>
      <c r="C2260" s="12">
        <f t="shared" si="315"/>
        <v>1.35</v>
      </c>
      <c r="D2260" s="12">
        <f t="shared" si="316"/>
        <v>1.7999999999999998</v>
      </c>
      <c r="E2260" s="12">
        <f t="shared" si="317"/>
        <v>11.025919914666666</v>
      </c>
      <c r="F2260" s="12">
        <f t="shared" si="318"/>
        <v>11.025919914666666</v>
      </c>
      <c r="G2260" s="12">
        <f t="shared" si="319"/>
        <v>14.440084337777776</v>
      </c>
      <c r="H2260" s="12">
        <f t="shared" si="320"/>
        <v>14.440084337777776</v>
      </c>
      <c r="I2260" s="1" t="str">
        <f t="shared" si="321"/>
        <v>No</v>
      </c>
      <c r="J2260" s="1" t="str">
        <f t="shared" si="322"/>
        <v>Si</v>
      </c>
      <c r="K2260" s="1" t="str">
        <f t="shared" si="323"/>
        <v/>
      </c>
    </row>
    <row r="2261" spans="1:11" x14ac:dyDescent="0.3">
      <c r="A2261" s="1">
        <v>43</v>
      </c>
      <c r="B2261" s="1">
        <v>50</v>
      </c>
      <c r="C2261" s="12">
        <f t="shared" si="315"/>
        <v>1.35</v>
      </c>
      <c r="D2261" s="12">
        <f t="shared" si="316"/>
        <v>1.875</v>
      </c>
      <c r="E2261" s="12">
        <f t="shared" si="317"/>
        <v>11.023431822222221</v>
      </c>
      <c r="F2261" s="12">
        <f t="shared" si="318"/>
        <v>11.023431822222221</v>
      </c>
      <c r="G2261" s="12">
        <f t="shared" si="319"/>
        <v>14.43657998222222</v>
      </c>
      <c r="H2261" s="12">
        <f t="shared" si="320"/>
        <v>14.43657998222222</v>
      </c>
      <c r="I2261" s="1" t="str">
        <f t="shared" si="321"/>
        <v>No</v>
      </c>
      <c r="J2261" s="1" t="str">
        <f t="shared" si="322"/>
        <v>Si</v>
      </c>
      <c r="K2261" s="1" t="str">
        <f t="shared" si="323"/>
        <v/>
      </c>
    </row>
    <row r="2262" spans="1:11" x14ac:dyDescent="0.3">
      <c r="A2262" s="1">
        <v>44</v>
      </c>
      <c r="B2262" s="1">
        <v>0</v>
      </c>
      <c r="C2262" s="12">
        <f t="shared" si="315"/>
        <v>1.4249999999999998</v>
      </c>
      <c r="D2262" s="12">
        <f t="shared" si="316"/>
        <v>-1.875</v>
      </c>
      <c r="E2262" s="12">
        <f t="shared" si="317"/>
        <v>11.148530488888888</v>
      </c>
      <c r="F2262" s="12">
        <f t="shared" si="318"/>
        <v>11.148530488888888</v>
      </c>
      <c r="G2262" s="12">
        <f t="shared" si="319"/>
        <v>14.612835413333332</v>
      </c>
      <c r="H2262" s="12">
        <f t="shared" si="320"/>
        <v>14.612835413333332</v>
      </c>
      <c r="I2262" s="1" t="str">
        <f t="shared" si="321"/>
        <v>No</v>
      </c>
      <c r="J2262" s="1" t="str">
        <f t="shared" si="322"/>
        <v>Si</v>
      </c>
      <c r="K2262" s="1" t="str">
        <f t="shared" si="323"/>
        <v/>
      </c>
    </row>
    <row r="2263" spans="1:11" x14ac:dyDescent="0.3">
      <c r="A2263" s="1">
        <v>44</v>
      </c>
      <c r="B2263" s="1">
        <v>1</v>
      </c>
      <c r="C2263" s="12">
        <f t="shared" si="315"/>
        <v>1.4249999999999998</v>
      </c>
      <c r="D2263" s="12">
        <f t="shared" si="316"/>
        <v>-1.8</v>
      </c>
      <c r="E2263" s="12">
        <f t="shared" si="317"/>
        <v>11.146042396444443</v>
      </c>
      <c r="F2263" s="12">
        <f t="shared" si="318"/>
        <v>11.146042396444443</v>
      </c>
      <c r="G2263" s="12">
        <f t="shared" si="319"/>
        <v>14.609331057777776</v>
      </c>
      <c r="H2263" s="12">
        <f t="shared" si="320"/>
        <v>14.609331057777776</v>
      </c>
      <c r="I2263" s="1" t="str">
        <f t="shared" si="321"/>
        <v>No</v>
      </c>
      <c r="J2263" s="1" t="str">
        <f t="shared" si="322"/>
        <v>Si</v>
      </c>
      <c r="K2263" s="1" t="str">
        <f t="shared" si="323"/>
        <v/>
      </c>
    </row>
    <row r="2264" spans="1:11" x14ac:dyDescent="0.3">
      <c r="A2264" s="1">
        <v>44</v>
      </c>
      <c r="B2264" s="1">
        <v>2</v>
      </c>
      <c r="C2264" s="12">
        <f t="shared" si="315"/>
        <v>1.4249999999999998</v>
      </c>
      <c r="D2264" s="12">
        <f t="shared" si="316"/>
        <v>-1.7250000000000001</v>
      </c>
      <c r="E2264" s="12">
        <f t="shared" si="317"/>
        <v>11.143554303999998</v>
      </c>
      <c r="F2264" s="12">
        <f t="shared" si="318"/>
        <v>11.143554303999998</v>
      </c>
      <c r="G2264" s="12">
        <f t="shared" si="319"/>
        <v>14.60582670222222</v>
      </c>
      <c r="H2264" s="12">
        <f t="shared" si="320"/>
        <v>14.60582670222222</v>
      </c>
      <c r="I2264" s="1" t="str">
        <f t="shared" si="321"/>
        <v>No</v>
      </c>
      <c r="J2264" s="1" t="str">
        <f t="shared" si="322"/>
        <v>Si</v>
      </c>
      <c r="K2264" s="1" t="str">
        <f t="shared" si="323"/>
        <v/>
      </c>
    </row>
    <row r="2265" spans="1:11" x14ac:dyDescent="0.3">
      <c r="A2265" s="1">
        <v>44</v>
      </c>
      <c r="B2265" s="1">
        <v>3</v>
      </c>
      <c r="C2265" s="12">
        <f t="shared" si="315"/>
        <v>1.4249999999999998</v>
      </c>
      <c r="D2265" s="12">
        <f t="shared" si="316"/>
        <v>-1.65</v>
      </c>
      <c r="E2265" s="12">
        <f t="shared" si="317"/>
        <v>11.141066211555554</v>
      </c>
      <c r="F2265" s="12">
        <f t="shared" si="318"/>
        <v>11.141066211555554</v>
      </c>
      <c r="G2265" s="12">
        <f t="shared" si="319"/>
        <v>14.602322346666666</v>
      </c>
      <c r="H2265" s="12">
        <f t="shared" si="320"/>
        <v>14.602322346666666</v>
      </c>
      <c r="I2265" s="1" t="str">
        <f t="shared" si="321"/>
        <v>No</v>
      </c>
      <c r="J2265" s="1" t="str">
        <f t="shared" si="322"/>
        <v>Si</v>
      </c>
      <c r="K2265" s="1" t="str">
        <f t="shared" si="323"/>
        <v/>
      </c>
    </row>
    <row r="2266" spans="1:11" x14ac:dyDescent="0.3">
      <c r="A2266" s="1">
        <v>44</v>
      </c>
      <c r="B2266" s="1">
        <v>4</v>
      </c>
      <c r="C2266" s="12">
        <f t="shared" si="315"/>
        <v>1.4249999999999998</v>
      </c>
      <c r="D2266" s="12">
        <f t="shared" si="316"/>
        <v>-1.575</v>
      </c>
      <c r="E2266" s="12">
        <f t="shared" si="317"/>
        <v>11.138578119111109</v>
      </c>
      <c r="F2266" s="12">
        <f t="shared" si="318"/>
        <v>11.138578119111109</v>
      </c>
      <c r="G2266" s="12">
        <f t="shared" si="319"/>
        <v>14.59881799111111</v>
      </c>
      <c r="H2266" s="12">
        <f t="shared" si="320"/>
        <v>14.59881799111111</v>
      </c>
      <c r="I2266" s="1" t="str">
        <f t="shared" si="321"/>
        <v>No</v>
      </c>
      <c r="J2266" s="1" t="str">
        <f t="shared" si="322"/>
        <v>Si</v>
      </c>
      <c r="K2266" s="1" t="str">
        <f t="shared" si="323"/>
        <v/>
      </c>
    </row>
    <row r="2267" spans="1:11" x14ac:dyDescent="0.3">
      <c r="A2267" s="1">
        <v>44</v>
      </c>
      <c r="B2267" s="1">
        <v>5</v>
      </c>
      <c r="C2267" s="12">
        <f t="shared" si="315"/>
        <v>1.4249999999999998</v>
      </c>
      <c r="D2267" s="12">
        <f t="shared" si="316"/>
        <v>-1.5</v>
      </c>
      <c r="E2267" s="12">
        <f t="shared" si="317"/>
        <v>11.136090026666665</v>
      </c>
      <c r="F2267" s="12">
        <f t="shared" si="318"/>
        <v>11.136090026666665</v>
      </c>
      <c r="G2267" s="12">
        <f t="shared" si="319"/>
        <v>14.595313635555554</v>
      </c>
      <c r="H2267" s="12">
        <f t="shared" si="320"/>
        <v>14.595313635555554</v>
      </c>
      <c r="I2267" s="1" t="str">
        <f t="shared" si="321"/>
        <v>No</v>
      </c>
      <c r="J2267" s="1" t="str">
        <f t="shared" si="322"/>
        <v>Si</v>
      </c>
      <c r="K2267" s="1" t="str">
        <f t="shared" si="323"/>
        <v/>
      </c>
    </row>
    <row r="2268" spans="1:11" x14ac:dyDescent="0.3">
      <c r="A2268" s="1">
        <v>44</v>
      </c>
      <c r="B2268" s="1">
        <v>6</v>
      </c>
      <c r="C2268" s="12">
        <f t="shared" si="315"/>
        <v>1.4249999999999998</v>
      </c>
      <c r="D2268" s="12">
        <f t="shared" si="316"/>
        <v>-1.425</v>
      </c>
      <c r="E2268" s="12">
        <f t="shared" si="317"/>
        <v>11.13360193422222</v>
      </c>
      <c r="F2268" s="12">
        <f t="shared" si="318"/>
        <v>11.13360193422222</v>
      </c>
      <c r="G2268" s="12">
        <f t="shared" si="319"/>
        <v>14.59180928</v>
      </c>
      <c r="H2268" s="12">
        <f t="shared" si="320"/>
        <v>14.59180928</v>
      </c>
      <c r="I2268" s="1" t="str">
        <f t="shared" si="321"/>
        <v>No</v>
      </c>
      <c r="J2268" s="1" t="str">
        <f t="shared" si="322"/>
        <v>Si</v>
      </c>
      <c r="K2268" s="1" t="str">
        <f t="shared" si="323"/>
        <v/>
      </c>
    </row>
    <row r="2269" spans="1:11" x14ac:dyDescent="0.3">
      <c r="A2269" s="1">
        <v>44</v>
      </c>
      <c r="B2269" s="1">
        <v>7</v>
      </c>
      <c r="C2269" s="12">
        <f t="shared" si="315"/>
        <v>1.4249999999999998</v>
      </c>
      <c r="D2269" s="12">
        <f t="shared" si="316"/>
        <v>-1.35</v>
      </c>
      <c r="E2269" s="12">
        <f t="shared" si="317"/>
        <v>11.131113841777777</v>
      </c>
      <c r="F2269" s="12">
        <f t="shared" si="318"/>
        <v>11.131113841777777</v>
      </c>
      <c r="G2269" s="12">
        <f t="shared" si="319"/>
        <v>14.588304924444444</v>
      </c>
      <c r="H2269" s="12">
        <f t="shared" si="320"/>
        <v>14.588304924444444</v>
      </c>
      <c r="I2269" s="1" t="str">
        <f t="shared" si="321"/>
        <v>No</v>
      </c>
      <c r="J2269" s="1" t="str">
        <f t="shared" si="322"/>
        <v>Si</v>
      </c>
      <c r="K2269" s="1" t="str">
        <f t="shared" si="323"/>
        <v/>
      </c>
    </row>
    <row r="2270" spans="1:11" x14ac:dyDescent="0.3">
      <c r="A2270" s="1">
        <v>44</v>
      </c>
      <c r="B2270" s="1">
        <v>8</v>
      </c>
      <c r="C2270" s="12">
        <f t="shared" si="315"/>
        <v>1.4249999999999998</v>
      </c>
      <c r="D2270" s="12">
        <f t="shared" si="316"/>
        <v>-1.2749999999999999</v>
      </c>
      <c r="E2270" s="12">
        <f t="shared" si="317"/>
        <v>11.128625749333333</v>
      </c>
      <c r="F2270" s="12">
        <f t="shared" si="318"/>
        <v>11.128625749333333</v>
      </c>
      <c r="G2270" s="12">
        <f t="shared" si="319"/>
        <v>14.584800568888888</v>
      </c>
      <c r="H2270" s="12">
        <f t="shared" si="320"/>
        <v>14.584800568888888</v>
      </c>
      <c r="I2270" s="1" t="str">
        <f t="shared" si="321"/>
        <v>No</v>
      </c>
      <c r="J2270" s="1" t="str">
        <f t="shared" si="322"/>
        <v>Si</v>
      </c>
      <c r="K2270" s="1" t="str">
        <f t="shared" si="323"/>
        <v/>
      </c>
    </row>
    <row r="2271" spans="1:11" x14ac:dyDescent="0.3">
      <c r="A2271" s="1">
        <v>44</v>
      </c>
      <c r="B2271" s="1">
        <v>9</v>
      </c>
      <c r="C2271" s="12">
        <f t="shared" si="315"/>
        <v>1.4249999999999998</v>
      </c>
      <c r="D2271" s="12">
        <f t="shared" si="316"/>
        <v>-1.2</v>
      </c>
      <c r="E2271" s="12">
        <f t="shared" si="317"/>
        <v>11.126137656888888</v>
      </c>
      <c r="F2271" s="12">
        <f t="shared" si="318"/>
        <v>11.126137656888888</v>
      </c>
      <c r="G2271" s="12">
        <f t="shared" si="319"/>
        <v>14.581296213333331</v>
      </c>
      <c r="H2271" s="12">
        <f t="shared" si="320"/>
        <v>14.581296213333331</v>
      </c>
      <c r="I2271" s="1" t="str">
        <f t="shared" si="321"/>
        <v>No</v>
      </c>
      <c r="J2271" s="1" t="str">
        <f t="shared" si="322"/>
        <v>Si</v>
      </c>
      <c r="K2271" s="1" t="str">
        <f t="shared" si="323"/>
        <v/>
      </c>
    </row>
    <row r="2272" spans="1:11" x14ac:dyDescent="0.3">
      <c r="A2272" s="1">
        <v>44</v>
      </c>
      <c r="B2272" s="1">
        <v>10</v>
      </c>
      <c r="C2272" s="12">
        <f t="shared" si="315"/>
        <v>1.4249999999999998</v>
      </c>
      <c r="D2272" s="12">
        <f t="shared" si="316"/>
        <v>-1.125</v>
      </c>
      <c r="E2272" s="12">
        <f t="shared" si="317"/>
        <v>11.123649564444444</v>
      </c>
      <c r="F2272" s="12">
        <f t="shared" si="318"/>
        <v>11.123649564444444</v>
      </c>
      <c r="G2272" s="12">
        <f t="shared" si="319"/>
        <v>14.577791857777777</v>
      </c>
      <c r="H2272" s="12">
        <f t="shared" si="320"/>
        <v>14.577791857777777</v>
      </c>
      <c r="I2272" s="1" t="str">
        <f t="shared" si="321"/>
        <v>No</v>
      </c>
      <c r="J2272" s="1" t="str">
        <f t="shared" si="322"/>
        <v>Si</v>
      </c>
      <c r="K2272" s="1" t="str">
        <f t="shared" si="323"/>
        <v/>
      </c>
    </row>
    <row r="2273" spans="1:11" x14ac:dyDescent="0.3">
      <c r="A2273" s="1">
        <v>44</v>
      </c>
      <c r="B2273" s="1">
        <v>11</v>
      </c>
      <c r="C2273" s="12">
        <f t="shared" si="315"/>
        <v>1.4249999999999998</v>
      </c>
      <c r="D2273" s="12">
        <f t="shared" si="316"/>
        <v>-1.05</v>
      </c>
      <c r="E2273" s="12">
        <f t="shared" si="317"/>
        <v>11.121161471999999</v>
      </c>
      <c r="F2273" s="12">
        <f t="shared" si="318"/>
        <v>11.121161471999999</v>
      </c>
      <c r="G2273" s="12">
        <f t="shared" si="319"/>
        <v>14.574287502222221</v>
      </c>
      <c r="H2273" s="12">
        <f t="shared" si="320"/>
        <v>14.574287502222221</v>
      </c>
      <c r="I2273" s="1" t="str">
        <f t="shared" si="321"/>
        <v>No</v>
      </c>
      <c r="J2273" s="1" t="str">
        <f t="shared" si="322"/>
        <v>Si</v>
      </c>
      <c r="K2273" s="1" t="str">
        <f t="shared" si="323"/>
        <v/>
      </c>
    </row>
    <row r="2274" spans="1:11" x14ac:dyDescent="0.3">
      <c r="A2274" s="1">
        <v>44</v>
      </c>
      <c r="B2274" s="1">
        <v>12</v>
      </c>
      <c r="C2274" s="12">
        <f t="shared" si="315"/>
        <v>1.4249999999999998</v>
      </c>
      <c r="D2274" s="12">
        <f t="shared" si="316"/>
        <v>-0.97499999999999998</v>
      </c>
      <c r="E2274" s="12">
        <f t="shared" si="317"/>
        <v>11.118673379555554</v>
      </c>
      <c r="F2274" s="12">
        <f t="shared" si="318"/>
        <v>11.118673379555554</v>
      </c>
      <c r="G2274" s="12">
        <f t="shared" si="319"/>
        <v>14.570783146666665</v>
      </c>
      <c r="H2274" s="12">
        <f t="shared" si="320"/>
        <v>14.570783146666665</v>
      </c>
      <c r="I2274" s="1" t="str">
        <f t="shared" si="321"/>
        <v>No</v>
      </c>
      <c r="J2274" s="1" t="str">
        <f t="shared" si="322"/>
        <v>Si</v>
      </c>
      <c r="K2274" s="1" t="str">
        <f t="shared" si="323"/>
        <v/>
      </c>
    </row>
    <row r="2275" spans="1:11" x14ac:dyDescent="0.3">
      <c r="A2275" s="1">
        <v>44</v>
      </c>
      <c r="B2275" s="1">
        <v>13</v>
      </c>
      <c r="C2275" s="12">
        <f t="shared" si="315"/>
        <v>1.4249999999999998</v>
      </c>
      <c r="D2275" s="12">
        <f t="shared" si="316"/>
        <v>-0.9</v>
      </c>
      <c r="E2275" s="12">
        <f t="shared" si="317"/>
        <v>11.11618528711111</v>
      </c>
      <c r="F2275" s="12">
        <f t="shared" si="318"/>
        <v>11.11618528711111</v>
      </c>
      <c r="G2275" s="12">
        <f t="shared" si="319"/>
        <v>14.567278791111111</v>
      </c>
      <c r="H2275" s="12">
        <f t="shared" si="320"/>
        <v>14.567278791111111</v>
      </c>
      <c r="I2275" s="1" t="str">
        <f t="shared" si="321"/>
        <v>No</v>
      </c>
      <c r="J2275" s="1" t="str">
        <f t="shared" si="322"/>
        <v>Si</v>
      </c>
      <c r="K2275" s="1" t="str">
        <f t="shared" si="323"/>
        <v/>
      </c>
    </row>
    <row r="2276" spans="1:11" x14ac:dyDescent="0.3">
      <c r="A2276" s="1">
        <v>44</v>
      </c>
      <c r="B2276" s="1">
        <v>14</v>
      </c>
      <c r="C2276" s="12">
        <f t="shared" si="315"/>
        <v>1.4249999999999998</v>
      </c>
      <c r="D2276" s="12">
        <f t="shared" si="316"/>
        <v>-0.82499999999999996</v>
      </c>
      <c r="E2276" s="12">
        <f t="shared" si="317"/>
        <v>11.113697194666665</v>
      </c>
      <c r="F2276" s="12">
        <f t="shared" si="318"/>
        <v>11.113697194666665</v>
      </c>
      <c r="G2276" s="12">
        <f t="shared" si="319"/>
        <v>14.563774435555555</v>
      </c>
      <c r="H2276" s="12">
        <f t="shared" si="320"/>
        <v>14.563774435555555</v>
      </c>
      <c r="I2276" s="1" t="str">
        <f t="shared" si="321"/>
        <v>No</v>
      </c>
      <c r="J2276" s="1" t="str">
        <f t="shared" si="322"/>
        <v>Si</v>
      </c>
      <c r="K2276" s="1" t="str">
        <f t="shared" si="323"/>
        <v/>
      </c>
    </row>
    <row r="2277" spans="1:11" x14ac:dyDescent="0.3">
      <c r="A2277" s="1">
        <v>44</v>
      </c>
      <c r="B2277" s="1">
        <v>15</v>
      </c>
      <c r="C2277" s="12">
        <f t="shared" si="315"/>
        <v>1.4249999999999998</v>
      </c>
      <c r="D2277" s="12">
        <f t="shared" si="316"/>
        <v>-0.75</v>
      </c>
      <c r="E2277" s="12">
        <f t="shared" si="317"/>
        <v>11.111209102222221</v>
      </c>
      <c r="F2277" s="12">
        <f t="shared" si="318"/>
        <v>11.111209102222221</v>
      </c>
      <c r="G2277" s="12">
        <f t="shared" si="319"/>
        <v>14.560270079999999</v>
      </c>
      <c r="H2277" s="12">
        <f t="shared" si="320"/>
        <v>14.560270079999999</v>
      </c>
      <c r="I2277" s="1" t="str">
        <f t="shared" si="321"/>
        <v>No</v>
      </c>
      <c r="J2277" s="1" t="str">
        <f t="shared" si="322"/>
        <v>Si</v>
      </c>
      <c r="K2277" s="1" t="str">
        <f t="shared" si="323"/>
        <v/>
      </c>
    </row>
    <row r="2278" spans="1:11" x14ac:dyDescent="0.3">
      <c r="A2278" s="1">
        <v>44</v>
      </c>
      <c r="B2278" s="1">
        <v>16</v>
      </c>
      <c r="C2278" s="12">
        <f t="shared" si="315"/>
        <v>1.4249999999999998</v>
      </c>
      <c r="D2278" s="12">
        <f t="shared" si="316"/>
        <v>-0.67500000000000004</v>
      </c>
      <c r="E2278" s="12">
        <f t="shared" si="317"/>
        <v>11.108721009777776</v>
      </c>
      <c r="F2278" s="12">
        <f t="shared" si="318"/>
        <v>11.108721009777776</v>
      </c>
      <c r="G2278" s="12">
        <f t="shared" si="319"/>
        <v>14.556765724444443</v>
      </c>
      <c r="H2278" s="12">
        <f t="shared" si="320"/>
        <v>14.556765724444443</v>
      </c>
      <c r="I2278" s="1" t="str">
        <f t="shared" si="321"/>
        <v>No</v>
      </c>
      <c r="J2278" s="1" t="str">
        <f t="shared" si="322"/>
        <v>Si</v>
      </c>
      <c r="K2278" s="1" t="str">
        <f t="shared" si="323"/>
        <v/>
      </c>
    </row>
    <row r="2279" spans="1:11" x14ac:dyDescent="0.3">
      <c r="A2279" s="1">
        <v>44</v>
      </c>
      <c r="B2279" s="1">
        <v>17</v>
      </c>
      <c r="C2279" s="12">
        <f t="shared" si="315"/>
        <v>1.4249999999999998</v>
      </c>
      <c r="D2279" s="12">
        <f t="shared" si="316"/>
        <v>-0.60000000000000009</v>
      </c>
      <c r="E2279" s="12">
        <f t="shared" si="317"/>
        <v>11.106232917333331</v>
      </c>
      <c r="F2279" s="12">
        <f t="shared" si="318"/>
        <v>11.106232917333331</v>
      </c>
      <c r="G2279" s="12">
        <f t="shared" si="319"/>
        <v>14.553261368888888</v>
      </c>
      <c r="H2279" s="12">
        <f t="shared" si="320"/>
        <v>14.553261368888888</v>
      </c>
      <c r="I2279" s="1" t="str">
        <f t="shared" si="321"/>
        <v>No</v>
      </c>
      <c r="J2279" s="1" t="str">
        <f t="shared" si="322"/>
        <v>Si</v>
      </c>
      <c r="K2279" s="1" t="str">
        <f t="shared" si="323"/>
        <v/>
      </c>
    </row>
    <row r="2280" spans="1:11" x14ac:dyDescent="0.3">
      <c r="A2280" s="1">
        <v>44</v>
      </c>
      <c r="B2280" s="1">
        <v>18</v>
      </c>
      <c r="C2280" s="12">
        <f t="shared" si="315"/>
        <v>1.4249999999999998</v>
      </c>
      <c r="D2280" s="12">
        <f t="shared" si="316"/>
        <v>-0.52499999999999991</v>
      </c>
      <c r="E2280" s="12">
        <f t="shared" si="317"/>
        <v>11.103744824888887</v>
      </c>
      <c r="F2280" s="12">
        <f t="shared" si="318"/>
        <v>11.103744824888887</v>
      </c>
      <c r="G2280" s="12">
        <f t="shared" si="319"/>
        <v>14.549757013333332</v>
      </c>
      <c r="H2280" s="12">
        <f t="shared" si="320"/>
        <v>14.549757013333332</v>
      </c>
      <c r="I2280" s="1" t="str">
        <f t="shared" si="321"/>
        <v>No</v>
      </c>
      <c r="J2280" s="1" t="str">
        <f t="shared" si="322"/>
        <v>Si</v>
      </c>
      <c r="K2280" s="1" t="str">
        <f t="shared" si="323"/>
        <v/>
      </c>
    </row>
    <row r="2281" spans="1:11" x14ac:dyDescent="0.3">
      <c r="A2281" s="1">
        <v>44</v>
      </c>
      <c r="B2281" s="1">
        <v>19</v>
      </c>
      <c r="C2281" s="12">
        <f t="shared" si="315"/>
        <v>1.4249999999999998</v>
      </c>
      <c r="D2281" s="12">
        <f t="shared" si="316"/>
        <v>-0.44999999999999996</v>
      </c>
      <c r="E2281" s="12">
        <f t="shared" si="317"/>
        <v>11.101256732444444</v>
      </c>
      <c r="F2281" s="12">
        <f t="shared" si="318"/>
        <v>11.101256732444444</v>
      </c>
      <c r="G2281" s="12">
        <f t="shared" si="319"/>
        <v>14.546252657777776</v>
      </c>
      <c r="H2281" s="12">
        <f t="shared" si="320"/>
        <v>14.546252657777776</v>
      </c>
      <c r="I2281" s="1" t="str">
        <f t="shared" si="321"/>
        <v>No</v>
      </c>
      <c r="J2281" s="1" t="str">
        <f t="shared" si="322"/>
        <v>Si</v>
      </c>
      <c r="K2281" s="1" t="str">
        <f t="shared" si="323"/>
        <v/>
      </c>
    </row>
    <row r="2282" spans="1:11" x14ac:dyDescent="0.3">
      <c r="A2282" s="1">
        <v>44</v>
      </c>
      <c r="B2282" s="1">
        <v>20</v>
      </c>
      <c r="C2282" s="12">
        <f t="shared" si="315"/>
        <v>1.4249999999999998</v>
      </c>
      <c r="D2282" s="12">
        <f t="shared" si="316"/>
        <v>-0.375</v>
      </c>
      <c r="E2282" s="12">
        <f t="shared" si="317"/>
        <v>11.098768639999999</v>
      </c>
      <c r="F2282" s="12">
        <f t="shared" si="318"/>
        <v>11.098768639999999</v>
      </c>
      <c r="G2282" s="12">
        <f t="shared" si="319"/>
        <v>14.542748302222222</v>
      </c>
      <c r="H2282" s="12">
        <f t="shared" si="320"/>
        <v>14.542748302222222</v>
      </c>
      <c r="I2282" s="1" t="str">
        <f t="shared" si="321"/>
        <v>No</v>
      </c>
      <c r="J2282" s="1" t="str">
        <f t="shared" si="322"/>
        <v>Si</v>
      </c>
      <c r="K2282" s="1" t="str">
        <f t="shared" si="323"/>
        <v/>
      </c>
    </row>
    <row r="2283" spans="1:11" x14ac:dyDescent="0.3">
      <c r="A2283" s="1">
        <v>44</v>
      </c>
      <c r="B2283" s="1">
        <v>21</v>
      </c>
      <c r="C2283" s="12">
        <f t="shared" si="315"/>
        <v>1.4249999999999998</v>
      </c>
      <c r="D2283" s="12">
        <f t="shared" si="316"/>
        <v>-0.30000000000000004</v>
      </c>
      <c r="E2283" s="12">
        <f t="shared" si="317"/>
        <v>11.096280547555555</v>
      </c>
      <c r="F2283" s="12">
        <f t="shared" si="318"/>
        <v>11.096280547555555</v>
      </c>
      <c r="G2283" s="12">
        <f t="shared" si="319"/>
        <v>14.539243946666666</v>
      </c>
      <c r="H2283" s="12">
        <f t="shared" si="320"/>
        <v>14.539243946666666</v>
      </c>
      <c r="I2283" s="1" t="str">
        <f t="shared" si="321"/>
        <v>No</v>
      </c>
      <c r="J2283" s="1" t="str">
        <f t="shared" si="322"/>
        <v>Si</v>
      </c>
      <c r="K2283" s="1" t="str">
        <f t="shared" si="323"/>
        <v/>
      </c>
    </row>
    <row r="2284" spans="1:11" x14ac:dyDescent="0.3">
      <c r="A2284" s="1">
        <v>44</v>
      </c>
      <c r="B2284" s="1">
        <v>22</v>
      </c>
      <c r="C2284" s="12">
        <f t="shared" si="315"/>
        <v>1.4249999999999998</v>
      </c>
      <c r="D2284" s="12">
        <f t="shared" si="316"/>
        <v>-0.22500000000000009</v>
      </c>
      <c r="E2284" s="12">
        <f t="shared" si="317"/>
        <v>11.09379245511111</v>
      </c>
      <c r="F2284" s="12">
        <f t="shared" si="318"/>
        <v>11.09379245511111</v>
      </c>
      <c r="G2284" s="12">
        <f t="shared" si="319"/>
        <v>14.53573959111111</v>
      </c>
      <c r="H2284" s="12">
        <f t="shared" si="320"/>
        <v>14.53573959111111</v>
      </c>
      <c r="I2284" s="1" t="str">
        <f t="shared" si="321"/>
        <v>No</v>
      </c>
      <c r="J2284" s="1" t="str">
        <f t="shared" si="322"/>
        <v>Si</v>
      </c>
      <c r="K2284" s="1" t="str">
        <f t="shared" si="323"/>
        <v/>
      </c>
    </row>
    <row r="2285" spans="1:11" x14ac:dyDescent="0.3">
      <c r="A2285" s="1">
        <v>44</v>
      </c>
      <c r="B2285" s="1">
        <v>23</v>
      </c>
      <c r="C2285" s="12">
        <f t="shared" si="315"/>
        <v>1.4249999999999998</v>
      </c>
      <c r="D2285" s="12">
        <f t="shared" si="316"/>
        <v>-0.14999999999999991</v>
      </c>
      <c r="E2285" s="12">
        <f t="shared" si="317"/>
        <v>11.091304362666666</v>
      </c>
      <c r="F2285" s="12">
        <f t="shared" si="318"/>
        <v>11.091304362666666</v>
      </c>
      <c r="G2285" s="12">
        <f t="shared" si="319"/>
        <v>14.532235235555554</v>
      </c>
      <c r="H2285" s="12">
        <f t="shared" si="320"/>
        <v>14.532235235555554</v>
      </c>
      <c r="I2285" s="1" t="str">
        <f t="shared" si="321"/>
        <v>No</v>
      </c>
      <c r="J2285" s="1" t="str">
        <f t="shared" si="322"/>
        <v>Si</v>
      </c>
      <c r="K2285" s="1" t="str">
        <f t="shared" si="323"/>
        <v/>
      </c>
    </row>
    <row r="2286" spans="1:11" x14ac:dyDescent="0.3">
      <c r="A2286" s="1">
        <v>44</v>
      </c>
      <c r="B2286" s="1">
        <v>24</v>
      </c>
      <c r="C2286" s="12">
        <f t="shared" si="315"/>
        <v>1.4249999999999998</v>
      </c>
      <c r="D2286" s="12">
        <f t="shared" si="316"/>
        <v>-7.4999999999999956E-2</v>
      </c>
      <c r="E2286" s="12">
        <f t="shared" si="317"/>
        <v>11.088816270222221</v>
      </c>
      <c r="F2286" s="12">
        <f t="shared" si="318"/>
        <v>11.088816270222221</v>
      </c>
      <c r="G2286" s="12">
        <f t="shared" si="319"/>
        <v>14.528730879999999</v>
      </c>
      <c r="H2286" s="12">
        <f t="shared" si="320"/>
        <v>14.528730879999999</v>
      </c>
      <c r="I2286" s="1" t="str">
        <f t="shared" si="321"/>
        <v>No</v>
      </c>
      <c r="J2286" s="1" t="str">
        <f t="shared" si="322"/>
        <v>Si</v>
      </c>
      <c r="K2286" s="1" t="str">
        <f t="shared" si="323"/>
        <v/>
      </c>
    </row>
    <row r="2287" spans="1:11" x14ac:dyDescent="0.3">
      <c r="A2287" s="1">
        <v>44</v>
      </c>
      <c r="B2287" s="1">
        <v>25</v>
      </c>
      <c r="C2287" s="12">
        <f t="shared" si="315"/>
        <v>1.4249999999999998</v>
      </c>
      <c r="D2287" s="12">
        <f t="shared" si="316"/>
        <v>0</v>
      </c>
      <c r="E2287" s="12">
        <f t="shared" si="317"/>
        <v>11.086328177777776</v>
      </c>
      <c r="F2287" s="12">
        <f t="shared" si="318"/>
        <v>11.086328177777776</v>
      </c>
      <c r="G2287" s="12">
        <f t="shared" si="319"/>
        <v>14.525226524444443</v>
      </c>
      <c r="H2287" s="12">
        <f t="shared" si="320"/>
        <v>14.525226524444443</v>
      </c>
      <c r="I2287" s="1" t="str">
        <f t="shared" si="321"/>
        <v>No</v>
      </c>
      <c r="J2287" s="1" t="str">
        <f t="shared" si="322"/>
        <v>Si</v>
      </c>
      <c r="K2287" s="1" t="str">
        <f t="shared" si="323"/>
        <v/>
      </c>
    </row>
    <row r="2288" spans="1:11" x14ac:dyDescent="0.3">
      <c r="A2288" s="1">
        <v>44</v>
      </c>
      <c r="B2288" s="1">
        <v>26</v>
      </c>
      <c r="C2288" s="12">
        <f t="shared" si="315"/>
        <v>1.4249999999999998</v>
      </c>
      <c r="D2288" s="12">
        <f t="shared" si="316"/>
        <v>7.4999999999999956E-2</v>
      </c>
      <c r="E2288" s="12">
        <f t="shared" si="317"/>
        <v>11.083840085333332</v>
      </c>
      <c r="F2288" s="12">
        <f t="shared" si="318"/>
        <v>11.083840085333332</v>
      </c>
      <c r="G2288" s="12">
        <f t="shared" si="319"/>
        <v>14.521722168888887</v>
      </c>
      <c r="H2288" s="12">
        <f t="shared" si="320"/>
        <v>14.521722168888887</v>
      </c>
      <c r="I2288" s="1" t="str">
        <f t="shared" si="321"/>
        <v>No</v>
      </c>
      <c r="J2288" s="1" t="str">
        <f t="shared" si="322"/>
        <v>Si</v>
      </c>
      <c r="K2288" s="1" t="str">
        <f t="shared" si="323"/>
        <v/>
      </c>
    </row>
    <row r="2289" spans="1:11" x14ac:dyDescent="0.3">
      <c r="A2289" s="1">
        <v>44</v>
      </c>
      <c r="B2289" s="1">
        <v>27</v>
      </c>
      <c r="C2289" s="12">
        <f t="shared" si="315"/>
        <v>1.4249999999999998</v>
      </c>
      <c r="D2289" s="12">
        <f t="shared" si="316"/>
        <v>0.14999999999999991</v>
      </c>
      <c r="E2289" s="12">
        <f t="shared" si="317"/>
        <v>11.081351992888887</v>
      </c>
      <c r="F2289" s="12">
        <f t="shared" si="318"/>
        <v>11.081351992888887</v>
      </c>
      <c r="G2289" s="12">
        <f t="shared" si="319"/>
        <v>14.518217813333333</v>
      </c>
      <c r="H2289" s="12">
        <f t="shared" si="320"/>
        <v>14.518217813333333</v>
      </c>
      <c r="I2289" s="1" t="str">
        <f t="shared" si="321"/>
        <v>No</v>
      </c>
      <c r="J2289" s="1" t="str">
        <f t="shared" si="322"/>
        <v>Si</v>
      </c>
      <c r="K2289" s="1" t="str">
        <f t="shared" si="323"/>
        <v/>
      </c>
    </row>
    <row r="2290" spans="1:11" x14ac:dyDescent="0.3">
      <c r="A2290" s="1">
        <v>44</v>
      </c>
      <c r="B2290" s="1">
        <v>28</v>
      </c>
      <c r="C2290" s="12">
        <f t="shared" si="315"/>
        <v>1.4249999999999998</v>
      </c>
      <c r="D2290" s="12">
        <f t="shared" si="316"/>
        <v>0.22500000000000009</v>
      </c>
      <c r="E2290" s="12">
        <f t="shared" si="317"/>
        <v>11.078863900444443</v>
      </c>
      <c r="F2290" s="12">
        <f t="shared" si="318"/>
        <v>11.078863900444443</v>
      </c>
      <c r="G2290" s="12">
        <f t="shared" si="319"/>
        <v>14.514713457777777</v>
      </c>
      <c r="H2290" s="12">
        <f t="shared" si="320"/>
        <v>14.514713457777777</v>
      </c>
      <c r="I2290" s="1" t="str">
        <f t="shared" si="321"/>
        <v>No</v>
      </c>
      <c r="J2290" s="1" t="str">
        <f t="shared" si="322"/>
        <v>Si</v>
      </c>
      <c r="K2290" s="1" t="str">
        <f t="shared" si="323"/>
        <v/>
      </c>
    </row>
    <row r="2291" spans="1:11" x14ac:dyDescent="0.3">
      <c r="A2291" s="1">
        <v>44</v>
      </c>
      <c r="B2291" s="1">
        <v>29</v>
      </c>
      <c r="C2291" s="12">
        <f t="shared" si="315"/>
        <v>1.4249999999999998</v>
      </c>
      <c r="D2291" s="12">
        <f t="shared" si="316"/>
        <v>0.29999999999999982</v>
      </c>
      <c r="E2291" s="12">
        <f t="shared" si="317"/>
        <v>11.076375807999998</v>
      </c>
      <c r="F2291" s="12">
        <f t="shared" si="318"/>
        <v>11.076375807999998</v>
      </c>
      <c r="G2291" s="12">
        <f t="shared" si="319"/>
        <v>14.511209102222221</v>
      </c>
      <c r="H2291" s="12">
        <f t="shared" si="320"/>
        <v>14.511209102222221</v>
      </c>
      <c r="I2291" s="1" t="str">
        <f t="shared" si="321"/>
        <v>No</v>
      </c>
      <c r="J2291" s="1" t="str">
        <f t="shared" si="322"/>
        <v>Si</v>
      </c>
      <c r="K2291" s="1" t="str">
        <f t="shared" si="323"/>
        <v/>
      </c>
    </row>
    <row r="2292" spans="1:11" x14ac:dyDescent="0.3">
      <c r="A2292" s="1">
        <v>44</v>
      </c>
      <c r="B2292" s="1">
        <v>30</v>
      </c>
      <c r="C2292" s="12">
        <f t="shared" si="315"/>
        <v>1.4249999999999998</v>
      </c>
      <c r="D2292" s="12">
        <f t="shared" si="316"/>
        <v>0.375</v>
      </c>
      <c r="E2292" s="12">
        <f t="shared" si="317"/>
        <v>11.073887715555554</v>
      </c>
      <c r="F2292" s="12">
        <f t="shared" si="318"/>
        <v>11.073887715555554</v>
      </c>
      <c r="G2292" s="12">
        <f t="shared" si="319"/>
        <v>14.507704746666665</v>
      </c>
      <c r="H2292" s="12">
        <f t="shared" si="320"/>
        <v>14.507704746666665</v>
      </c>
      <c r="I2292" s="1" t="str">
        <f t="shared" si="321"/>
        <v>No</v>
      </c>
      <c r="J2292" s="1" t="str">
        <f t="shared" si="322"/>
        <v>Si</v>
      </c>
      <c r="K2292" s="1" t="str">
        <f t="shared" si="323"/>
        <v/>
      </c>
    </row>
    <row r="2293" spans="1:11" x14ac:dyDescent="0.3">
      <c r="A2293" s="1">
        <v>44</v>
      </c>
      <c r="B2293" s="1">
        <v>31</v>
      </c>
      <c r="C2293" s="12">
        <f t="shared" si="315"/>
        <v>1.4249999999999998</v>
      </c>
      <c r="D2293" s="12">
        <f t="shared" si="316"/>
        <v>0.45000000000000018</v>
      </c>
      <c r="E2293" s="12">
        <f t="shared" si="317"/>
        <v>11.071399623111109</v>
      </c>
      <c r="F2293" s="12">
        <f t="shared" si="318"/>
        <v>11.071399623111109</v>
      </c>
      <c r="G2293" s="12">
        <f t="shared" si="319"/>
        <v>14.504200391111111</v>
      </c>
      <c r="H2293" s="12">
        <f t="shared" si="320"/>
        <v>14.504200391111111</v>
      </c>
      <c r="I2293" s="1" t="str">
        <f t="shared" si="321"/>
        <v>No</v>
      </c>
      <c r="J2293" s="1" t="str">
        <f t="shared" si="322"/>
        <v>Si</v>
      </c>
      <c r="K2293" s="1" t="str">
        <f t="shared" si="323"/>
        <v/>
      </c>
    </row>
    <row r="2294" spans="1:11" x14ac:dyDescent="0.3">
      <c r="A2294" s="1">
        <v>44</v>
      </c>
      <c r="B2294" s="1">
        <v>32</v>
      </c>
      <c r="C2294" s="12">
        <f t="shared" si="315"/>
        <v>1.4249999999999998</v>
      </c>
      <c r="D2294" s="12">
        <f t="shared" si="316"/>
        <v>0.52499999999999991</v>
      </c>
      <c r="E2294" s="12">
        <f t="shared" si="317"/>
        <v>11.068911530666666</v>
      </c>
      <c r="F2294" s="12">
        <f t="shared" si="318"/>
        <v>11.068911530666666</v>
      </c>
      <c r="G2294" s="12">
        <f t="shared" si="319"/>
        <v>14.500696035555555</v>
      </c>
      <c r="H2294" s="12">
        <f t="shared" si="320"/>
        <v>14.500696035555555</v>
      </c>
      <c r="I2294" s="1" t="str">
        <f t="shared" si="321"/>
        <v>No</v>
      </c>
      <c r="J2294" s="1" t="str">
        <f t="shared" si="322"/>
        <v>Si</v>
      </c>
      <c r="K2294" s="1" t="str">
        <f t="shared" si="323"/>
        <v/>
      </c>
    </row>
    <row r="2295" spans="1:11" x14ac:dyDescent="0.3">
      <c r="A2295" s="1">
        <v>44</v>
      </c>
      <c r="B2295" s="1">
        <v>33</v>
      </c>
      <c r="C2295" s="12">
        <f t="shared" si="315"/>
        <v>1.4249999999999998</v>
      </c>
      <c r="D2295" s="12">
        <f t="shared" si="316"/>
        <v>0.60000000000000009</v>
      </c>
      <c r="E2295" s="12">
        <f t="shared" si="317"/>
        <v>11.066423438222222</v>
      </c>
      <c r="F2295" s="12">
        <f t="shared" si="318"/>
        <v>11.066423438222222</v>
      </c>
      <c r="G2295" s="12">
        <f t="shared" si="319"/>
        <v>14.497191679999998</v>
      </c>
      <c r="H2295" s="12">
        <f t="shared" si="320"/>
        <v>14.497191679999998</v>
      </c>
      <c r="I2295" s="1" t="str">
        <f t="shared" si="321"/>
        <v>No</v>
      </c>
      <c r="J2295" s="1" t="str">
        <f t="shared" si="322"/>
        <v>Si</v>
      </c>
      <c r="K2295" s="1" t="str">
        <f t="shared" si="323"/>
        <v/>
      </c>
    </row>
    <row r="2296" spans="1:11" x14ac:dyDescent="0.3">
      <c r="A2296" s="1">
        <v>44</v>
      </c>
      <c r="B2296" s="1">
        <v>34</v>
      </c>
      <c r="C2296" s="12">
        <f t="shared" si="315"/>
        <v>1.4249999999999998</v>
      </c>
      <c r="D2296" s="12">
        <f t="shared" si="316"/>
        <v>0.67499999999999982</v>
      </c>
      <c r="E2296" s="12">
        <f t="shared" si="317"/>
        <v>11.063935345777777</v>
      </c>
      <c r="F2296" s="12">
        <f t="shared" si="318"/>
        <v>11.063935345777777</v>
      </c>
      <c r="G2296" s="12">
        <f t="shared" si="319"/>
        <v>14.493687324444444</v>
      </c>
      <c r="H2296" s="12">
        <f t="shared" si="320"/>
        <v>14.493687324444444</v>
      </c>
      <c r="I2296" s="1" t="str">
        <f t="shared" si="321"/>
        <v>No</v>
      </c>
      <c r="J2296" s="1" t="str">
        <f t="shared" si="322"/>
        <v>Si</v>
      </c>
      <c r="K2296" s="1" t="str">
        <f t="shared" si="323"/>
        <v/>
      </c>
    </row>
    <row r="2297" spans="1:11" x14ac:dyDescent="0.3">
      <c r="A2297" s="1">
        <v>44</v>
      </c>
      <c r="B2297" s="1">
        <v>35</v>
      </c>
      <c r="C2297" s="12">
        <f t="shared" si="315"/>
        <v>1.4249999999999998</v>
      </c>
      <c r="D2297" s="12">
        <f t="shared" si="316"/>
        <v>0.75</v>
      </c>
      <c r="E2297" s="12">
        <f t="shared" si="317"/>
        <v>11.061447253333332</v>
      </c>
      <c r="F2297" s="12">
        <f t="shared" si="318"/>
        <v>11.061447253333332</v>
      </c>
      <c r="G2297" s="12">
        <f t="shared" si="319"/>
        <v>14.490182968888888</v>
      </c>
      <c r="H2297" s="12">
        <f t="shared" si="320"/>
        <v>14.490182968888888</v>
      </c>
      <c r="I2297" s="1" t="str">
        <f t="shared" si="321"/>
        <v>No</v>
      </c>
      <c r="J2297" s="1" t="str">
        <f t="shared" si="322"/>
        <v>Si</v>
      </c>
      <c r="K2297" s="1" t="str">
        <f t="shared" si="323"/>
        <v/>
      </c>
    </row>
    <row r="2298" spans="1:11" x14ac:dyDescent="0.3">
      <c r="A2298" s="1">
        <v>44</v>
      </c>
      <c r="B2298" s="1">
        <v>36</v>
      </c>
      <c r="C2298" s="12">
        <f t="shared" si="315"/>
        <v>1.4249999999999998</v>
      </c>
      <c r="D2298" s="12">
        <f t="shared" si="316"/>
        <v>0.82500000000000018</v>
      </c>
      <c r="E2298" s="12">
        <f t="shared" si="317"/>
        <v>11.058959160888888</v>
      </c>
      <c r="F2298" s="12">
        <f t="shared" si="318"/>
        <v>11.058959160888888</v>
      </c>
      <c r="G2298" s="12">
        <f t="shared" si="319"/>
        <v>14.486678613333332</v>
      </c>
      <c r="H2298" s="12">
        <f t="shared" si="320"/>
        <v>14.486678613333332</v>
      </c>
      <c r="I2298" s="1" t="str">
        <f t="shared" si="321"/>
        <v>No</v>
      </c>
      <c r="J2298" s="1" t="str">
        <f t="shared" si="322"/>
        <v>Si</v>
      </c>
      <c r="K2298" s="1" t="str">
        <f t="shared" si="323"/>
        <v/>
      </c>
    </row>
    <row r="2299" spans="1:11" x14ac:dyDescent="0.3">
      <c r="A2299" s="1">
        <v>44</v>
      </c>
      <c r="B2299" s="1">
        <v>37</v>
      </c>
      <c r="C2299" s="12">
        <f t="shared" si="315"/>
        <v>1.4249999999999998</v>
      </c>
      <c r="D2299" s="12">
        <f t="shared" si="316"/>
        <v>0.89999999999999991</v>
      </c>
      <c r="E2299" s="12">
        <f t="shared" si="317"/>
        <v>11.056471068444443</v>
      </c>
      <c r="F2299" s="12">
        <f t="shared" si="318"/>
        <v>11.056471068444443</v>
      </c>
      <c r="G2299" s="12">
        <f t="shared" si="319"/>
        <v>14.483174257777776</v>
      </c>
      <c r="H2299" s="12">
        <f t="shared" si="320"/>
        <v>14.483174257777776</v>
      </c>
      <c r="I2299" s="1" t="str">
        <f t="shared" si="321"/>
        <v>No</v>
      </c>
      <c r="J2299" s="1" t="str">
        <f t="shared" si="322"/>
        <v>Si</v>
      </c>
      <c r="K2299" s="1" t="str">
        <f t="shared" si="323"/>
        <v/>
      </c>
    </row>
    <row r="2300" spans="1:11" x14ac:dyDescent="0.3">
      <c r="A2300" s="1">
        <v>44</v>
      </c>
      <c r="B2300" s="1">
        <v>38</v>
      </c>
      <c r="C2300" s="12">
        <f t="shared" si="315"/>
        <v>1.4249999999999998</v>
      </c>
      <c r="D2300" s="12">
        <f t="shared" si="316"/>
        <v>0.97500000000000009</v>
      </c>
      <c r="E2300" s="12">
        <f t="shared" si="317"/>
        <v>11.053982975999999</v>
      </c>
      <c r="F2300" s="12">
        <f t="shared" si="318"/>
        <v>11.053982975999999</v>
      </c>
      <c r="G2300" s="12">
        <f t="shared" si="319"/>
        <v>14.479669902222222</v>
      </c>
      <c r="H2300" s="12">
        <f t="shared" si="320"/>
        <v>14.479669902222222</v>
      </c>
      <c r="I2300" s="1" t="str">
        <f t="shared" si="321"/>
        <v>No</v>
      </c>
      <c r="J2300" s="1" t="str">
        <f t="shared" si="322"/>
        <v>Si</v>
      </c>
      <c r="K2300" s="1" t="str">
        <f t="shared" si="323"/>
        <v/>
      </c>
    </row>
    <row r="2301" spans="1:11" x14ac:dyDescent="0.3">
      <c r="A2301" s="1">
        <v>44</v>
      </c>
      <c r="B2301" s="1">
        <v>39</v>
      </c>
      <c r="C2301" s="12">
        <f t="shared" si="315"/>
        <v>1.4249999999999998</v>
      </c>
      <c r="D2301" s="12">
        <f t="shared" si="316"/>
        <v>1.0499999999999998</v>
      </c>
      <c r="E2301" s="12">
        <f t="shared" si="317"/>
        <v>11.051494883555554</v>
      </c>
      <c r="F2301" s="12">
        <f t="shared" si="318"/>
        <v>11.051494883555554</v>
      </c>
      <c r="G2301" s="12">
        <f t="shared" si="319"/>
        <v>14.476165546666666</v>
      </c>
      <c r="H2301" s="12">
        <f t="shared" si="320"/>
        <v>14.476165546666666</v>
      </c>
      <c r="I2301" s="1" t="str">
        <f t="shared" si="321"/>
        <v>No</v>
      </c>
      <c r="J2301" s="1" t="str">
        <f t="shared" si="322"/>
        <v>Si</v>
      </c>
      <c r="K2301" s="1" t="str">
        <f t="shared" si="323"/>
        <v/>
      </c>
    </row>
    <row r="2302" spans="1:11" x14ac:dyDescent="0.3">
      <c r="A2302" s="1">
        <v>44</v>
      </c>
      <c r="B2302" s="1">
        <v>40</v>
      </c>
      <c r="C2302" s="12">
        <f t="shared" si="315"/>
        <v>1.4249999999999998</v>
      </c>
      <c r="D2302" s="12">
        <f t="shared" si="316"/>
        <v>1.125</v>
      </c>
      <c r="E2302" s="12">
        <f t="shared" si="317"/>
        <v>11.049006791111109</v>
      </c>
      <c r="F2302" s="12">
        <f t="shared" si="318"/>
        <v>11.049006791111109</v>
      </c>
      <c r="G2302" s="12">
        <f t="shared" si="319"/>
        <v>14.47266119111111</v>
      </c>
      <c r="H2302" s="12">
        <f t="shared" si="320"/>
        <v>14.47266119111111</v>
      </c>
      <c r="I2302" s="1" t="str">
        <f t="shared" si="321"/>
        <v>No</v>
      </c>
      <c r="J2302" s="1" t="str">
        <f t="shared" si="322"/>
        <v>Si</v>
      </c>
      <c r="K2302" s="1" t="str">
        <f t="shared" si="323"/>
        <v/>
      </c>
    </row>
    <row r="2303" spans="1:11" x14ac:dyDescent="0.3">
      <c r="A2303" s="1">
        <v>44</v>
      </c>
      <c r="B2303" s="1">
        <v>41</v>
      </c>
      <c r="C2303" s="12">
        <f t="shared" si="315"/>
        <v>1.4249999999999998</v>
      </c>
      <c r="D2303" s="12">
        <f t="shared" si="316"/>
        <v>1.2000000000000002</v>
      </c>
      <c r="E2303" s="12">
        <f t="shared" si="317"/>
        <v>11.046518698666665</v>
      </c>
      <c r="F2303" s="12">
        <f t="shared" si="318"/>
        <v>11.046518698666665</v>
      </c>
      <c r="G2303" s="12">
        <f t="shared" si="319"/>
        <v>14.469156835555555</v>
      </c>
      <c r="H2303" s="12">
        <f t="shared" si="320"/>
        <v>14.469156835555555</v>
      </c>
      <c r="I2303" s="1" t="str">
        <f t="shared" si="321"/>
        <v>No</v>
      </c>
      <c r="J2303" s="1" t="str">
        <f t="shared" si="322"/>
        <v>Si</v>
      </c>
      <c r="K2303" s="1" t="str">
        <f t="shared" si="323"/>
        <v/>
      </c>
    </row>
    <row r="2304" spans="1:11" x14ac:dyDescent="0.3">
      <c r="A2304" s="1">
        <v>44</v>
      </c>
      <c r="B2304" s="1">
        <v>42</v>
      </c>
      <c r="C2304" s="12">
        <f t="shared" si="315"/>
        <v>1.4249999999999998</v>
      </c>
      <c r="D2304" s="12">
        <f t="shared" si="316"/>
        <v>1.2749999999999999</v>
      </c>
      <c r="E2304" s="12">
        <f t="shared" si="317"/>
        <v>11.04403060622222</v>
      </c>
      <c r="F2304" s="12">
        <f t="shared" si="318"/>
        <v>11.04403060622222</v>
      </c>
      <c r="G2304" s="12">
        <f t="shared" si="319"/>
        <v>14.465652479999999</v>
      </c>
      <c r="H2304" s="12">
        <f t="shared" si="320"/>
        <v>14.465652479999999</v>
      </c>
      <c r="I2304" s="1" t="str">
        <f t="shared" si="321"/>
        <v>No</v>
      </c>
      <c r="J2304" s="1" t="str">
        <f t="shared" si="322"/>
        <v>Si</v>
      </c>
      <c r="K2304" s="1" t="str">
        <f t="shared" si="323"/>
        <v/>
      </c>
    </row>
    <row r="2305" spans="1:11" x14ac:dyDescent="0.3">
      <c r="A2305" s="1">
        <v>44</v>
      </c>
      <c r="B2305" s="1">
        <v>43</v>
      </c>
      <c r="C2305" s="12">
        <f t="shared" si="315"/>
        <v>1.4249999999999998</v>
      </c>
      <c r="D2305" s="12">
        <f t="shared" si="316"/>
        <v>1.35</v>
      </c>
      <c r="E2305" s="12">
        <f t="shared" si="317"/>
        <v>11.041542513777776</v>
      </c>
      <c r="F2305" s="12">
        <f t="shared" si="318"/>
        <v>11.041542513777776</v>
      </c>
      <c r="G2305" s="12">
        <f t="shared" si="319"/>
        <v>14.462148124444443</v>
      </c>
      <c r="H2305" s="12">
        <f t="shared" si="320"/>
        <v>14.462148124444443</v>
      </c>
      <c r="I2305" s="1" t="str">
        <f t="shared" si="321"/>
        <v>No</v>
      </c>
      <c r="J2305" s="1" t="str">
        <f t="shared" si="322"/>
        <v>Si</v>
      </c>
      <c r="K2305" s="1" t="str">
        <f t="shared" si="323"/>
        <v/>
      </c>
    </row>
    <row r="2306" spans="1:11" x14ac:dyDescent="0.3">
      <c r="A2306" s="1">
        <v>44</v>
      </c>
      <c r="B2306" s="1">
        <v>44</v>
      </c>
      <c r="C2306" s="12">
        <f t="shared" si="315"/>
        <v>1.4249999999999998</v>
      </c>
      <c r="D2306" s="12">
        <f t="shared" si="316"/>
        <v>1.4249999999999998</v>
      </c>
      <c r="E2306" s="12">
        <f t="shared" si="317"/>
        <v>11.039054421333333</v>
      </c>
      <c r="F2306" s="12">
        <f t="shared" si="318"/>
        <v>11.039054421333333</v>
      </c>
      <c r="G2306" s="12">
        <f t="shared" si="319"/>
        <v>14.458643768888887</v>
      </c>
      <c r="H2306" s="12">
        <f t="shared" si="320"/>
        <v>14.458643768888887</v>
      </c>
      <c r="I2306" s="1" t="str">
        <f t="shared" si="321"/>
        <v>No</v>
      </c>
      <c r="J2306" s="1" t="str">
        <f t="shared" si="322"/>
        <v>Si</v>
      </c>
      <c r="K2306" s="1" t="str">
        <f t="shared" si="323"/>
        <v/>
      </c>
    </row>
    <row r="2307" spans="1:11" x14ac:dyDescent="0.3">
      <c r="A2307" s="1">
        <v>44</v>
      </c>
      <c r="B2307" s="1">
        <v>45</v>
      </c>
      <c r="C2307" s="12">
        <f t="shared" si="315"/>
        <v>1.4249999999999998</v>
      </c>
      <c r="D2307" s="12">
        <f t="shared" si="316"/>
        <v>1.5</v>
      </c>
      <c r="E2307" s="12">
        <f t="shared" si="317"/>
        <v>11.036566328888888</v>
      </c>
      <c r="F2307" s="12">
        <f t="shared" si="318"/>
        <v>11.036566328888888</v>
      </c>
      <c r="G2307" s="12">
        <f t="shared" si="319"/>
        <v>14.455139413333333</v>
      </c>
      <c r="H2307" s="12">
        <f t="shared" si="320"/>
        <v>14.455139413333333</v>
      </c>
      <c r="I2307" s="1" t="str">
        <f t="shared" si="321"/>
        <v>No</v>
      </c>
      <c r="J2307" s="1" t="str">
        <f t="shared" si="322"/>
        <v>Si</v>
      </c>
      <c r="K2307" s="1" t="str">
        <f t="shared" si="323"/>
        <v/>
      </c>
    </row>
    <row r="2308" spans="1:11" x14ac:dyDescent="0.3">
      <c r="A2308" s="1">
        <v>44</v>
      </c>
      <c r="B2308" s="1">
        <v>46</v>
      </c>
      <c r="C2308" s="12">
        <f t="shared" si="315"/>
        <v>1.4249999999999998</v>
      </c>
      <c r="D2308" s="12">
        <f t="shared" si="316"/>
        <v>1.5750000000000002</v>
      </c>
      <c r="E2308" s="12">
        <f t="shared" si="317"/>
        <v>11.034078236444444</v>
      </c>
      <c r="F2308" s="12">
        <f t="shared" si="318"/>
        <v>11.034078236444444</v>
      </c>
      <c r="G2308" s="12">
        <f t="shared" si="319"/>
        <v>14.451635057777777</v>
      </c>
      <c r="H2308" s="12">
        <f t="shared" si="320"/>
        <v>14.451635057777777</v>
      </c>
      <c r="I2308" s="1" t="str">
        <f t="shared" si="321"/>
        <v>No</v>
      </c>
      <c r="J2308" s="1" t="str">
        <f t="shared" si="322"/>
        <v>Si</v>
      </c>
      <c r="K2308" s="1" t="str">
        <f t="shared" si="323"/>
        <v/>
      </c>
    </row>
    <row r="2309" spans="1:11" x14ac:dyDescent="0.3">
      <c r="A2309" s="1">
        <v>44</v>
      </c>
      <c r="B2309" s="1">
        <v>47</v>
      </c>
      <c r="C2309" s="12">
        <f t="shared" si="315"/>
        <v>1.4249999999999998</v>
      </c>
      <c r="D2309" s="12">
        <f t="shared" si="316"/>
        <v>1.65</v>
      </c>
      <c r="E2309" s="12">
        <f t="shared" si="317"/>
        <v>11.031590143999999</v>
      </c>
      <c r="F2309" s="12">
        <f t="shared" si="318"/>
        <v>11.031590143999999</v>
      </c>
      <c r="G2309" s="12">
        <f t="shared" si="319"/>
        <v>14.448130702222221</v>
      </c>
      <c r="H2309" s="12">
        <f t="shared" si="320"/>
        <v>14.448130702222221</v>
      </c>
      <c r="I2309" s="1" t="str">
        <f t="shared" si="321"/>
        <v>No</v>
      </c>
      <c r="J2309" s="1" t="str">
        <f t="shared" si="322"/>
        <v>Si</v>
      </c>
      <c r="K2309" s="1" t="str">
        <f t="shared" si="323"/>
        <v/>
      </c>
    </row>
    <row r="2310" spans="1:11" x14ac:dyDescent="0.3">
      <c r="A2310" s="1">
        <v>44</v>
      </c>
      <c r="B2310" s="1">
        <v>48</v>
      </c>
      <c r="C2310" s="12">
        <f t="shared" si="315"/>
        <v>1.4249999999999998</v>
      </c>
      <c r="D2310" s="12">
        <f t="shared" si="316"/>
        <v>1.7250000000000001</v>
      </c>
      <c r="E2310" s="12">
        <f t="shared" si="317"/>
        <v>11.029102051555554</v>
      </c>
      <c r="F2310" s="12">
        <f t="shared" si="318"/>
        <v>11.029102051555554</v>
      </c>
      <c r="G2310" s="12">
        <f t="shared" si="319"/>
        <v>14.444626346666666</v>
      </c>
      <c r="H2310" s="12">
        <f t="shared" si="320"/>
        <v>14.444626346666666</v>
      </c>
      <c r="I2310" s="1" t="str">
        <f t="shared" si="321"/>
        <v>No</v>
      </c>
      <c r="J2310" s="1" t="str">
        <f t="shared" si="322"/>
        <v>Si</v>
      </c>
      <c r="K2310" s="1" t="str">
        <f t="shared" si="323"/>
        <v/>
      </c>
    </row>
    <row r="2311" spans="1:11" x14ac:dyDescent="0.3">
      <c r="A2311" s="1">
        <v>44</v>
      </c>
      <c r="B2311" s="1">
        <v>49</v>
      </c>
      <c r="C2311" s="12">
        <f t="shared" si="315"/>
        <v>1.4249999999999998</v>
      </c>
      <c r="D2311" s="12">
        <f t="shared" si="316"/>
        <v>1.7999999999999998</v>
      </c>
      <c r="E2311" s="12">
        <f t="shared" si="317"/>
        <v>11.02661395911111</v>
      </c>
      <c r="F2311" s="12">
        <f t="shared" si="318"/>
        <v>11.02661395911111</v>
      </c>
      <c r="G2311" s="12">
        <f t="shared" si="319"/>
        <v>14.44112199111111</v>
      </c>
      <c r="H2311" s="12">
        <f t="shared" si="320"/>
        <v>14.44112199111111</v>
      </c>
      <c r="I2311" s="1" t="str">
        <f t="shared" si="321"/>
        <v>No</v>
      </c>
      <c r="J2311" s="1" t="str">
        <f t="shared" si="322"/>
        <v>Si</v>
      </c>
      <c r="K2311" s="1" t="str">
        <f t="shared" si="323"/>
        <v/>
      </c>
    </row>
    <row r="2312" spans="1:11" x14ac:dyDescent="0.3">
      <c r="A2312" s="1">
        <v>44</v>
      </c>
      <c r="B2312" s="1">
        <v>50</v>
      </c>
      <c r="C2312" s="12">
        <f t="shared" si="315"/>
        <v>1.4249999999999998</v>
      </c>
      <c r="D2312" s="12">
        <f t="shared" si="316"/>
        <v>1.875</v>
      </c>
      <c r="E2312" s="12">
        <f t="shared" si="317"/>
        <v>11.024125866666665</v>
      </c>
      <c r="F2312" s="12">
        <f t="shared" si="318"/>
        <v>11.024125866666665</v>
      </c>
      <c r="G2312" s="12">
        <f t="shared" si="319"/>
        <v>14.437617635555554</v>
      </c>
      <c r="H2312" s="12">
        <f t="shared" si="320"/>
        <v>14.437617635555554</v>
      </c>
      <c r="I2312" s="1" t="str">
        <f t="shared" si="321"/>
        <v>No</v>
      </c>
      <c r="J2312" s="1" t="str">
        <f t="shared" si="322"/>
        <v>Si</v>
      </c>
      <c r="K2312" s="1" t="str">
        <f t="shared" si="323"/>
        <v/>
      </c>
    </row>
    <row r="2313" spans="1:11" x14ac:dyDescent="0.3">
      <c r="A2313" s="1">
        <v>45</v>
      </c>
      <c r="B2313" s="1">
        <v>0</v>
      </c>
      <c r="C2313" s="12">
        <f t="shared" si="315"/>
        <v>1.5</v>
      </c>
      <c r="D2313" s="12">
        <f t="shared" si="316"/>
        <v>-1.875</v>
      </c>
      <c r="E2313" s="12">
        <f t="shared" si="317"/>
        <v>11.149224533333332</v>
      </c>
      <c r="F2313" s="12">
        <f t="shared" si="318"/>
        <v>11.149224533333332</v>
      </c>
      <c r="G2313" s="12">
        <f t="shared" si="319"/>
        <v>14.613873066666665</v>
      </c>
      <c r="H2313" s="12">
        <f t="shared" si="320"/>
        <v>14.613873066666665</v>
      </c>
      <c r="I2313" s="1" t="str">
        <f t="shared" si="321"/>
        <v>No</v>
      </c>
      <c r="J2313" s="1" t="str">
        <f t="shared" si="322"/>
        <v>Si</v>
      </c>
      <c r="K2313" s="1" t="str">
        <f t="shared" si="323"/>
        <v/>
      </c>
    </row>
    <row r="2314" spans="1:11" x14ac:dyDescent="0.3">
      <c r="A2314" s="1">
        <v>45</v>
      </c>
      <c r="B2314" s="1">
        <v>1</v>
      </c>
      <c r="C2314" s="12">
        <f t="shared" si="315"/>
        <v>1.5</v>
      </c>
      <c r="D2314" s="12">
        <f t="shared" si="316"/>
        <v>-1.8</v>
      </c>
      <c r="E2314" s="12">
        <f t="shared" si="317"/>
        <v>11.146736440888887</v>
      </c>
      <c r="F2314" s="12">
        <f t="shared" si="318"/>
        <v>11.146736440888887</v>
      </c>
      <c r="G2314" s="12">
        <f t="shared" si="319"/>
        <v>14.610368711111109</v>
      </c>
      <c r="H2314" s="12">
        <f t="shared" si="320"/>
        <v>14.610368711111109</v>
      </c>
      <c r="I2314" s="1" t="str">
        <f t="shared" si="321"/>
        <v>No</v>
      </c>
      <c r="J2314" s="1" t="str">
        <f t="shared" si="322"/>
        <v>Si</v>
      </c>
      <c r="K2314" s="1" t="str">
        <f t="shared" si="323"/>
        <v/>
      </c>
    </row>
    <row r="2315" spans="1:11" x14ac:dyDescent="0.3">
      <c r="A2315" s="1">
        <v>45</v>
      </c>
      <c r="B2315" s="1">
        <v>2</v>
      </c>
      <c r="C2315" s="12">
        <f t="shared" si="315"/>
        <v>1.5</v>
      </c>
      <c r="D2315" s="12">
        <f t="shared" si="316"/>
        <v>-1.7250000000000001</v>
      </c>
      <c r="E2315" s="12">
        <f t="shared" si="317"/>
        <v>11.144248348444442</v>
      </c>
      <c r="F2315" s="12">
        <f t="shared" si="318"/>
        <v>11.144248348444442</v>
      </c>
      <c r="G2315" s="12">
        <f t="shared" si="319"/>
        <v>14.606864355555553</v>
      </c>
      <c r="H2315" s="12">
        <f t="shared" si="320"/>
        <v>14.606864355555553</v>
      </c>
      <c r="I2315" s="1" t="str">
        <f t="shared" si="321"/>
        <v>No</v>
      </c>
      <c r="J2315" s="1" t="str">
        <f t="shared" si="322"/>
        <v>Si</v>
      </c>
      <c r="K2315" s="1" t="str">
        <f t="shared" si="323"/>
        <v/>
      </c>
    </row>
    <row r="2316" spans="1:11" x14ac:dyDescent="0.3">
      <c r="A2316" s="1">
        <v>45</v>
      </c>
      <c r="B2316" s="1">
        <v>3</v>
      </c>
      <c r="C2316" s="12">
        <f t="shared" si="315"/>
        <v>1.5</v>
      </c>
      <c r="D2316" s="12">
        <f t="shared" si="316"/>
        <v>-1.65</v>
      </c>
      <c r="E2316" s="12">
        <f t="shared" si="317"/>
        <v>11.141760255999998</v>
      </c>
      <c r="F2316" s="12">
        <f t="shared" si="318"/>
        <v>11.141760255999998</v>
      </c>
      <c r="G2316" s="12">
        <f t="shared" si="319"/>
        <v>14.603359999999999</v>
      </c>
      <c r="H2316" s="12">
        <f t="shared" si="320"/>
        <v>14.603359999999999</v>
      </c>
      <c r="I2316" s="1" t="str">
        <f t="shared" si="321"/>
        <v>No</v>
      </c>
      <c r="J2316" s="1" t="str">
        <f t="shared" si="322"/>
        <v>Si</v>
      </c>
      <c r="K2316" s="1" t="str">
        <f t="shared" si="323"/>
        <v/>
      </c>
    </row>
    <row r="2317" spans="1:11" x14ac:dyDescent="0.3">
      <c r="A2317" s="1">
        <v>45</v>
      </c>
      <c r="B2317" s="1">
        <v>4</v>
      </c>
      <c r="C2317" s="12">
        <f t="shared" si="315"/>
        <v>1.5</v>
      </c>
      <c r="D2317" s="12">
        <f t="shared" si="316"/>
        <v>-1.575</v>
      </c>
      <c r="E2317" s="12">
        <f t="shared" si="317"/>
        <v>11.139272163555553</v>
      </c>
      <c r="F2317" s="12">
        <f t="shared" si="318"/>
        <v>11.139272163555553</v>
      </c>
      <c r="G2317" s="12">
        <f t="shared" si="319"/>
        <v>14.599855644444443</v>
      </c>
      <c r="H2317" s="12">
        <f t="shared" si="320"/>
        <v>14.599855644444443</v>
      </c>
      <c r="I2317" s="1" t="str">
        <f t="shared" si="321"/>
        <v>No</v>
      </c>
      <c r="J2317" s="1" t="str">
        <f t="shared" si="322"/>
        <v>Si</v>
      </c>
      <c r="K2317" s="1" t="str">
        <f t="shared" si="323"/>
        <v/>
      </c>
    </row>
    <row r="2318" spans="1:11" x14ac:dyDescent="0.3">
      <c r="A2318" s="1">
        <v>45</v>
      </c>
      <c r="B2318" s="1">
        <v>5</v>
      </c>
      <c r="C2318" s="12">
        <f t="shared" si="315"/>
        <v>1.5</v>
      </c>
      <c r="D2318" s="12">
        <f t="shared" si="316"/>
        <v>-1.5</v>
      </c>
      <c r="E2318" s="12">
        <f t="shared" si="317"/>
        <v>11.136784071111109</v>
      </c>
      <c r="F2318" s="12">
        <f t="shared" si="318"/>
        <v>11.136784071111109</v>
      </c>
      <c r="G2318" s="12">
        <f t="shared" si="319"/>
        <v>14.596351288888886</v>
      </c>
      <c r="H2318" s="12">
        <f t="shared" si="320"/>
        <v>14.596351288888886</v>
      </c>
      <c r="I2318" s="1" t="str">
        <f t="shared" si="321"/>
        <v>No</v>
      </c>
      <c r="J2318" s="1" t="str">
        <f t="shared" si="322"/>
        <v>Si</v>
      </c>
      <c r="K2318" s="1" t="str">
        <f t="shared" si="323"/>
        <v/>
      </c>
    </row>
    <row r="2319" spans="1:11" x14ac:dyDescent="0.3">
      <c r="A2319" s="1">
        <v>45</v>
      </c>
      <c r="B2319" s="1">
        <v>6</v>
      </c>
      <c r="C2319" s="12">
        <f t="shared" si="315"/>
        <v>1.5</v>
      </c>
      <c r="D2319" s="12">
        <f t="shared" si="316"/>
        <v>-1.425</v>
      </c>
      <c r="E2319" s="12">
        <f t="shared" si="317"/>
        <v>11.134295978666664</v>
      </c>
      <c r="F2319" s="12">
        <f t="shared" si="318"/>
        <v>11.134295978666664</v>
      </c>
      <c r="G2319" s="12">
        <f t="shared" si="319"/>
        <v>14.592846933333332</v>
      </c>
      <c r="H2319" s="12">
        <f t="shared" si="320"/>
        <v>14.592846933333332</v>
      </c>
      <c r="I2319" s="1" t="str">
        <f t="shared" si="321"/>
        <v>No</v>
      </c>
      <c r="J2319" s="1" t="str">
        <f t="shared" si="322"/>
        <v>Si</v>
      </c>
      <c r="K2319" s="1" t="str">
        <f t="shared" si="323"/>
        <v/>
      </c>
    </row>
    <row r="2320" spans="1:11" x14ac:dyDescent="0.3">
      <c r="A2320" s="1">
        <v>45</v>
      </c>
      <c r="B2320" s="1">
        <v>7</v>
      </c>
      <c r="C2320" s="12">
        <f t="shared" si="315"/>
        <v>1.5</v>
      </c>
      <c r="D2320" s="12">
        <f t="shared" si="316"/>
        <v>-1.35</v>
      </c>
      <c r="E2320" s="12">
        <f t="shared" si="317"/>
        <v>11.131807886222221</v>
      </c>
      <c r="F2320" s="12">
        <f t="shared" si="318"/>
        <v>11.131807886222221</v>
      </c>
      <c r="G2320" s="12">
        <f t="shared" si="319"/>
        <v>14.589342577777776</v>
      </c>
      <c r="H2320" s="12">
        <f t="shared" si="320"/>
        <v>14.589342577777776</v>
      </c>
      <c r="I2320" s="1" t="str">
        <f t="shared" si="321"/>
        <v>No</v>
      </c>
      <c r="J2320" s="1" t="str">
        <f t="shared" si="322"/>
        <v>Si</v>
      </c>
      <c r="K2320" s="1" t="str">
        <f t="shared" si="323"/>
        <v/>
      </c>
    </row>
    <row r="2321" spans="1:11" x14ac:dyDescent="0.3">
      <c r="A2321" s="1">
        <v>45</v>
      </c>
      <c r="B2321" s="1">
        <v>8</v>
      </c>
      <c r="C2321" s="12">
        <f t="shared" si="315"/>
        <v>1.5</v>
      </c>
      <c r="D2321" s="12">
        <f t="shared" si="316"/>
        <v>-1.2749999999999999</v>
      </c>
      <c r="E2321" s="12">
        <f t="shared" si="317"/>
        <v>11.129319793777777</v>
      </c>
      <c r="F2321" s="12">
        <f t="shared" si="318"/>
        <v>11.129319793777777</v>
      </c>
      <c r="G2321" s="12">
        <f t="shared" si="319"/>
        <v>14.58583822222222</v>
      </c>
      <c r="H2321" s="12">
        <f t="shared" si="320"/>
        <v>14.58583822222222</v>
      </c>
      <c r="I2321" s="1" t="str">
        <f t="shared" si="321"/>
        <v>No</v>
      </c>
      <c r="J2321" s="1" t="str">
        <f t="shared" si="322"/>
        <v>Si</v>
      </c>
      <c r="K2321" s="1" t="str">
        <f t="shared" si="323"/>
        <v/>
      </c>
    </row>
    <row r="2322" spans="1:11" x14ac:dyDescent="0.3">
      <c r="A2322" s="1">
        <v>45</v>
      </c>
      <c r="B2322" s="1">
        <v>9</v>
      </c>
      <c r="C2322" s="12">
        <f t="shared" ref="C2322:C2385" si="324">IF(OR(A2322&gt;inp_n_div_x,B2322&gt;inp_n_div_y),"",-inp_bx/2+A2322*inp_bx/inp_n_div_x)</f>
        <v>1.5</v>
      </c>
      <c r="D2322" s="12">
        <f t="shared" ref="D2322:D2385" si="325">IF(C2322="","",-inp_by/2+B2322*inp_by/inp_n_div_y)</f>
        <v>-1.2</v>
      </c>
      <c r="E2322" s="12">
        <f t="shared" ref="E2322:E2385" si="326">IF(C2322="","",res_srv_p_tot/geo_area+res_srv_mx_tot/geo_ix*D2322+res_srv_my_tot/geo_iy*C2322)</f>
        <v>11.126831701333332</v>
      </c>
      <c r="F2322" s="12">
        <f t="shared" ref="F2322:F2385" si="327">IF(E2322="","",MAX(0,E2322))</f>
        <v>11.126831701333332</v>
      </c>
      <c r="G2322" s="12">
        <f t="shared" ref="G2322:G2385" si="328">IF(C2322="","",res_u_p_tot/geo_area+res_u_mx_tot/geo_ix*D2322+res_u_my_tot/geo_iy*C2322)</f>
        <v>14.582333866666664</v>
      </c>
      <c r="H2322" s="12">
        <f t="shared" ref="H2322:H2385" si="329">IF(G2322="","",MAX(0,G2322))</f>
        <v>14.582333866666664</v>
      </c>
      <c r="I2322" s="1" t="str">
        <f t="shared" ref="I2322:I2385" si="330">IF(C2322="","",IF(AND(C2322&gt;=inp_xc-inp_cx/2,C2322&lt;=inp_xc+inp_cx/2,D2322&gt;=inp_yc-inp_cy/2,D2322&lt;=inp_yc+inp_cy/2),"Si","No"))</f>
        <v>No</v>
      </c>
      <c r="J2322" s="1" t="str">
        <f t="shared" ref="J2322:J2385" si="331">IF(C2322="","","Si")</f>
        <v>Si</v>
      </c>
      <c r="K2322" s="1" t="str">
        <f t="shared" ref="K2322:K2385" si="332">IF(OR(E2322&lt;0,G2322&lt;0),"Presion negativa","")</f>
        <v/>
      </c>
    </row>
    <row r="2323" spans="1:11" x14ac:dyDescent="0.3">
      <c r="A2323" s="1">
        <v>45</v>
      </c>
      <c r="B2323" s="1">
        <v>10</v>
      </c>
      <c r="C2323" s="12">
        <f t="shared" si="324"/>
        <v>1.5</v>
      </c>
      <c r="D2323" s="12">
        <f t="shared" si="325"/>
        <v>-1.125</v>
      </c>
      <c r="E2323" s="12">
        <f t="shared" si="326"/>
        <v>11.124343608888887</v>
      </c>
      <c r="F2323" s="12">
        <f t="shared" si="327"/>
        <v>11.124343608888887</v>
      </c>
      <c r="G2323" s="12">
        <f t="shared" si="328"/>
        <v>14.57882951111111</v>
      </c>
      <c r="H2323" s="12">
        <f t="shared" si="329"/>
        <v>14.57882951111111</v>
      </c>
      <c r="I2323" s="1" t="str">
        <f t="shared" si="330"/>
        <v>No</v>
      </c>
      <c r="J2323" s="1" t="str">
        <f t="shared" si="331"/>
        <v>Si</v>
      </c>
      <c r="K2323" s="1" t="str">
        <f t="shared" si="332"/>
        <v/>
      </c>
    </row>
    <row r="2324" spans="1:11" x14ac:dyDescent="0.3">
      <c r="A2324" s="1">
        <v>45</v>
      </c>
      <c r="B2324" s="1">
        <v>11</v>
      </c>
      <c r="C2324" s="12">
        <f t="shared" si="324"/>
        <v>1.5</v>
      </c>
      <c r="D2324" s="12">
        <f t="shared" si="325"/>
        <v>-1.05</v>
      </c>
      <c r="E2324" s="12">
        <f t="shared" si="326"/>
        <v>11.121855516444443</v>
      </c>
      <c r="F2324" s="12">
        <f t="shared" si="327"/>
        <v>11.121855516444443</v>
      </c>
      <c r="G2324" s="12">
        <f t="shared" si="328"/>
        <v>14.575325155555554</v>
      </c>
      <c r="H2324" s="12">
        <f t="shared" si="329"/>
        <v>14.575325155555554</v>
      </c>
      <c r="I2324" s="1" t="str">
        <f t="shared" si="330"/>
        <v>No</v>
      </c>
      <c r="J2324" s="1" t="str">
        <f t="shared" si="331"/>
        <v>Si</v>
      </c>
      <c r="K2324" s="1" t="str">
        <f t="shared" si="332"/>
        <v/>
      </c>
    </row>
    <row r="2325" spans="1:11" x14ac:dyDescent="0.3">
      <c r="A2325" s="1">
        <v>45</v>
      </c>
      <c r="B2325" s="1">
        <v>12</v>
      </c>
      <c r="C2325" s="12">
        <f t="shared" si="324"/>
        <v>1.5</v>
      </c>
      <c r="D2325" s="12">
        <f t="shared" si="325"/>
        <v>-0.97499999999999998</v>
      </c>
      <c r="E2325" s="12">
        <f t="shared" si="326"/>
        <v>11.119367423999998</v>
      </c>
      <c r="F2325" s="12">
        <f t="shared" si="327"/>
        <v>11.119367423999998</v>
      </c>
      <c r="G2325" s="12">
        <f t="shared" si="328"/>
        <v>14.571820799999998</v>
      </c>
      <c r="H2325" s="12">
        <f t="shared" si="329"/>
        <v>14.571820799999998</v>
      </c>
      <c r="I2325" s="1" t="str">
        <f t="shared" si="330"/>
        <v>No</v>
      </c>
      <c r="J2325" s="1" t="str">
        <f t="shared" si="331"/>
        <v>Si</v>
      </c>
      <c r="K2325" s="1" t="str">
        <f t="shared" si="332"/>
        <v/>
      </c>
    </row>
    <row r="2326" spans="1:11" x14ac:dyDescent="0.3">
      <c r="A2326" s="1">
        <v>45</v>
      </c>
      <c r="B2326" s="1">
        <v>13</v>
      </c>
      <c r="C2326" s="12">
        <f t="shared" si="324"/>
        <v>1.5</v>
      </c>
      <c r="D2326" s="12">
        <f t="shared" si="325"/>
        <v>-0.9</v>
      </c>
      <c r="E2326" s="12">
        <f t="shared" si="326"/>
        <v>11.116879331555554</v>
      </c>
      <c r="F2326" s="12">
        <f t="shared" si="327"/>
        <v>11.116879331555554</v>
      </c>
      <c r="G2326" s="12">
        <f t="shared" si="328"/>
        <v>14.568316444444443</v>
      </c>
      <c r="H2326" s="12">
        <f t="shared" si="329"/>
        <v>14.568316444444443</v>
      </c>
      <c r="I2326" s="1" t="str">
        <f t="shared" si="330"/>
        <v>No</v>
      </c>
      <c r="J2326" s="1" t="str">
        <f t="shared" si="331"/>
        <v>Si</v>
      </c>
      <c r="K2326" s="1" t="str">
        <f t="shared" si="332"/>
        <v/>
      </c>
    </row>
    <row r="2327" spans="1:11" x14ac:dyDescent="0.3">
      <c r="A2327" s="1">
        <v>45</v>
      </c>
      <c r="B2327" s="1">
        <v>14</v>
      </c>
      <c r="C2327" s="12">
        <f t="shared" si="324"/>
        <v>1.5</v>
      </c>
      <c r="D2327" s="12">
        <f t="shared" si="325"/>
        <v>-0.82499999999999996</v>
      </c>
      <c r="E2327" s="12">
        <f t="shared" si="326"/>
        <v>11.114391239111109</v>
      </c>
      <c r="F2327" s="12">
        <f t="shared" si="327"/>
        <v>11.114391239111109</v>
      </c>
      <c r="G2327" s="12">
        <f t="shared" si="328"/>
        <v>14.564812088888887</v>
      </c>
      <c r="H2327" s="12">
        <f t="shared" si="329"/>
        <v>14.564812088888887</v>
      </c>
      <c r="I2327" s="1" t="str">
        <f t="shared" si="330"/>
        <v>No</v>
      </c>
      <c r="J2327" s="1" t="str">
        <f t="shared" si="331"/>
        <v>Si</v>
      </c>
      <c r="K2327" s="1" t="str">
        <f t="shared" si="332"/>
        <v/>
      </c>
    </row>
    <row r="2328" spans="1:11" x14ac:dyDescent="0.3">
      <c r="A2328" s="1">
        <v>45</v>
      </c>
      <c r="B2328" s="1">
        <v>15</v>
      </c>
      <c r="C2328" s="12">
        <f t="shared" si="324"/>
        <v>1.5</v>
      </c>
      <c r="D2328" s="12">
        <f t="shared" si="325"/>
        <v>-0.75</v>
      </c>
      <c r="E2328" s="12">
        <f t="shared" si="326"/>
        <v>11.111903146666664</v>
      </c>
      <c r="F2328" s="12">
        <f t="shared" si="327"/>
        <v>11.111903146666664</v>
      </c>
      <c r="G2328" s="12">
        <f t="shared" si="328"/>
        <v>14.561307733333331</v>
      </c>
      <c r="H2328" s="12">
        <f t="shared" si="329"/>
        <v>14.561307733333331</v>
      </c>
      <c r="I2328" s="1" t="str">
        <f t="shared" si="330"/>
        <v>No</v>
      </c>
      <c r="J2328" s="1" t="str">
        <f t="shared" si="331"/>
        <v>Si</v>
      </c>
      <c r="K2328" s="1" t="str">
        <f t="shared" si="332"/>
        <v/>
      </c>
    </row>
    <row r="2329" spans="1:11" x14ac:dyDescent="0.3">
      <c r="A2329" s="1">
        <v>45</v>
      </c>
      <c r="B2329" s="1">
        <v>16</v>
      </c>
      <c r="C2329" s="12">
        <f t="shared" si="324"/>
        <v>1.5</v>
      </c>
      <c r="D2329" s="12">
        <f t="shared" si="325"/>
        <v>-0.67500000000000004</v>
      </c>
      <c r="E2329" s="12">
        <f t="shared" si="326"/>
        <v>11.10941505422222</v>
      </c>
      <c r="F2329" s="12">
        <f t="shared" si="327"/>
        <v>11.10941505422222</v>
      </c>
      <c r="G2329" s="12">
        <f t="shared" si="328"/>
        <v>14.557803377777775</v>
      </c>
      <c r="H2329" s="12">
        <f t="shared" si="329"/>
        <v>14.557803377777775</v>
      </c>
      <c r="I2329" s="1" t="str">
        <f t="shared" si="330"/>
        <v>No</v>
      </c>
      <c r="J2329" s="1" t="str">
        <f t="shared" si="331"/>
        <v>Si</v>
      </c>
      <c r="K2329" s="1" t="str">
        <f t="shared" si="332"/>
        <v/>
      </c>
    </row>
    <row r="2330" spans="1:11" x14ac:dyDescent="0.3">
      <c r="A2330" s="1">
        <v>45</v>
      </c>
      <c r="B2330" s="1">
        <v>17</v>
      </c>
      <c r="C2330" s="12">
        <f t="shared" si="324"/>
        <v>1.5</v>
      </c>
      <c r="D2330" s="12">
        <f t="shared" si="325"/>
        <v>-0.60000000000000009</v>
      </c>
      <c r="E2330" s="12">
        <f t="shared" si="326"/>
        <v>11.106926961777775</v>
      </c>
      <c r="F2330" s="12">
        <f t="shared" si="327"/>
        <v>11.106926961777775</v>
      </c>
      <c r="G2330" s="12">
        <f t="shared" si="328"/>
        <v>14.554299022222221</v>
      </c>
      <c r="H2330" s="12">
        <f t="shared" si="329"/>
        <v>14.554299022222221</v>
      </c>
      <c r="I2330" s="1" t="str">
        <f t="shared" si="330"/>
        <v>No</v>
      </c>
      <c r="J2330" s="1" t="str">
        <f t="shared" si="331"/>
        <v>Si</v>
      </c>
      <c r="K2330" s="1" t="str">
        <f t="shared" si="332"/>
        <v/>
      </c>
    </row>
    <row r="2331" spans="1:11" x14ac:dyDescent="0.3">
      <c r="A2331" s="1">
        <v>45</v>
      </c>
      <c r="B2331" s="1">
        <v>18</v>
      </c>
      <c r="C2331" s="12">
        <f t="shared" si="324"/>
        <v>1.5</v>
      </c>
      <c r="D2331" s="12">
        <f t="shared" si="325"/>
        <v>-0.52499999999999991</v>
      </c>
      <c r="E2331" s="12">
        <f t="shared" si="326"/>
        <v>11.104438869333331</v>
      </c>
      <c r="F2331" s="12">
        <f t="shared" si="327"/>
        <v>11.104438869333331</v>
      </c>
      <c r="G2331" s="12">
        <f t="shared" si="328"/>
        <v>14.550794666666665</v>
      </c>
      <c r="H2331" s="12">
        <f t="shared" si="329"/>
        <v>14.550794666666665</v>
      </c>
      <c r="I2331" s="1" t="str">
        <f t="shared" si="330"/>
        <v>No</v>
      </c>
      <c r="J2331" s="1" t="str">
        <f t="shared" si="331"/>
        <v>Si</v>
      </c>
      <c r="K2331" s="1" t="str">
        <f t="shared" si="332"/>
        <v/>
      </c>
    </row>
    <row r="2332" spans="1:11" x14ac:dyDescent="0.3">
      <c r="A2332" s="1">
        <v>45</v>
      </c>
      <c r="B2332" s="1">
        <v>19</v>
      </c>
      <c r="C2332" s="12">
        <f t="shared" si="324"/>
        <v>1.5</v>
      </c>
      <c r="D2332" s="12">
        <f t="shared" si="325"/>
        <v>-0.44999999999999996</v>
      </c>
      <c r="E2332" s="12">
        <f t="shared" si="326"/>
        <v>11.101950776888888</v>
      </c>
      <c r="F2332" s="12">
        <f t="shared" si="327"/>
        <v>11.101950776888888</v>
      </c>
      <c r="G2332" s="12">
        <f t="shared" si="328"/>
        <v>14.547290311111109</v>
      </c>
      <c r="H2332" s="12">
        <f t="shared" si="329"/>
        <v>14.547290311111109</v>
      </c>
      <c r="I2332" s="1" t="str">
        <f t="shared" si="330"/>
        <v>No</v>
      </c>
      <c r="J2332" s="1" t="str">
        <f t="shared" si="331"/>
        <v>Si</v>
      </c>
      <c r="K2332" s="1" t="str">
        <f t="shared" si="332"/>
        <v/>
      </c>
    </row>
    <row r="2333" spans="1:11" x14ac:dyDescent="0.3">
      <c r="A2333" s="1">
        <v>45</v>
      </c>
      <c r="B2333" s="1">
        <v>20</v>
      </c>
      <c r="C2333" s="12">
        <f t="shared" si="324"/>
        <v>1.5</v>
      </c>
      <c r="D2333" s="12">
        <f t="shared" si="325"/>
        <v>-0.375</v>
      </c>
      <c r="E2333" s="12">
        <f t="shared" si="326"/>
        <v>11.099462684444443</v>
      </c>
      <c r="F2333" s="12">
        <f t="shared" si="327"/>
        <v>11.099462684444443</v>
      </c>
      <c r="G2333" s="12">
        <f t="shared" si="328"/>
        <v>14.543785955555554</v>
      </c>
      <c r="H2333" s="12">
        <f t="shared" si="329"/>
        <v>14.543785955555554</v>
      </c>
      <c r="I2333" s="1" t="str">
        <f t="shared" si="330"/>
        <v>No</v>
      </c>
      <c r="J2333" s="1" t="str">
        <f t="shared" si="331"/>
        <v>Si</v>
      </c>
      <c r="K2333" s="1" t="str">
        <f t="shared" si="332"/>
        <v/>
      </c>
    </row>
    <row r="2334" spans="1:11" x14ac:dyDescent="0.3">
      <c r="A2334" s="1">
        <v>45</v>
      </c>
      <c r="B2334" s="1">
        <v>21</v>
      </c>
      <c r="C2334" s="12">
        <f t="shared" si="324"/>
        <v>1.5</v>
      </c>
      <c r="D2334" s="12">
        <f t="shared" si="325"/>
        <v>-0.30000000000000004</v>
      </c>
      <c r="E2334" s="12">
        <f t="shared" si="326"/>
        <v>11.096974591999999</v>
      </c>
      <c r="F2334" s="12">
        <f t="shared" si="327"/>
        <v>11.096974591999999</v>
      </c>
      <c r="G2334" s="12">
        <f t="shared" si="328"/>
        <v>14.540281599999998</v>
      </c>
      <c r="H2334" s="12">
        <f t="shared" si="329"/>
        <v>14.540281599999998</v>
      </c>
      <c r="I2334" s="1" t="str">
        <f t="shared" si="330"/>
        <v>No</v>
      </c>
      <c r="J2334" s="1" t="str">
        <f t="shared" si="331"/>
        <v>Si</v>
      </c>
      <c r="K2334" s="1" t="str">
        <f t="shared" si="332"/>
        <v/>
      </c>
    </row>
    <row r="2335" spans="1:11" x14ac:dyDescent="0.3">
      <c r="A2335" s="1">
        <v>45</v>
      </c>
      <c r="B2335" s="1">
        <v>22</v>
      </c>
      <c r="C2335" s="12">
        <f t="shared" si="324"/>
        <v>1.5</v>
      </c>
      <c r="D2335" s="12">
        <f t="shared" si="325"/>
        <v>-0.22500000000000009</v>
      </c>
      <c r="E2335" s="12">
        <f t="shared" si="326"/>
        <v>11.094486499555554</v>
      </c>
      <c r="F2335" s="12">
        <f t="shared" si="327"/>
        <v>11.094486499555554</v>
      </c>
      <c r="G2335" s="12">
        <f t="shared" si="328"/>
        <v>14.536777244444442</v>
      </c>
      <c r="H2335" s="12">
        <f t="shared" si="329"/>
        <v>14.536777244444442</v>
      </c>
      <c r="I2335" s="1" t="str">
        <f t="shared" si="330"/>
        <v>No</v>
      </c>
      <c r="J2335" s="1" t="str">
        <f t="shared" si="331"/>
        <v>Si</v>
      </c>
      <c r="K2335" s="1" t="str">
        <f t="shared" si="332"/>
        <v/>
      </c>
    </row>
    <row r="2336" spans="1:11" x14ac:dyDescent="0.3">
      <c r="A2336" s="1">
        <v>45</v>
      </c>
      <c r="B2336" s="1">
        <v>23</v>
      </c>
      <c r="C2336" s="12">
        <f t="shared" si="324"/>
        <v>1.5</v>
      </c>
      <c r="D2336" s="12">
        <f t="shared" si="325"/>
        <v>-0.14999999999999991</v>
      </c>
      <c r="E2336" s="12">
        <f t="shared" si="326"/>
        <v>11.09199840711111</v>
      </c>
      <c r="F2336" s="12">
        <f t="shared" si="327"/>
        <v>11.09199840711111</v>
      </c>
      <c r="G2336" s="12">
        <f t="shared" si="328"/>
        <v>14.533272888888886</v>
      </c>
      <c r="H2336" s="12">
        <f t="shared" si="329"/>
        <v>14.533272888888886</v>
      </c>
      <c r="I2336" s="1" t="str">
        <f t="shared" si="330"/>
        <v>No</v>
      </c>
      <c r="J2336" s="1" t="str">
        <f t="shared" si="331"/>
        <v>Si</v>
      </c>
      <c r="K2336" s="1" t="str">
        <f t="shared" si="332"/>
        <v/>
      </c>
    </row>
    <row r="2337" spans="1:11" x14ac:dyDescent="0.3">
      <c r="A2337" s="1">
        <v>45</v>
      </c>
      <c r="B2337" s="1">
        <v>24</v>
      </c>
      <c r="C2337" s="12">
        <f t="shared" si="324"/>
        <v>1.5</v>
      </c>
      <c r="D2337" s="12">
        <f t="shared" si="325"/>
        <v>-7.4999999999999956E-2</v>
      </c>
      <c r="E2337" s="12">
        <f t="shared" si="326"/>
        <v>11.089510314666665</v>
      </c>
      <c r="F2337" s="12">
        <f t="shared" si="327"/>
        <v>11.089510314666665</v>
      </c>
      <c r="G2337" s="12">
        <f t="shared" si="328"/>
        <v>14.529768533333332</v>
      </c>
      <c r="H2337" s="12">
        <f t="shared" si="329"/>
        <v>14.529768533333332</v>
      </c>
      <c r="I2337" s="1" t="str">
        <f t="shared" si="330"/>
        <v>No</v>
      </c>
      <c r="J2337" s="1" t="str">
        <f t="shared" si="331"/>
        <v>Si</v>
      </c>
      <c r="K2337" s="1" t="str">
        <f t="shared" si="332"/>
        <v/>
      </c>
    </row>
    <row r="2338" spans="1:11" x14ac:dyDescent="0.3">
      <c r="A2338" s="1">
        <v>45</v>
      </c>
      <c r="B2338" s="1">
        <v>25</v>
      </c>
      <c r="C2338" s="12">
        <f t="shared" si="324"/>
        <v>1.5</v>
      </c>
      <c r="D2338" s="12">
        <f t="shared" si="325"/>
        <v>0</v>
      </c>
      <c r="E2338" s="12">
        <f t="shared" si="326"/>
        <v>11.08702222222222</v>
      </c>
      <c r="F2338" s="12">
        <f t="shared" si="327"/>
        <v>11.08702222222222</v>
      </c>
      <c r="G2338" s="12">
        <f t="shared" si="328"/>
        <v>14.526264177777776</v>
      </c>
      <c r="H2338" s="12">
        <f t="shared" si="329"/>
        <v>14.526264177777776</v>
      </c>
      <c r="I2338" s="1" t="str">
        <f t="shared" si="330"/>
        <v>No</v>
      </c>
      <c r="J2338" s="1" t="str">
        <f t="shared" si="331"/>
        <v>Si</v>
      </c>
      <c r="K2338" s="1" t="str">
        <f t="shared" si="332"/>
        <v/>
      </c>
    </row>
    <row r="2339" spans="1:11" x14ac:dyDescent="0.3">
      <c r="A2339" s="1">
        <v>45</v>
      </c>
      <c r="B2339" s="1">
        <v>26</v>
      </c>
      <c r="C2339" s="12">
        <f t="shared" si="324"/>
        <v>1.5</v>
      </c>
      <c r="D2339" s="12">
        <f t="shared" si="325"/>
        <v>7.4999999999999956E-2</v>
      </c>
      <c r="E2339" s="12">
        <f t="shared" si="326"/>
        <v>11.084534129777776</v>
      </c>
      <c r="F2339" s="12">
        <f t="shared" si="327"/>
        <v>11.084534129777776</v>
      </c>
      <c r="G2339" s="12">
        <f t="shared" si="328"/>
        <v>14.52275982222222</v>
      </c>
      <c r="H2339" s="12">
        <f t="shared" si="329"/>
        <v>14.52275982222222</v>
      </c>
      <c r="I2339" s="1" t="str">
        <f t="shared" si="330"/>
        <v>No</v>
      </c>
      <c r="J2339" s="1" t="str">
        <f t="shared" si="331"/>
        <v>Si</v>
      </c>
      <c r="K2339" s="1" t="str">
        <f t="shared" si="332"/>
        <v/>
      </c>
    </row>
    <row r="2340" spans="1:11" x14ac:dyDescent="0.3">
      <c r="A2340" s="1">
        <v>45</v>
      </c>
      <c r="B2340" s="1">
        <v>27</v>
      </c>
      <c r="C2340" s="12">
        <f t="shared" si="324"/>
        <v>1.5</v>
      </c>
      <c r="D2340" s="12">
        <f t="shared" si="325"/>
        <v>0.14999999999999991</v>
      </c>
      <c r="E2340" s="12">
        <f t="shared" si="326"/>
        <v>11.082046037333331</v>
      </c>
      <c r="F2340" s="12">
        <f t="shared" si="327"/>
        <v>11.082046037333331</v>
      </c>
      <c r="G2340" s="12">
        <f t="shared" si="328"/>
        <v>14.519255466666666</v>
      </c>
      <c r="H2340" s="12">
        <f t="shared" si="329"/>
        <v>14.519255466666666</v>
      </c>
      <c r="I2340" s="1" t="str">
        <f t="shared" si="330"/>
        <v>No</v>
      </c>
      <c r="J2340" s="1" t="str">
        <f t="shared" si="331"/>
        <v>Si</v>
      </c>
      <c r="K2340" s="1" t="str">
        <f t="shared" si="332"/>
        <v/>
      </c>
    </row>
    <row r="2341" spans="1:11" x14ac:dyDescent="0.3">
      <c r="A2341" s="1">
        <v>45</v>
      </c>
      <c r="B2341" s="1">
        <v>28</v>
      </c>
      <c r="C2341" s="12">
        <f t="shared" si="324"/>
        <v>1.5</v>
      </c>
      <c r="D2341" s="12">
        <f t="shared" si="325"/>
        <v>0.22500000000000009</v>
      </c>
      <c r="E2341" s="12">
        <f t="shared" si="326"/>
        <v>11.079557944888887</v>
      </c>
      <c r="F2341" s="12">
        <f t="shared" si="327"/>
        <v>11.079557944888887</v>
      </c>
      <c r="G2341" s="12">
        <f t="shared" si="328"/>
        <v>14.515751111111109</v>
      </c>
      <c r="H2341" s="12">
        <f t="shared" si="329"/>
        <v>14.515751111111109</v>
      </c>
      <c r="I2341" s="1" t="str">
        <f t="shared" si="330"/>
        <v>No</v>
      </c>
      <c r="J2341" s="1" t="str">
        <f t="shared" si="331"/>
        <v>Si</v>
      </c>
      <c r="K2341" s="1" t="str">
        <f t="shared" si="332"/>
        <v/>
      </c>
    </row>
    <row r="2342" spans="1:11" x14ac:dyDescent="0.3">
      <c r="A2342" s="1">
        <v>45</v>
      </c>
      <c r="B2342" s="1">
        <v>29</v>
      </c>
      <c r="C2342" s="12">
        <f t="shared" si="324"/>
        <v>1.5</v>
      </c>
      <c r="D2342" s="12">
        <f t="shared" si="325"/>
        <v>0.29999999999999982</v>
      </c>
      <c r="E2342" s="12">
        <f t="shared" si="326"/>
        <v>11.077069852444442</v>
      </c>
      <c r="F2342" s="12">
        <f t="shared" si="327"/>
        <v>11.077069852444442</v>
      </c>
      <c r="G2342" s="12">
        <f t="shared" si="328"/>
        <v>14.512246755555553</v>
      </c>
      <c r="H2342" s="12">
        <f t="shared" si="329"/>
        <v>14.512246755555553</v>
      </c>
      <c r="I2342" s="1" t="str">
        <f t="shared" si="330"/>
        <v>No</v>
      </c>
      <c r="J2342" s="1" t="str">
        <f t="shared" si="331"/>
        <v>Si</v>
      </c>
      <c r="K2342" s="1" t="str">
        <f t="shared" si="332"/>
        <v/>
      </c>
    </row>
    <row r="2343" spans="1:11" x14ac:dyDescent="0.3">
      <c r="A2343" s="1">
        <v>45</v>
      </c>
      <c r="B2343" s="1">
        <v>30</v>
      </c>
      <c r="C2343" s="12">
        <f t="shared" si="324"/>
        <v>1.5</v>
      </c>
      <c r="D2343" s="12">
        <f t="shared" si="325"/>
        <v>0.375</v>
      </c>
      <c r="E2343" s="12">
        <f t="shared" si="326"/>
        <v>11.074581759999997</v>
      </c>
      <c r="F2343" s="12">
        <f t="shared" si="327"/>
        <v>11.074581759999997</v>
      </c>
      <c r="G2343" s="12">
        <f t="shared" si="328"/>
        <v>14.508742399999997</v>
      </c>
      <c r="H2343" s="12">
        <f t="shared" si="329"/>
        <v>14.508742399999997</v>
      </c>
      <c r="I2343" s="1" t="str">
        <f t="shared" si="330"/>
        <v>No</v>
      </c>
      <c r="J2343" s="1" t="str">
        <f t="shared" si="331"/>
        <v>Si</v>
      </c>
      <c r="K2343" s="1" t="str">
        <f t="shared" si="332"/>
        <v/>
      </c>
    </row>
    <row r="2344" spans="1:11" x14ac:dyDescent="0.3">
      <c r="A2344" s="1">
        <v>45</v>
      </c>
      <c r="B2344" s="1">
        <v>31</v>
      </c>
      <c r="C2344" s="12">
        <f t="shared" si="324"/>
        <v>1.5</v>
      </c>
      <c r="D2344" s="12">
        <f t="shared" si="325"/>
        <v>0.45000000000000018</v>
      </c>
      <c r="E2344" s="12">
        <f t="shared" si="326"/>
        <v>11.072093667555553</v>
      </c>
      <c r="F2344" s="12">
        <f t="shared" si="327"/>
        <v>11.072093667555553</v>
      </c>
      <c r="G2344" s="12">
        <f t="shared" si="328"/>
        <v>14.505238044444443</v>
      </c>
      <c r="H2344" s="12">
        <f t="shared" si="329"/>
        <v>14.505238044444443</v>
      </c>
      <c r="I2344" s="1" t="str">
        <f t="shared" si="330"/>
        <v>No</v>
      </c>
      <c r="J2344" s="1" t="str">
        <f t="shared" si="331"/>
        <v>Si</v>
      </c>
      <c r="K2344" s="1" t="str">
        <f t="shared" si="332"/>
        <v/>
      </c>
    </row>
    <row r="2345" spans="1:11" x14ac:dyDescent="0.3">
      <c r="A2345" s="1">
        <v>45</v>
      </c>
      <c r="B2345" s="1">
        <v>32</v>
      </c>
      <c r="C2345" s="12">
        <f t="shared" si="324"/>
        <v>1.5</v>
      </c>
      <c r="D2345" s="12">
        <f t="shared" si="325"/>
        <v>0.52499999999999991</v>
      </c>
      <c r="E2345" s="12">
        <f t="shared" si="326"/>
        <v>11.06960557511111</v>
      </c>
      <c r="F2345" s="12">
        <f t="shared" si="327"/>
        <v>11.06960557511111</v>
      </c>
      <c r="G2345" s="12">
        <f t="shared" si="328"/>
        <v>14.501733688888887</v>
      </c>
      <c r="H2345" s="12">
        <f t="shared" si="329"/>
        <v>14.501733688888887</v>
      </c>
      <c r="I2345" s="1" t="str">
        <f t="shared" si="330"/>
        <v>No</v>
      </c>
      <c r="J2345" s="1" t="str">
        <f t="shared" si="331"/>
        <v>Si</v>
      </c>
      <c r="K2345" s="1" t="str">
        <f t="shared" si="332"/>
        <v/>
      </c>
    </row>
    <row r="2346" spans="1:11" x14ac:dyDescent="0.3">
      <c r="A2346" s="1">
        <v>45</v>
      </c>
      <c r="B2346" s="1">
        <v>33</v>
      </c>
      <c r="C2346" s="12">
        <f t="shared" si="324"/>
        <v>1.5</v>
      </c>
      <c r="D2346" s="12">
        <f t="shared" si="325"/>
        <v>0.60000000000000009</v>
      </c>
      <c r="E2346" s="12">
        <f t="shared" si="326"/>
        <v>11.067117482666665</v>
      </c>
      <c r="F2346" s="12">
        <f t="shared" si="327"/>
        <v>11.067117482666665</v>
      </c>
      <c r="G2346" s="12">
        <f t="shared" si="328"/>
        <v>14.498229333333331</v>
      </c>
      <c r="H2346" s="12">
        <f t="shared" si="329"/>
        <v>14.498229333333331</v>
      </c>
      <c r="I2346" s="1" t="str">
        <f t="shared" si="330"/>
        <v>No</v>
      </c>
      <c r="J2346" s="1" t="str">
        <f t="shared" si="331"/>
        <v>Si</v>
      </c>
      <c r="K2346" s="1" t="str">
        <f t="shared" si="332"/>
        <v/>
      </c>
    </row>
    <row r="2347" spans="1:11" x14ac:dyDescent="0.3">
      <c r="A2347" s="1">
        <v>45</v>
      </c>
      <c r="B2347" s="1">
        <v>34</v>
      </c>
      <c r="C2347" s="12">
        <f t="shared" si="324"/>
        <v>1.5</v>
      </c>
      <c r="D2347" s="12">
        <f t="shared" si="325"/>
        <v>0.67499999999999982</v>
      </c>
      <c r="E2347" s="12">
        <f t="shared" si="326"/>
        <v>11.064629390222221</v>
      </c>
      <c r="F2347" s="12">
        <f t="shared" si="327"/>
        <v>11.064629390222221</v>
      </c>
      <c r="G2347" s="12">
        <f t="shared" si="328"/>
        <v>14.494724977777777</v>
      </c>
      <c r="H2347" s="12">
        <f t="shared" si="329"/>
        <v>14.494724977777777</v>
      </c>
      <c r="I2347" s="1" t="str">
        <f t="shared" si="330"/>
        <v>No</v>
      </c>
      <c r="J2347" s="1" t="str">
        <f t="shared" si="331"/>
        <v>Si</v>
      </c>
      <c r="K2347" s="1" t="str">
        <f t="shared" si="332"/>
        <v/>
      </c>
    </row>
    <row r="2348" spans="1:11" x14ac:dyDescent="0.3">
      <c r="A2348" s="1">
        <v>45</v>
      </c>
      <c r="B2348" s="1">
        <v>35</v>
      </c>
      <c r="C2348" s="12">
        <f t="shared" si="324"/>
        <v>1.5</v>
      </c>
      <c r="D2348" s="12">
        <f t="shared" si="325"/>
        <v>0.75</v>
      </c>
      <c r="E2348" s="12">
        <f t="shared" si="326"/>
        <v>11.062141297777776</v>
      </c>
      <c r="F2348" s="12">
        <f t="shared" si="327"/>
        <v>11.062141297777776</v>
      </c>
      <c r="G2348" s="12">
        <f t="shared" si="328"/>
        <v>14.491220622222221</v>
      </c>
      <c r="H2348" s="12">
        <f t="shared" si="329"/>
        <v>14.491220622222221</v>
      </c>
      <c r="I2348" s="1" t="str">
        <f t="shared" si="330"/>
        <v>No</v>
      </c>
      <c r="J2348" s="1" t="str">
        <f t="shared" si="331"/>
        <v>Si</v>
      </c>
      <c r="K2348" s="1" t="str">
        <f t="shared" si="332"/>
        <v/>
      </c>
    </row>
    <row r="2349" spans="1:11" x14ac:dyDescent="0.3">
      <c r="A2349" s="1">
        <v>45</v>
      </c>
      <c r="B2349" s="1">
        <v>36</v>
      </c>
      <c r="C2349" s="12">
        <f t="shared" si="324"/>
        <v>1.5</v>
      </c>
      <c r="D2349" s="12">
        <f t="shared" si="325"/>
        <v>0.82500000000000018</v>
      </c>
      <c r="E2349" s="12">
        <f t="shared" si="326"/>
        <v>11.059653205333332</v>
      </c>
      <c r="F2349" s="12">
        <f t="shared" si="327"/>
        <v>11.059653205333332</v>
      </c>
      <c r="G2349" s="12">
        <f t="shared" si="328"/>
        <v>14.487716266666665</v>
      </c>
      <c r="H2349" s="12">
        <f t="shared" si="329"/>
        <v>14.487716266666665</v>
      </c>
      <c r="I2349" s="1" t="str">
        <f t="shared" si="330"/>
        <v>No</v>
      </c>
      <c r="J2349" s="1" t="str">
        <f t="shared" si="331"/>
        <v>Si</v>
      </c>
      <c r="K2349" s="1" t="str">
        <f t="shared" si="332"/>
        <v/>
      </c>
    </row>
    <row r="2350" spans="1:11" x14ac:dyDescent="0.3">
      <c r="A2350" s="1">
        <v>45</v>
      </c>
      <c r="B2350" s="1">
        <v>37</v>
      </c>
      <c r="C2350" s="12">
        <f t="shared" si="324"/>
        <v>1.5</v>
      </c>
      <c r="D2350" s="12">
        <f t="shared" si="325"/>
        <v>0.89999999999999991</v>
      </c>
      <c r="E2350" s="12">
        <f t="shared" si="326"/>
        <v>11.057165112888887</v>
      </c>
      <c r="F2350" s="12">
        <f t="shared" si="327"/>
        <v>11.057165112888887</v>
      </c>
      <c r="G2350" s="12">
        <f t="shared" si="328"/>
        <v>14.484211911111109</v>
      </c>
      <c r="H2350" s="12">
        <f t="shared" si="329"/>
        <v>14.484211911111109</v>
      </c>
      <c r="I2350" s="1" t="str">
        <f t="shared" si="330"/>
        <v>No</v>
      </c>
      <c r="J2350" s="1" t="str">
        <f t="shared" si="331"/>
        <v>Si</v>
      </c>
      <c r="K2350" s="1" t="str">
        <f t="shared" si="332"/>
        <v/>
      </c>
    </row>
    <row r="2351" spans="1:11" x14ac:dyDescent="0.3">
      <c r="A2351" s="1">
        <v>45</v>
      </c>
      <c r="B2351" s="1">
        <v>38</v>
      </c>
      <c r="C2351" s="12">
        <f t="shared" si="324"/>
        <v>1.5</v>
      </c>
      <c r="D2351" s="12">
        <f t="shared" si="325"/>
        <v>0.97500000000000009</v>
      </c>
      <c r="E2351" s="12">
        <f t="shared" si="326"/>
        <v>11.054677020444442</v>
      </c>
      <c r="F2351" s="12">
        <f t="shared" si="327"/>
        <v>11.054677020444442</v>
      </c>
      <c r="G2351" s="12">
        <f t="shared" si="328"/>
        <v>14.480707555555554</v>
      </c>
      <c r="H2351" s="12">
        <f t="shared" si="329"/>
        <v>14.480707555555554</v>
      </c>
      <c r="I2351" s="1" t="str">
        <f t="shared" si="330"/>
        <v>No</v>
      </c>
      <c r="J2351" s="1" t="str">
        <f t="shared" si="331"/>
        <v>Si</v>
      </c>
      <c r="K2351" s="1" t="str">
        <f t="shared" si="332"/>
        <v/>
      </c>
    </row>
    <row r="2352" spans="1:11" x14ac:dyDescent="0.3">
      <c r="A2352" s="1">
        <v>45</v>
      </c>
      <c r="B2352" s="1">
        <v>39</v>
      </c>
      <c r="C2352" s="12">
        <f t="shared" si="324"/>
        <v>1.5</v>
      </c>
      <c r="D2352" s="12">
        <f t="shared" si="325"/>
        <v>1.0499999999999998</v>
      </c>
      <c r="E2352" s="12">
        <f t="shared" si="326"/>
        <v>11.052188927999998</v>
      </c>
      <c r="F2352" s="12">
        <f t="shared" si="327"/>
        <v>11.052188927999998</v>
      </c>
      <c r="G2352" s="12">
        <f t="shared" si="328"/>
        <v>14.477203199999998</v>
      </c>
      <c r="H2352" s="12">
        <f t="shared" si="329"/>
        <v>14.477203199999998</v>
      </c>
      <c r="I2352" s="1" t="str">
        <f t="shared" si="330"/>
        <v>No</v>
      </c>
      <c r="J2352" s="1" t="str">
        <f t="shared" si="331"/>
        <v>Si</v>
      </c>
      <c r="K2352" s="1" t="str">
        <f t="shared" si="332"/>
        <v/>
      </c>
    </row>
    <row r="2353" spans="1:11" x14ac:dyDescent="0.3">
      <c r="A2353" s="1">
        <v>45</v>
      </c>
      <c r="B2353" s="1">
        <v>40</v>
      </c>
      <c r="C2353" s="12">
        <f t="shared" si="324"/>
        <v>1.5</v>
      </c>
      <c r="D2353" s="12">
        <f t="shared" si="325"/>
        <v>1.125</v>
      </c>
      <c r="E2353" s="12">
        <f t="shared" si="326"/>
        <v>11.049700835555553</v>
      </c>
      <c r="F2353" s="12">
        <f t="shared" si="327"/>
        <v>11.049700835555553</v>
      </c>
      <c r="G2353" s="12">
        <f t="shared" si="328"/>
        <v>14.473698844444442</v>
      </c>
      <c r="H2353" s="12">
        <f t="shared" si="329"/>
        <v>14.473698844444442</v>
      </c>
      <c r="I2353" s="1" t="str">
        <f t="shared" si="330"/>
        <v>No</v>
      </c>
      <c r="J2353" s="1" t="str">
        <f t="shared" si="331"/>
        <v>Si</v>
      </c>
      <c r="K2353" s="1" t="str">
        <f t="shared" si="332"/>
        <v/>
      </c>
    </row>
    <row r="2354" spans="1:11" x14ac:dyDescent="0.3">
      <c r="A2354" s="1">
        <v>45</v>
      </c>
      <c r="B2354" s="1">
        <v>41</v>
      </c>
      <c r="C2354" s="12">
        <f t="shared" si="324"/>
        <v>1.5</v>
      </c>
      <c r="D2354" s="12">
        <f t="shared" si="325"/>
        <v>1.2000000000000002</v>
      </c>
      <c r="E2354" s="12">
        <f t="shared" si="326"/>
        <v>11.047212743111109</v>
      </c>
      <c r="F2354" s="12">
        <f t="shared" si="327"/>
        <v>11.047212743111109</v>
      </c>
      <c r="G2354" s="12">
        <f t="shared" si="328"/>
        <v>14.470194488888888</v>
      </c>
      <c r="H2354" s="12">
        <f t="shared" si="329"/>
        <v>14.470194488888888</v>
      </c>
      <c r="I2354" s="1" t="str">
        <f t="shared" si="330"/>
        <v>No</v>
      </c>
      <c r="J2354" s="1" t="str">
        <f t="shared" si="331"/>
        <v>Si</v>
      </c>
      <c r="K2354" s="1" t="str">
        <f t="shared" si="332"/>
        <v/>
      </c>
    </row>
    <row r="2355" spans="1:11" x14ac:dyDescent="0.3">
      <c r="A2355" s="1">
        <v>45</v>
      </c>
      <c r="B2355" s="1">
        <v>42</v>
      </c>
      <c r="C2355" s="12">
        <f t="shared" si="324"/>
        <v>1.5</v>
      </c>
      <c r="D2355" s="12">
        <f t="shared" si="325"/>
        <v>1.2749999999999999</v>
      </c>
      <c r="E2355" s="12">
        <f t="shared" si="326"/>
        <v>11.044724650666664</v>
      </c>
      <c r="F2355" s="12">
        <f t="shared" si="327"/>
        <v>11.044724650666664</v>
      </c>
      <c r="G2355" s="12">
        <f t="shared" si="328"/>
        <v>14.466690133333332</v>
      </c>
      <c r="H2355" s="12">
        <f t="shared" si="329"/>
        <v>14.466690133333332</v>
      </c>
      <c r="I2355" s="1" t="str">
        <f t="shared" si="330"/>
        <v>No</v>
      </c>
      <c r="J2355" s="1" t="str">
        <f t="shared" si="331"/>
        <v>Si</v>
      </c>
      <c r="K2355" s="1" t="str">
        <f t="shared" si="332"/>
        <v/>
      </c>
    </row>
    <row r="2356" spans="1:11" x14ac:dyDescent="0.3">
      <c r="A2356" s="1">
        <v>45</v>
      </c>
      <c r="B2356" s="1">
        <v>43</v>
      </c>
      <c r="C2356" s="12">
        <f t="shared" si="324"/>
        <v>1.5</v>
      </c>
      <c r="D2356" s="12">
        <f t="shared" si="325"/>
        <v>1.35</v>
      </c>
      <c r="E2356" s="12">
        <f t="shared" si="326"/>
        <v>11.04223655822222</v>
      </c>
      <c r="F2356" s="12">
        <f t="shared" si="327"/>
        <v>11.04223655822222</v>
      </c>
      <c r="G2356" s="12">
        <f t="shared" si="328"/>
        <v>14.463185777777776</v>
      </c>
      <c r="H2356" s="12">
        <f t="shared" si="329"/>
        <v>14.463185777777776</v>
      </c>
      <c r="I2356" s="1" t="str">
        <f t="shared" si="330"/>
        <v>No</v>
      </c>
      <c r="J2356" s="1" t="str">
        <f t="shared" si="331"/>
        <v>Si</v>
      </c>
      <c r="K2356" s="1" t="str">
        <f t="shared" si="332"/>
        <v/>
      </c>
    </row>
    <row r="2357" spans="1:11" x14ac:dyDescent="0.3">
      <c r="A2357" s="1">
        <v>45</v>
      </c>
      <c r="B2357" s="1">
        <v>44</v>
      </c>
      <c r="C2357" s="12">
        <f t="shared" si="324"/>
        <v>1.5</v>
      </c>
      <c r="D2357" s="12">
        <f t="shared" si="325"/>
        <v>1.4249999999999998</v>
      </c>
      <c r="E2357" s="12">
        <f t="shared" si="326"/>
        <v>11.039748465777777</v>
      </c>
      <c r="F2357" s="12">
        <f t="shared" si="327"/>
        <v>11.039748465777777</v>
      </c>
      <c r="G2357" s="12">
        <f t="shared" si="328"/>
        <v>14.45968142222222</v>
      </c>
      <c r="H2357" s="12">
        <f t="shared" si="329"/>
        <v>14.45968142222222</v>
      </c>
      <c r="I2357" s="1" t="str">
        <f t="shared" si="330"/>
        <v>No</v>
      </c>
      <c r="J2357" s="1" t="str">
        <f t="shared" si="331"/>
        <v>Si</v>
      </c>
      <c r="K2357" s="1" t="str">
        <f t="shared" si="332"/>
        <v/>
      </c>
    </row>
    <row r="2358" spans="1:11" x14ac:dyDescent="0.3">
      <c r="A2358" s="1">
        <v>45</v>
      </c>
      <c r="B2358" s="1">
        <v>45</v>
      </c>
      <c r="C2358" s="12">
        <f t="shared" si="324"/>
        <v>1.5</v>
      </c>
      <c r="D2358" s="12">
        <f t="shared" si="325"/>
        <v>1.5</v>
      </c>
      <c r="E2358" s="12">
        <f t="shared" si="326"/>
        <v>11.037260373333332</v>
      </c>
      <c r="F2358" s="12">
        <f t="shared" si="327"/>
        <v>11.037260373333332</v>
      </c>
      <c r="G2358" s="12">
        <f t="shared" si="328"/>
        <v>14.456177066666665</v>
      </c>
      <c r="H2358" s="12">
        <f t="shared" si="329"/>
        <v>14.456177066666665</v>
      </c>
      <c r="I2358" s="1" t="str">
        <f t="shared" si="330"/>
        <v>No</v>
      </c>
      <c r="J2358" s="1" t="str">
        <f t="shared" si="331"/>
        <v>Si</v>
      </c>
      <c r="K2358" s="1" t="str">
        <f t="shared" si="332"/>
        <v/>
      </c>
    </row>
    <row r="2359" spans="1:11" x14ac:dyDescent="0.3">
      <c r="A2359" s="1">
        <v>45</v>
      </c>
      <c r="B2359" s="1">
        <v>46</v>
      </c>
      <c r="C2359" s="12">
        <f t="shared" si="324"/>
        <v>1.5</v>
      </c>
      <c r="D2359" s="12">
        <f t="shared" si="325"/>
        <v>1.5750000000000002</v>
      </c>
      <c r="E2359" s="12">
        <f t="shared" si="326"/>
        <v>11.034772280888888</v>
      </c>
      <c r="F2359" s="12">
        <f t="shared" si="327"/>
        <v>11.034772280888888</v>
      </c>
      <c r="G2359" s="12">
        <f t="shared" si="328"/>
        <v>14.452672711111109</v>
      </c>
      <c r="H2359" s="12">
        <f t="shared" si="329"/>
        <v>14.452672711111109</v>
      </c>
      <c r="I2359" s="1" t="str">
        <f t="shared" si="330"/>
        <v>No</v>
      </c>
      <c r="J2359" s="1" t="str">
        <f t="shared" si="331"/>
        <v>Si</v>
      </c>
      <c r="K2359" s="1" t="str">
        <f t="shared" si="332"/>
        <v/>
      </c>
    </row>
    <row r="2360" spans="1:11" x14ac:dyDescent="0.3">
      <c r="A2360" s="1">
        <v>45</v>
      </c>
      <c r="B2360" s="1">
        <v>47</v>
      </c>
      <c r="C2360" s="12">
        <f t="shared" si="324"/>
        <v>1.5</v>
      </c>
      <c r="D2360" s="12">
        <f t="shared" si="325"/>
        <v>1.65</v>
      </c>
      <c r="E2360" s="12">
        <f t="shared" si="326"/>
        <v>11.032284188444443</v>
      </c>
      <c r="F2360" s="12">
        <f t="shared" si="327"/>
        <v>11.032284188444443</v>
      </c>
      <c r="G2360" s="12">
        <f t="shared" si="328"/>
        <v>14.449168355555553</v>
      </c>
      <c r="H2360" s="12">
        <f t="shared" si="329"/>
        <v>14.449168355555553</v>
      </c>
      <c r="I2360" s="1" t="str">
        <f t="shared" si="330"/>
        <v>No</v>
      </c>
      <c r="J2360" s="1" t="str">
        <f t="shared" si="331"/>
        <v>Si</v>
      </c>
      <c r="K2360" s="1" t="str">
        <f t="shared" si="332"/>
        <v/>
      </c>
    </row>
    <row r="2361" spans="1:11" x14ac:dyDescent="0.3">
      <c r="A2361" s="1">
        <v>45</v>
      </c>
      <c r="B2361" s="1">
        <v>48</v>
      </c>
      <c r="C2361" s="12">
        <f t="shared" si="324"/>
        <v>1.5</v>
      </c>
      <c r="D2361" s="12">
        <f t="shared" si="325"/>
        <v>1.7250000000000001</v>
      </c>
      <c r="E2361" s="12">
        <f t="shared" si="326"/>
        <v>11.029796095999998</v>
      </c>
      <c r="F2361" s="12">
        <f t="shared" si="327"/>
        <v>11.029796095999998</v>
      </c>
      <c r="G2361" s="12">
        <f t="shared" si="328"/>
        <v>14.445663999999999</v>
      </c>
      <c r="H2361" s="12">
        <f t="shared" si="329"/>
        <v>14.445663999999999</v>
      </c>
      <c r="I2361" s="1" t="str">
        <f t="shared" si="330"/>
        <v>No</v>
      </c>
      <c r="J2361" s="1" t="str">
        <f t="shared" si="331"/>
        <v>Si</v>
      </c>
      <c r="K2361" s="1" t="str">
        <f t="shared" si="332"/>
        <v/>
      </c>
    </row>
    <row r="2362" spans="1:11" x14ac:dyDescent="0.3">
      <c r="A2362" s="1">
        <v>45</v>
      </c>
      <c r="B2362" s="1">
        <v>49</v>
      </c>
      <c r="C2362" s="12">
        <f t="shared" si="324"/>
        <v>1.5</v>
      </c>
      <c r="D2362" s="12">
        <f t="shared" si="325"/>
        <v>1.7999999999999998</v>
      </c>
      <c r="E2362" s="12">
        <f t="shared" si="326"/>
        <v>11.027308003555554</v>
      </c>
      <c r="F2362" s="12">
        <f t="shared" si="327"/>
        <v>11.027308003555554</v>
      </c>
      <c r="G2362" s="12">
        <f t="shared" si="328"/>
        <v>14.442159644444443</v>
      </c>
      <c r="H2362" s="12">
        <f t="shared" si="329"/>
        <v>14.442159644444443</v>
      </c>
      <c r="I2362" s="1" t="str">
        <f t="shared" si="330"/>
        <v>No</v>
      </c>
      <c r="J2362" s="1" t="str">
        <f t="shared" si="331"/>
        <v>Si</v>
      </c>
      <c r="K2362" s="1" t="str">
        <f t="shared" si="332"/>
        <v/>
      </c>
    </row>
    <row r="2363" spans="1:11" x14ac:dyDescent="0.3">
      <c r="A2363" s="1">
        <v>45</v>
      </c>
      <c r="B2363" s="1">
        <v>50</v>
      </c>
      <c r="C2363" s="12">
        <f t="shared" si="324"/>
        <v>1.5</v>
      </c>
      <c r="D2363" s="12">
        <f t="shared" si="325"/>
        <v>1.875</v>
      </c>
      <c r="E2363" s="12">
        <f t="shared" si="326"/>
        <v>11.024819911111109</v>
      </c>
      <c r="F2363" s="12">
        <f t="shared" si="327"/>
        <v>11.024819911111109</v>
      </c>
      <c r="G2363" s="12">
        <f t="shared" si="328"/>
        <v>14.438655288888887</v>
      </c>
      <c r="H2363" s="12">
        <f t="shared" si="329"/>
        <v>14.438655288888887</v>
      </c>
      <c r="I2363" s="1" t="str">
        <f t="shared" si="330"/>
        <v>No</v>
      </c>
      <c r="J2363" s="1" t="str">
        <f t="shared" si="331"/>
        <v>Si</v>
      </c>
      <c r="K2363" s="1" t="str">
        <f t="shared" si="332"/>
        <v/>
      </c>
    </row>
    <row r="2364" spans="1:11" x14ac:dyDescent="0.3">
      <c r="A2364" s="1">
        <v>46</v>
      </c>
      <c r="B2364" s="1">
        <v>0</v>
      </c>
      <c r="C2364" s="12">
        <f t="shared" si="324"/>
        <v>1.5750000000000002</v>
      </c>
      <c r="D2364" s="12">
        <f t="shared" si="325"/>
        <v>-1.875</v>
      </c>
      <c r="E2364" s="12">
        <f t="shared" si="326"/>
        <v>11.149918577777777</v>
      </c>
      <c r="F2364" s="12">
        <f t="shared" si="327"/>
        <v>11.149918577777777</v>
      </c>
      <c r="G2364" s="12">
        <f t="shared" si="328"/>
        <v>14.614910719999999</v>
      </c>
      <c r="H2364" s="12">
        <f t="shared" si="329"/>
        <v>14.614910719999999</v>
      </c>
      <c r="I2364" s="1" t="str">
        <f t="shared" si="330"/>
        <v>No</v>
      </c>
      <c r="J2364" s="1" t="str">
        <f t="shared" si="331"/>
        <v>Si</v>
      </c>
      <c r="K2364" s="1" t="str">
        <f t="shared" si="332"/>
        <v/>
      </c>
    </row>
    <row r="2365" spans="1:11" x14ac:dyDescent="0.3">
      <c r="A2365" s="1">
        <v>46</v>
      </c>
      <c r="B2365" s="1">
        <v>1</v>
      </c>
      <c r="C2365" s="12">
        <f t="shared" si="324"/>
        <v>1.5750000000000002</v>
      </c>
      <c r="D2365" s="12">
        <f t="shared" si="325"/>
        <v>-1.8</v>
      </c>
      <c r="E2365" s="12">
        <f t="shared" si="326"/>
        <v>11.147430485333333</v>
      </c>
      <c r="F2365" s="12">
        <f t="shared" si="327"/>
        <v>11.147430485333333</v>
      </c>
      <c r="G2365" s="12">
        <f t="shared" si="328"/>
        <v>14.611406364444443</v>
      </c>
      <c r="H2365" s="12">
        <f t="shared" si="329"/>
        <v>14.611406364444443</v>
      </c>
      <c r="I2365" s="1" t="str">
        <f t="shared" si="330"/>
        <v>No</v>
      </c>
      <c r="J2365" s="1" t="str">
        <f t="shared" si="331"/>
        <v>Si</v>
      </c>
      <c r="K2365" s="1" t="str">
        <f t="shared" si="332"/>
        <v/>
      </c>
    </row>
    <row r="2366" spans="1:11" x14ac:dyDescent="0.3">
      <c r="A2366" s="1">
        <v>46</v>
      </c>
      <c r="B2366" s="1">
        <v>2</v>
      </c>
      <c r="C2366" s="12">
        <f t="shared" si="324"/>
        <v>1.5750000000000002</v>
      </c>
      <c r="D2366" s="12">
        <f t="shared" si="325"/>
        <v>-1.7250000000000001</v>
      </c>
      <c r="E2366" s="12">
        <f t="shared" si="326"/>
        <v>11.144942392888888</v>
      </c>
      <c r="F2366" s="12">
        <f t="shared" si="327"/>
        <v>11.144942392888888</v>
      </c>
      <c r="G2366" s="12">
        <f t="shared" si="328"/>
        <v>14.607902008888887</v>
      </c>
      <c r="H2366" s="12">
        <f t="shared" si="329"/>
        <v>14.607902008888887</v>
      </c>
      <c r="I2366" s="1" t="str">
        <f t="shared" si="330"/>
        <v>No</v>
      </c>
      <c r="J2366" s="1" t="str">
        <f t="shared" si="331"/>
        <v>Si</v>
      </c>
      <c r="K2366" s="1" t="str">
        <f t="shared" si="332"/>
        <v/>
      </c>
    </row>
    <row r="2367" spans="1:11" x14ac:dyDescent="0.3">
      <c r="A2367" s="1">
        <v>46</v>
      </c>
      <c r="B2367" s="1">
        <v>3</v>
      </c>
      <c r="C2367" s="12">
        <f t="shared" si="324"/>
        <v>1.5750000000000002</v>
      </c>
      <c r="D2367" s="12">
        <f t="shared" si="325"/>
        <v>-1.65</v>
      </c>
      <c r="E2367" s="12">
        <f t="shared" si="326"/>
        <v>11.142454300444443</v>
      </c>
      <c r="F2367" s="12">
        <f t="shared" si="327"/>
        <v>11.142454300444443</v>
      </c>
      <c r="G2367" s="12">
        <f t="shared" si="328"/>
        <v>14.604397653333333</v>
      </c>
      <c r="H2367" s="12">
        <f t="shared" si="329"/>
        <v>14.604397653333333</v>
      </c>
      <c r="I2367" s="1" t="str">
        <f t="shared" si="330"/>
        <v>No</v>
      </c>
      <c r="J2367" s="1" t="str">
        <f t="shared" si="331"/>
        <v>Si</v>
      </c>
      <c r="K2367" s="1" t="str">
        <f t="shared" si="332"/>
        <v/>
      </c>
    </row>
    <row r="2368" spans="1:11" x14ac:dyDescent="0.3">
      <c r="A2368" s="1">
        <v>46</v>
      </c>
      <c r="B2368" s="1">
        <v>4</v>
      </c>
      <c r="C2368" s="12">
        <f t="shared" si="324"/>
        <v>1.5750000000000002</v>
      </c>
      <c r="D2368" s="12">
        <f t="shared" si="325"/>
        <v>-1.575</v>
      </c>
      <c r="E2368" s="12">
        <f t="shared" si="326"/>
        <v>11.139966207999999</v>
      </c>
      <c r="F2368" s="12">
        <f t="shared" si="327"/>
        <v>11.139966207999999</v>
      </c>
      <c r="G2368" s="12">
        <f t="shared" si="328"/>
        <v>14.600893297777777</v>
      </c>
      <c r="H2368" s="12">
        <f t="shared" si="329"/>
        <v>14.600893297777777</v>
      </c>
      <c r="I2368" s="1" t="str">
        <f t="shared" si="330"/>
        <v>No</v>
      </c>
      <c r="J2368" s="1" t="str">
        <f t="shared" si="331"/>
        <v>Si</v>
      </c>
      <c r="K2368" s="1" t="str">
        <f t="shared" si="332"/>
        <v/>
      </c>
    </row>
    <row r="2369" spans="1:11" x14ac:dyDescent="0.3">
      <c r="A2369" s="1">
        <v>46</v>
      </c>
      <c r="B2369" s="1">
        <v>5</v>
      </c>
      <c r="C2369" s="12">
        <f t="shared" si="324"/>
        <v>1.5750000000000002</v>
      </c>
      <c r="D2369" s="12">
        <f t="shared" si="325"/>
        <v>-1.5</v>
      </c>
      <c r="E2369" s="12">
        <f t="shared" si="326"/>
        <v>11.137478115555554</v>
      </c>
      <c r="F2369" s="12">
        <f t="shared" si="327"/>
        <v>11.137478115555554</v>
      </c>
      <c r="G2369" s="12">
        <f t="shared" si="328"/>
        <v>14.597388942222221</v>
      </c>
      <c r="H2369" s="12">
        <f t="shared" si="329"/>
        <v>14.597388942222221</v>
      </c>
      <c r="I2369" s="1" t="str">
        <f t="shared" si="330"/>
        <v>No</v>
      </c>
      <c r="J2369" s="1" t="str">
        <f t="shared" si="331"/>
        <v>Si</v>
      </c>
      <c r="K2369" s="1" t="str">
        <f t="shared" si="332"/>
        <v/>
      </c>
    </row>
    <row r="2370" spans="1:11" x14ac:dyDescent="0.3">
      <c r="A2370" s="1">
        <v>46</v>
      </c>
      <c r="B2370" s="1">
        <v>6</v>
      </c>
      <c r="C2370" s="12">
        <f t="shared" si="324"/>
        <v>1.5750000000000002</v>
      </c>
      <c r="D2370" s="12">
        <f t="shared" si="325"/>
        <v>-1.425</v>
      </c>
      <c r="E2370" s="12">
        <f t="shared" si="326"/>
        <v>11.13499002311111</v>
      </c>
      <c r="F2370" s="12">
        <f t="shared" si="327"/>
        <v>11.13499002311111</v>
      </c>
      <c r="G2370" s="12">
        <f t="shared" si="328"/>
        <v>14.593884586666666</v>
      </c>
      <c r="H2370" s="12">
        <f t="shared" si="329"/>
        <v>14.593884586666666</v>
      </c>
      <c r="I2370" s="1" t="str">
        <f t="shared" si="330"/>
        <v>No</v>
      </c>
      <c r="J2370" s="1" t="str">
        <f t="shared" si="331"/>
        <v>Si</v>
      </c>
      <c r="K2370" s="1" t="str">
        <f t="shared" si="332"/>
        <v/>
      </c>
    </row>
    <row r="2371" spans="1:11" x14ac:dyDescent="0.3">
      <c r="A2371" s="1">
        <v>46</v>
      </c>
      <c r="B2371" s="1">
        <v>7</v>
      </c>
      <c r="C2371" s="12">
        <f t="shared" si="324"/>
        <v>1.5750000000000002</v>
      </c>
      <c r="D2371" s="12">
        <f t="shared" si="325"/>
        <v>-1.35</v>
      </c>
      <c r="E2371" s="12">
        <f t="shared" si="326"/>
        <v>11.132501930666667</v>
      </c>
      <c r="F2371" s="12">
        <f t="shared" si="327"/>
        <v>11.132501930666667</v>
      </c>
      <c r="G2371" s="12">
        <f t="shared" si="328"/>
        <v>14.59038023111111</v>
      </c>
      <c r="H2371" s="12">
        <f t="shared" si="329"/>
        <v>14.59038023111111</v>
      </c>
      <c r="I2371" s="1" t="str">
        <f t="shared" si="330"/>
        <v>No</v>
      </c>
      <c r="J2371" s="1" t="str">
        <f t="shared" si="331"/>
        <v>Si</v>
      </c>
      <c r="K2371" s="1" t="str">
        <f t="shared" si="332"/>
        <v/>
      </c>
    </row>
    <row r="2372" spans="1:11" x14ac:dyDescent="0.3">
      <c r="A2372" s="1">
        <v>46</v>
      </c>
      <c r="B2372" s="1">
        <v>8</v>
      </c>
      <c r="C2372" s="12">
        <f t="shared" si="324"/>
        <v>1.5750000000000002</v>
      </c>
      <c r="D2372" s="12">
        <f t="shared" si="325"/>
        <v>-1.2749999999999999</v>
      </c>
      <c r="E2372" s="12">
        <f t="shared" si="326"/>
        <v>11.130013838222222</v>
      </c>
      <c r="F2372" s="12">
        <f t="shared" si="327"/>
        <v>11.130013838222222</v>
      </c>
      <c r="G2372" s="12">
        <f t="shared" si="328"/>
        <v>14.586875875555554</v>
      </c>
      <c r="H2372" s="12">
        <f t="shared" si="329"/>
        <v>14.586875875555554</v>
      </c>
      <c r="I2372" s="1" t="str">
        <f t="shared" si="330"/>
        <v>No</v>
      </c>
      <c r="J2372" s="1" t="str">
        <f t="shared" si="331"/>
        <v>Si</v>
      </c>
      <c r="K2372" s="1" t="str">
        <f t="shared" si="332"/>
        <v/>
      </c>
    </row>
    <row r="2373" spans="1:11" x14ac:dyDescent="0.3">
      <c r="A2373" s="1">
        <v>46</v>
      </c>
      <c r="B2373" s="1">
        <v>9</v>
      </c>
      <c r="C2373" s="12">
        <f t="shared" si="324"/>
        <v>1.5750000000000002</v>
      </c>
      <c r="D2373" s="12">
        <f t="shared" si="325"/>
        <v>-1.2</v>
      </c>
      <c r="E2373" s="12">
        <f t="shared" si="326"/>
        <v>11.127525745777778</v>
      </c>
      <c r="F2373" s="12">
        <f t="shared" si="327"/>
        <v>11.127525745777778</v>
      </c>
      <c r="G2373" s="12">
        <f t="shared" si="328"/>
        <v>14.583371519999998</v>
      </c>
      <c r="H2373" s="12">
        <f t="shared" si="329"/>
        <v>14.583371519999998</v>
      </c>
      <c r="I2373" s="1" t="str">
        <f t="shared" si="330"/>
        <v>No</v>
      </c>
      <c r="J2373" s="1" t="str">
        <f t="shared" si="331"/>
        <v>Si</v>
      </c>
      <c r="K2373" s="1" t="str">
        <f t="shared" si="332"/>
        <v/>
      </c>
    </row>
    <row r="2374" spans="1:11" x14ac:dyDescent="0.3">
      <c r="A2374" s="1">
        <v>46</v>
      </c>
      <c r="B2374" s="1">
        <v>10</v>
      </c>
      <c r="C2374" s="12">
        <f t="shared" si="324"/>
        <v>1.5750000000000002</v>
      </c>
      <c r="D2374" s="12">
        <f t="shared" si="325"/>
        <v>-1.125</v>
      </c>
      <c r="E2374" s="12">
        <f t="shared" si="326"/>
        <v>11.125037653333333</v>
      </c>
      <c r="F2374" s="12">
        <f t="shared" si="327"/>
        <v>11.125037653333333</v>
      </c>
      <c r="G2374" s="12">
        <f t="shared" si="328"/>
        <v>14.579867164444444</v>
      </c>
      <c r="H2374" s="12">
        <f t="shared" si="329"/>
        <v>14.579867164444444</v>
      </c>
      <c r="I2374" s="1" t="str">
        <f t="shared" si="330"/>
        <v>No</v>
      </c>
      <c r="J2374" s="1" t="str">
        <f t="shared" si="331"/>
        <v>Si</v>
      </c>
      <c r="K2374" s="1" t="str">
        <f t="shared" si="332"/>
        <v/>
      </c>
    </row>
    <row r="2375" spans="1:11" x14ac:dyDescent="0.3">
      <c r="A2375" s="1">
        <v>46</v>
      </c>
      <c r="B2375" s="1">
        <v>11</v>
      </c>
      <c r="C2375" s="12">
        <f t="shared" si="324"/>
        <v>1.5750000000000002</v>
      </c>
      <c r="D2375" s="12">
        <f t="shared" si="325"/>
        <v>-1.05</v>
      </c>
      <c r="E2375" s="12">
        <f t="shared" si="326"/>
        <v>11.122549560888888</v>
      </c>
      <c r="F2375" s="12">
        <f t="shared" si="327"/>
        <v>11.122549560888888</v>
      </c>
      <c r="G2375" s="12">
        <f t="shared" si="328"/>
        <v>14.576362808888888</v>
      </c>
      <c r="H2375" s="12">
        <f t="shared" si="329"/>
        <v>14.576362808888888</v>
      </c>
      <c r="I2375" s="1" t="str">
        <f t="shared" si="330"/>
        <v>No</v>
      </c>
      <c r="J2375" s="1" t="str">
        <f t="shared" si="331"/>
        <v>Si</v>
      </c>
      <c r="K2375" s="1" t="str">
        <f t="shared" si="332"/>
        <v/>
      </c>
    </row>
    <row r="2376" spans="1:11" x14ac:dyDescent="0.3">
      <c r="A2376" s="1">
        <v>46</v>
      </c>
      <c r="B2376" s="1">
        <v>12</v>
      </c>
      <c r="C2376" s="12">
        <f t="shared" si="324"/>
        <v>1.5750000000000002</v>
      </c>
      <c r="D2376" s="12">
        <f t="shared" si="325"/>
        <v>-0.97499999999999998</v>
      </c>
      <c r="E2376" s="12">
        <f t="shared" si="326"/>
        <v>11.120061468444444</v>
      </c>
      <c r="F2376" s="12">
        <f t="shared" si="327"/>
        <v>11.120061468444444</v>
      </c>
      <c r="G2376" s="12">
        <f t="shared" si="328"/>
        <v>14.572858453333332</v>
      </c>
      <c r="H2376" s="12">
        <f t="shared" si="329"/>
        <v>14.572858453333332</v>
      </c>
      <c r="I2376" s="1" t="str">
        <f t="shared" si="330"/>
        <v>No</v>
      </c>
      <c r="J2376" s="1" t="str">
        <f t="shared" si="331"/>
        <v>Si</v>
      </c>
      <c r="K2376" s="1" t="str">
        <f t="shared" si="332"/>
        <v/>
      </c>
    </row>
    <row r="2377" spans="1:11" x14ac:dyDescent="0.3">
      <c r="A2377" s="1">
        <v>46</v>
      </c>
      <c r="B2377" s="1">
        <v>13</v>
      </c>
      <c r="C2377" s="12">
        <f t="shared" si="324"/>
        <v>1.5750000000000002</v>
      </c>
      <c r="D2377" s="12">
        <f t="shared" si="325"/>
        <v>-0.9</v>
      </c>
      <c r="E2377" s="12">
        <f t="shared" si="326"/>
        <v>11.117573375999999</v>
      </c>
      <c r="F2377" s="12">
        <f t="shared" si="327"/>
        <v>11.117573375999999</v>
      </c>
      <c r="G2377" s="12">
        <f t="shared" si="328"/>
        <v>14.569354097777778</v>
      </c>
      <c r="H2377" s="12">
        <f t="shared" si="329"/>
        <v>14.569354097777778</v>
      </c>
      <c r="I2377" s="1" t="str">
        <f t="shared" si="330"/>
        <v>No</v>
      </c>
      <c r="J2377" s="1" t="str">
        <f t="shared" si="331"/>
        <v>Si</v>
      </c>
      <c r="K2377" s="1" t="str">
        <f t="shared" si="332"/>
        <v/>
      </c>
    </row>
    <row r="2378" spans="1:11" x14ac:dyDescent="0.3">
      <c r="A2378" s="1">
        <v>46</v>
      </c>
      <c r="B2378" s="1">
        <v>14</v>
      </c>
      <c r="C2378" s="12">
        <f t="shared" si="324"/>
        <v>1.5750000000000002</v>
      </c>
      <c r="D2378" s="12">
        <f t="shared" si="325"/>
        <v>-0.82499999999999996</v>
      </c>
      <c r="E2378" s="12">
        <f t="shared" si="326"/>
        <v>11.115085283555555</v>
      </c>
      <c r="F2378" s="12">
        <f t="shared" si="327"/>
        <v>11.115085283555555</v>
      </c>
      <c r="G2378" s="12">
        <f t="shared" si="328"/>
        <v>14.565849742222222</v>
      </c>
      <c r="H2378" s="12">
        <f t="shared" si="329"/>
        <v>14.565849742222222</v>
      </c>
      <c r="I2378" s="1" t="str">
        <f t="shared" si="330"/>
        <v>No</v>
      </c>
      <c r="J2378" s="1" t="str">
        <f t="shared" si="331"/>
        <v>Si</v>
      </c>
      <c r="K2378" s="1" t="str">
        <f t="shared" si="332"/>
        <v/>
      </c>
    </row>
    <row r="2379" spans="1:11" x14ac:dyDescent="0.3">
      <c r="A2379" s="1">
        <v>46</v>
      </c>
      <c r="B2379" s="1">
        <v>15</v>
      </c>
      <c r="C2379" s="12">
        <f t="shared" si="324"/>
        <v>1.5750000000000002</v>
      </c>
      <c r="D2379" s="12">
        <f t="shared" si="325"/>
        <v>-0.75</v>
      </c>
      <c r="E2379" s="12">
        <f t="shared" si="326"/>
        <v>11.11259719111111</v>
      </c>
      <c r="F2379" s="12">
        <f t="shared" si="327"/>
        <v>11.11259719111111</v>
      </c>
      <c r="G2379" s="12">
        <f t="shared" si="328"/>
        <v>14.562345386666665</v>
      </c>
      <c r="H2379" s="12">
        <f t="shared" si="329"/>
        <v>14.562345386666665</v>
      </c>
      <c r="I2379" s="1" t="str">
        <f t="shared" si="330"/>
        <v>No</v>
      </c>
      <c r="J2379" s="1" t="str">
        <f t="shared" si="331"/>
        <v>Si</v>
      </c>
      <c r="K2379" s="1" t="str">
        <f t="shared" si="332"/>
        <v/>
      </c>
    </row>
    <row r="2380" spans="1:11" x14ac:dyDescent="0.3">
      <c r="A2380" s="1">
        <v>46</v>
      </c>
      <c r="B2380" s="1">
        <v>16</v>
      </c>
      <c r="C2380" s="12">
        <f t="shared" si="324"/>
        <v>1.5750000000000002</v>
      </c>
      <c r="D2380" s="12">
        <f t="shared" si="325"/>
        <v>-0.67500000000000004</v>
      </c>
      <c r="E2380" s="12">
        <f t="shared" si="326"/>
        <v>11.110109098666666</v>
      </c>
      <c r="F2380" s="12">
        <f t="shared" si="327"/>
        <v>11.110109098666666</v>
      </c>
      <c r="G2380" s="12">
        <f t="shared" si="328"/>
        <v>14.558841031111109</v>
      </c>
      <c r="H2380" s="12">
        <f t="shared" si="329"/>
        <v>14.558841031111109</v>
      </c>
      <c r="I2380" s="1" t="str">
        <f t="shared" si="330"/>
        <v>No</v>
      </c>
      <c r="J2380" s="1" t="str">
        <f t="shared" si="331"/>
        <v>Si</v>
      </c>
      <c r="K2380" s="1" t="str">
        <f t="shared" si="332"/>
        <v/>
      </c>
    </row>
    <row r="2381" spans="1:11" x14ac:dyDescent="0.3">
      <c r="A2381" s="1">
        <v>46</v>
      </c>
      <c r="B2381" s="1">
        <v>17</v>
      </c>
      <c r="C2381" s="12">
        <f t="shared" si="324"/>
        <v>1.5750000000000002</v>
      </c>
      <c r="D2381" s="12">
        <f t="shared" si="325"/>
        <v>-0.60000000000000009</v>
      </c>
      <c r="E2381" s="12">
        <f t="shared" si="326"/>
        <v>11.107621006222221</v>
      </c>
      <c r="F2381" s="12">
        <f t="shared" si="327"/>
        <v>11.107621006222221</v>
      </c>
      <c r="G2381" s="12">
        <f t="shared" si="328"/>
        <v>14.555336675555555</v>
      </c>
      <c r="H2381" s="12">
        <f t="shared" si="329"/>
        <v>14.555336675555555</v>
      </c>
      <c r="I2381" s="1" t="str">
        <f t="shared" si="330"/>
        <v>No</v>
      </c>
      <c r="J2381" s="1" t="str">
        <f t="shared" si="331"/>
        <v>Si</v>
      </c>
      <c r="K2381" s="1" t="str">
        <f t="shared" si="332"/>
        <v/>
      </c>
    </row>
    <row r="2382" spans="1:11" x14ac:dyDescent="0.3">
      <c r="A2382" s="1">
        <v>46</v>
      </c>
      <c r="B2382" s="1">
        <v>18</v>
      </c>
      <c r="C2382" s="12">
        <f t="shared" si="324"/>
        <v>1.5750000000000002</v>
      </c>
      <c r="D2382" s="12">
        <f t="shared" si="325"/>
        <v>-0.52499999999999991</v>
      </c>
      <c r="E2382" s="12">
        <f t="shared" si="326"/>
        <v>11.105132913777776</v>
      </c>
      <c r="F2382" s="12">
        <f t="shared" si="327"/>
        <v>11.105132913777776</v>
      </c>
      <c r="G2382" s="12">
        <f t="shared" si="328"/>
        <v>14.551832319999999</v>
      </c>
      <c r="H2382" s="12">
        <f t="shared" si="329"/>
        <v>14.551832319999999</v>
      </c>
      <c r="I2382" s="1" t="str">
        <f t="shared" si="330"/>
        <v>No</v>
      </c>
      <c r="J2382" s="1" t="str">
        <f t="shared" si="331"/>
        <v>Si</v>
      </c>
      <c r="K2382" s="1" t="str">
        <f t="shared" si="332"/>
        <v/>
      </c>
    </row>
    <row r="2383" spans="1:11" x14ac:dyDescent="0.3">
      <c r="A2383" s="1">
        <v>46</v>
      </c>
      <c r="B2383" s="1">
        <v>19</v>
      </c>
      <c r="C2383" s="12">
        <f t="shared" si="324"/>
        <v>1.5750000000000002</v>
      </c>
      <c r="D2383" s="12">
        <f t="shared" si="325"/>
        <v>-0.44999999999999996</v>
      </c>
      <c r="E2383" s="12">
        <f t="shared" si="326"/>
        <v>11.102644821333334</v>
      </c>
      <c r="F2383" s="12">
        <f t="shared" si="327"/>
        <v>11.102644821333334</v>
      </c>
      <c r="G2383" s="12">
        <f t="shared" si="328"/>
        <v>14.548327964444443</v>
      </c>
      <c r="H2383" s="12">
        <f t="shared" si="329"/>
        <v>14.548327964444443</v>
      </c>
      <c r="I2383" s="1" t="str">
        <f t="shared" si="330"/>
        <v>No</v>
      </c>
      <c r="J2383" s="1" t="str">
        <f t="shared" si="331"/>
        <v>Si</v>
      </c>
      <c r="K2383" s="1" t="str">
        <f t="shared" si="332"/>
        <v/>
      </c>
    </row>
    <row r="2384" spans="1:11" x14ac:dyDescent="0.3">
      <c r="A2384" s="1">
        <v>46</v>
      </c>
      <c r="B2384" s="1">
        <v>20</v>
      </c>
      <c r="C2384" s="12">
        <f t="shared" si="324"/>
        <v>1.5750000000000002</v>
      </c>
      <c r="D2384" s="12">
        <f t="shared" si="325"/>
        <v>-0.375</v>
      </c>
      <c r="E2384" s="12">
        <f t="shared" si="326"/>
        <v>11.100156728888889</v>
      </c>
      <c r="F2384" s="12">
        <f t="shared" si="327"/>
        <v>11.100156728888889</v>
      </c>
      <c r="G2384" s="12">
        <f t="shared" si="328"/>
        <v>14.544823608888889</v>
      </c>
      <c r="H2384" s="12">
        <f t="shared" si="329"/>
        <v>14.544823608888889</v>
      </c>
      <c r="I2384" s="1" t="str">
        <f t="shared" si="330"/>
        <v>No</v>
      </c>
      <c r="J2384" s="1" t="str">
        <f t="shared" si="331"/>
        <v>Si</v>
      </c>
      <c r="K2384" s="1" t="str">
        <f t="shared" si="332"/>
        <v/>
      </c>
    </row>
    <row r="2385" spans="1:11" x14ac:dyDescent="0.3">
      <c r="A2385" s="1">
        <v>46</v>
      </c>
      <c r="B2385" s="1">
        <v>21</v>
      </c>
      <c r="C2385" s="12">
        <f t="shared" si="324"/>
        <v>1.5750000000000002</v>
      </c>
      <c r="D2385" s="12">
        <f t="shared" si="325"/>
        <v>-0.30000000000000004</v>
      </c>
      <c r="E2385" s="12">
        <f t="shared" si="326"/>
        <v>11.097668636444444</v>
      </c>
      <c r="F2385" s="12">
        <f t="shared" si="327"/>
        <v>11.097668636444444</v>
      </c>
      <c r="G2385" s="12">
        <f t="shared" si="328"/>
        <v>14.541319253333333</v>
      </c>
      <c r="H2385" s="12">
        <f t="shared" si="329"/>
        <v>14.541319253333333</v>
      </c>
      <c r="I2385" s="1" t="str">
        <f t="shared" si="330"/>
        <v>No</v>
      </c>
      <c r="J2385" s="1" t="str">
        <f t="shared" si="331"/>
        <v>Si</v>
      </c>
      <c r="K2385" s="1" t="str">
        <f t="shared" si="332"/>
        <v/>
      </c>
    </row>
    <row r="2386" spans="1:11" x14ac:dyDescent="0.3">
      <c r="A2386" s="1">
        <v>46</v>
      </c>
      <c r="B2386" s="1">
        <v>22</v>
      </c>
      <c r="C2386" s="12">
        <f t="shared" ref="C2386:C2449" si="333">IF(OR(A2386&gt;inp_n_div_x,B2386&gt;inp_n_div_y),"",-inp_bx/2+A2386*inp_bx/inp_n_div_x)</f>
        <v>1.5750000000000002</v>
      </c>
      <c r="D2386" s="12">
        <f t="shared" ref="D2386:D2449" si="334">IF(C2386="","",-inp_by/2+B2386*inp_by/inp_n_div_y)</f>
        <v>-0.22500000000000009</v>
      </c>
      <c r="E2386" s="12">
        <f t="shared" ref="E2386:E2449" si="335">IF(C2386="","",res_srv_p_tot/geo_area+res_srv_mx_tot/geo_ix*D2386+res_srv_my_tot/geo_iy*C2386)</f>
        <v>11.095180544</v>
      </c>
      <c r="F2386" s="12">
        <f t="shared" ref="F2386:F2449" si="336">IF(E2386="","",MAX(0,E2386))</f>
        <v>11.095180544</v>
      </c>
      <c r="G2386" s="12">
        <f t="shared" ref="G2386:G2449" si="337">IF(C2386="","",res_u_p_tot/geo_area+res_u_mx_tot/geo_ix*D2386+res_u_my_tot/geo_iy*C2386)</f>
        <v>14.537814897777777</v>
      </c>
      <c r="H2386" s="12">
        <f t="shared" ref="H2386:H2449" si="338">IF(G2386="","",MAX(0,G2386))</f>
        <v>14.537814897777777</v>
      </c>
      <c r="I2386" s="1" t="str">
        <f t="shared" ref="I2386:I2449" si="339">IF(C2386="","",IF(AND(C2386&gt;=inp_xc-inp_cx/2,C2386&lt;=inp_xc+inp_cx/2,D2386&gt;=inp_yc-inp_cy/2,D2386&lt;=inp_yc+inp_cy/2),"Si","No"))</f>
        <v>No</v>
      </c>
      <c r="J2386" s="1" t="str">
        <f t="shared" ref="J2386:J2449" si="340">IF(C2386="","","Si")</f>
        <v>Si</v>
      </c>
      <c r="K2386" s="1" t="str">
        <f t="shared" ref="K2386:K2449" si="341">IF(OR(E2386&lt;0,G2386&lt;0),"Presion negativa","")</f>
        <v/>
      </c>
    </row>
    <row r="2387" spans="1:11" x14ac:dyDescent="0.3">
      <c r="A2387" s="1">
        <v>46</v>
      </c>
      <c r="B2387" s="1">
        <v>23</v>
      </c>
      <c r="C2387" s="12">
        <f t="shared" si="333"/>
        <v>1.5750000000000002</v>
      </c>
      <c r="D2387" s="12">
        <f t="shared" si="334"/>
        <v>-0.14999999999999991</v>
      </c>
      <c r="E2387" s="12">
        <f t="shared" si="335"/>
        <v>11.092692451555555</v>
      </c>
      <c r="F2387" s="12">
        <f t="shared" si="336"/>
        <v>11.092692451555555</v>
      </c>
      <c r="G2387" s="12">
        <f t="shared" si="337"/>
        <v>14.534310542222221</v>
      </c>
      <c r="H2387" s="12">
        <f t="shared" si="338"/>
        <v>14.534310542222221</v>
      </c>
      <c r="I2387" s="1" t="str">
        <f t="shared" si="339"/>
        <v>No</v>
      </c>
      <c r="J2387" s="1" t="str">
        <f t="shared" si="340"/>
        <v>Si</v>
      </c>
      <c r="K2387" s="1" t="str">
        <f t="shared" si="341"/>
        <v/>
      </c>
    </row>
    <row r="2388" spans="1:11" x14ac:dyDescent="0.3">
      <c r="A2388" s="1">
        <v>46</v>
      </c>
      <c r="B2388" s="1">
        <v>24</v>
      </c>
      <c r="C2388" s="12">
        <f t="shared" si="333"/>
        <v>1.5750000000000002</v>
      </c>
      <c r="D2388" s="12">
        <f t="shared" si="334"/>
        <v>-7.4999999999999956E-2</v>
      </c>
      <c r="E2388" s="12">
        <f t="shared" si="335"/>
        <v>11.090204359111111</v>
      </c>
      <c r="F2388" s="12">
        <f t="shared" si="336"/>
        <v>11.090204359111111</v>
      </c>
      <c r="G2388" s="12">
        <f t="shared" si="337"/>
        <v>14.530806186666666</v>
      </c>
      <c r="H2388" s="12">
        <f t="shared" si="338"/>
        <v>14.530806186666666</v>
      </c>
      <c r="I2388" s="1" t="str">
        <f t="shared" si="339"/>
        <v>No</v>
      </c>
      <c r="J2388" s="1" t="str">
        <f t="shared" si="340"/>
        <v>Si</v>
      </c>
      <c r="K2388" s="1" t="str">
        <f t="shared" si="341"/>
        <v/>
      </c>
    </row>
    <row r="2389" spans="1:11" x14ac:dyDescent="0.3">
      <c r="A2389" s="1">
        <v>46</v>
      </c>
      <c r="B2389" s="1">
        <v>25</v>
      </c>
      <c r="C2389" s="12">
        <f t="shared" si="333"/>
        <v>1.5750000000000002</v>
      </c>
      <c r="D2389" s="12">
        <f t="shared" si="334"/>
        <v>0</v>
      </c>
      <c r="E2389" s="12">
        <f t="shared" si="335"/>
        <v>11.087716266666666</v>
      </c>
      <c r="F2389" s="12">
        <f t="shared" si="336"/>
        <v>11.087716266666666</v>
      </c>
      <c r="G2389" s="12">
        <f t="shared" si="337"/>
        <v>14.52730183111111</v>
      </c>
      <c r="H2389" s="12">
        <f t="shared" si="338"/>
        <v>14.52730183111111</v>
      </c>
      <c r="I2389" s="1" t="str">
        <f t="shared" si="339"/>
        <v>No</v>
      </c>
      <c r="J2389" s="1" t="str">
        <f t="shared" si="340"/>
        <v>Si</v>
      </c>
      <c r="K2389" s="1" t="str">
        <f t="shared" si="341"/>
        <v/>
      </c>
    </row>
    <row r="2390" spans="1:11" x14ac:dyDescent="0.3">
      <c r="A2390" s="1">
        <v>46</v>
      </c>
      <c r="B2390" s="1">
        <v>26</v>
      </c>
      <c r="C2390" s="12">
        <f t="shared" si="333"/>
        <v>1.5750000000000002</v>
      </c>
      <c r="D2390" s="12">
        <f t="shared" si="334"/>
        <v>7.4999999999999956E-2</v>
      </c>
      <c r="E2390" s="12">
        <f t="shared" si="335"/>
        <v>11.085228174222221</v>
      </c>
      <c r="F2390" s="12">
        <f t="shared" si="336"/>
        <v>11.085228174222221</v>
      </c>
      <c r="G2390" s="12">
        <f t="shared" si="337"/>
        <v>14.523797475555554</v>
      </c>
      <c r="H2390" s="12">
        <f t="shared" si="338"/>
        <v>14.523797475555554</v>
      </c>
      <c r="I2390" s="1" t="str">
        <f t="shared" si="339"/>
        <v>No</v>
      </c>
      <c r="J2390" s="1" t="str">
        <f t="shared" si="340"/>
        <v>Si</v>
      </c>
      <c r="K2390" s="1" t="str">
        <f t="shared" si="341"/>
        <v/>
      </c>
    </row>
    <row r="2391" spans="1:11" x14ac:dyDescent="0.3">
      <c r="A2391" s="1">
        <v>46</v>
      </c>
      <c r="B2391" s="1">
        <v>27</v>
      </c>
      <c r="C2391" s="12">
        <f t="shared" si="333"/>
        <v>1.5750000000000002</v>
      </c>
      <c r="D2391" s="12">
        <f t="shared" si="334"/>
        <v>0.14999999999999991</v>
      </c>
      <c r="E2391" s="12">
        <f t="shared" si="335"/>
        <v>11.082740081777777</v>
      </c>
      <c r="F2391" s="12">
        <f t="shared" si="336"/>
        <v>11.082740081777777</v>
      </c>
      <c r="G2391" s="12">
        <f t="shared" si="337"/>
        <v>14.52029312</v>
      </c>
      <c r="H2391" s="12">
        <f t="shared" si="338"/>
        <v>14.52029312</v>
      </c>
      <c r="I2391" s="1" t="str">
        <f t="shared" si="339"/>
        <v>No</v>
      </c>
      <c r="J2391" s="1" t="str">
        <f t="shared" si="340"/>
        <v>Si</v>
      </c>
      <c r="K2391" s="1" t="str">
        <f t="shared" si="341"/>
        <v/>
      </c>
    </row>
    <row r="2392" spans="1:11" x14ac:dyDescent="0.3">
      <c r="A2392" s="1">
        <v>46</v>
      </c>
      <c r="B2392" s="1">
        <v>28</v>
      </c>
      <c r="C2392" s="12">
        <f t="shared" si="333"/>
        <v>1.5750000000000002</v>
      </c>
      <c r="D2392" s="12">
        <f t="shared" si="334"/>
        <v>0.22500000000000009</v>
      </c>
      <c r="E2392" s="12">
        <f t="shared" si="335"/>
        <v>11.080251989333332</v>
      </c>
      <c r="F2392" s="12">
        <f t="shared" si="336"/>
        <v>11.080251989333332</v>
      </c>
      <c r="G2392" s="12">
        <f t="shared" si="337"/>
        <v>14.516788764444444</v>
      </c>
      <c r="H2392" s="12">
        <f t="shared" si="338"/>
        <v>14.516788764444444</v>
      </c>
      <c r="I2392" s="1" t="str">
        <f t="shared" si="339"/>
        <v>No</v>
      </c>
      <c r="J2392" s="1" t="str">
        <f t="shared" si="340"/>
        <v>Si</v>
      </c>
      <c r="K2392" s="1" t="str">
        <f t="shared" si="341"/>
        <v/>
      </c>
    </row>
    <row r="2393" spans="1:11" x14ac:dyDescent="0.3">
      <c r="A2393" s="1">
        <v>46</v>
      </c>
      <c r="B2393" s="1">
        <v>29</v>
      </c>
      <c r="C2393" s="12">
        <f t="shared" si="333"/>
        <v>1.5750000000000002</v>
      </c>
      <c r="D2393" s="12">
        <f t="shared" si="334"/>
        <v>0.29999999999999982</v>
      </c>
      <c r="E2393" s="12">
        <f t="shared" si="335"/>
        <v>11.077763896888888</v>
      </c>
      <c r="F2393" s="12">
        <f t="shared" si="336"/>
        <v>11.077763896888888</v>
      </c>
      <c r="G2393" s="12">
        <f t="shared" si="337"/>
        <v>14.513284408888888</v>
      </c>
      <c r="H2393" s="12">
        <f t="shared" si="338"/>
        <v>14.513284408888888</v>
      </c>
      <c r="I2393" s="1" t="str">
        <f t="shared" si="339"/>
        <v>No</v>
      </c>
      <c r="J2393" s="1" t="str">
        <f t="shared" si="340"/>
        <v>Si</v>
      </c>
      <c r="K2393" s="1" t="str">
        <f t="shared" si="341"/>
        <v/>
      </c>
    </row>
    <row r="2394" spans="1:11" x14ac:dyDescent="0.3">
      <c r="A2394" s="1">
        <v>46</v>
      </c>
      <c r="B2394" s="1">
        <v>30</v>
      </c>
      <c r="C2394" s="12">
        <f t="shared" si="333"/>
        <v>1.5750000000000002</v>
      </c>
      <c r="D2394" s="12">
        <f t="shared" si="334"/>
        <v>0.375</v>
      </c>
      <c r="E2394" s="12">
        <f t="shared" si="335"/>
        <v>11.075275804444443</v>
      </c>
      <c r="F2394" s="12">
        <f t="shared" si="336"/>
        <v>11.075275804444443</v>
      </c>
      <c r="G2394" s="12">
        <f t="shared" si="337"/>
        <v>14.509780053333332</v>
      </c>
      <c r="H2394" s="12">
        <f t="shared" si="338"/>
        <v>14.509780053333332</v>
      </c>
      <c r="I2394" s="1" t="str">
        <f t="shared" si="339"/>
        <v>No</v>
      </c>
      <c r="J2394" s="1" t="str">
        <f t="shared" si="340"/>
        <v>Si</v>
      </c>
      <c r="K2394" s="1" t="str">
        <f t="shared" si="341"/>
        <v/>
      </c>
    </row>
    <row r="2395" spans="1:11" x14ac:dyDescent="0.3">
      <c r="A2395" s="1">
        <v>46</v>
      </c>
      <c r="B2395" s="1">
        <v>31</v>
      </c>
      <c r="C2395" s="12">
        <f t="shared" si="333"/>
        <v>1.5750000000000002</v>
      </c>
      <c r="D2395" s="12">
        <f t="shared" si="334"/>
        <v>0.45000000000000018</v>
      </c>
      <c r="E2395" s="12">
        <f t="shared" si="335"/>
        <v>11.072787711999998</v>
      </c>
      <c r="F2395" s="12">
        <f t="shared" si="336"/>
        <v>11.072787711999998</v>
      </c>
      <c r="G2395" s="12">
        <f t="shared" si="337"/>
        <v>14.506275697777777</v>
      </c>
      <c r="H2395" s="12">
        <f t="shared" si="338"/>
        <v>14.506275697777777</v>
      </c>
      <c r="I2395" s="1" t="str">
        <f t="shared" si="339"/>
        <v>No</v>
      </c>
      <c r="J2395" s="1" t="str">
        <f t="shared" si="340"/>
        <v>Si</v>
      </c>
      <c r="K2395" s="1" t="str">
        <f t="shared" si="341"/>
        <v/>
      </c>
    </row>
    <row r="2396" spans="1:11" x14ac:dyDescent="0.3">
      <c r="A2396" s="1">
        <v>46</v>
      </c>
      <c r="B2396" s="1">
        <v>32</v>
      </c>
      <c r="C2396" s="12">
        <f t="shared" si="333"/>
        <v>1.5750000000000002</v>
      </c>
      <c r="D2396" s="12">
        <f t="shared" si="334"/>
        <v>0.52499999999999991</v>
      </c>
      <c r="E2396" s="12">
        <f t="shared" si="335"/>
        <v>11.070299619555556</v>
      </c>
      <c r="F2396" s="12">
        <f t="shared" si="336"/>
        <v>11.070299619555556</v>
      </c>
      <c r="G2396" s="12">
        <f t="shared" si="337"/>
        <v>14.502771342222221</v>
      </c>
      <c r="H2396" s="12">
        <f t="shared" si="338"/>
        <v>14.502771342222221</v>
      </c>
      <c r="I2396" s="1" t="str">
        <f t="shared" si="339"/>
        <v>No</v>
      </c>
      <c r="J2396" s="1" t="str">
        <f t="shared" si="340"/>
        <v>Si</v>
      </c>
      <c r="K2396" s="1" t="str">
        <f t="shared" si="341"/>
        <v/>
      </c>
    </row>
    <row r="2397" spans="1:11" x14ac:dyDescent="0.3">
      <c r="A2397" s="1">
        <v>46</v>
      </c>
      <c r="B2397" s="1">
        <v>33</v>
      </c>
      <c r="C2397" s="12">
        <f t="shared" si="333"/>
        <v>1.5750000000000002</v>
      </c>
      <c r="D2397" s="12">
        <f t="shared" si="334"/>
        <v>0.60000000000000009</v>
      </c>
      <c r="E2397" s="12">
        <f t="shared" si="335"/>
        <v>11.067811527111111</v>
      </c>
      <c r="F2397" s="12">
        <f t="shared" si="336"/>
        <v>11.067811527111111</v>
      </c>
      <c r="G2397" s="12">
        <f t="shared" si="337"/>
        <v>14.499266986666665</v>
      </c>
      <c r="H2397" s="12">
        <f t="shared" si="338"/>
        <v>14.499266986666665</v>
      </c>
      <c r="I2397" s="1" t="str">
        <f t="shared" si="339"/>
        <v>No</v>
      </c>
      <c r="J2397" s="1" t="str">
        <f t="shared" si="340"/>
        <v>Si</v>
      </c>
      <c r="K2397" s="1" t="str">
        <f t="shared" si="341"/>
        <v/>
      </c>
    </row>
    <row r="2398" spans="1:11" x14ac:dyDescent="0.3">
      <c r="A2398" s="1">
        <v>46</v>
      </c>
      <c r="B2398" s="1">
        <v>34</v>
      </c>
      <c r="C2398" s="12">
        <f t="shared" si="333"/>
        <v>1.5750000000000002</v>
      </c>
      <c r="D2398" s="12">
        <f t="shared" si="334"/>
        <v>0.67499999999999982</v>
      </c>
      <c r="E2398" s="12">
        <f t="shared" si="335"/>
        <v>11.065323434666666</v>
      </c>
      <c r="F2398" s="12">
        <f t="shared" si="336"/>
        <v>11.065323434666666</v>
      </c>
      <c r="G2398" s="12">
        <f t="shared" si="337"/>
        <v>14.495762631111111</v>
      </c>
      <c r="H2398" s="12">
        <f t="shared" si="338"/>
        <v>14.495762631111111</v>
      </c>
      <c r="I2398" s="1" t="str">
        <f t="shared" si="339"/>
        <v>No</v>
      </c>
      <c r="J2398" s="1" t="str">
        <f t="shared" si="340"/>
        <v>Si</v>
      </c>
      <c r="K2398" s="1" t="str">
        <f t="shared" si="341"/>
        <v/>
      </c>
    </row>
    <row r="2399" spans="1:11" x14ac:dyDescent="0.3">
      <c r="A2399" s="1">
        <v>46</v>
      </c>
      <c r="B2399" s="1">
        <v>35</v>
      </c>
      <c r="C2399" s="12">
        <f t="shared" si="333"/>
        <v>1.5750000000000002</v>
      </c>
      <c r="D2399" s="12">
        <f t="shared" si="334"/>
        <v>0.75</v>
      </c>
      <c r="E2399" s="12">
        <f t="shared" si="335"/>
        <v>11.062835342222222</v>
      </c>
      <c r="F2399" s="12">
        <f t="shared" si="336"/>
        <v>11.062835342222222</v>
      </c>
      <c r="G2399" s="12">
        <f t="shared" si="337"/>
        <v>14.492258275555555</v>
      </c>
      <c r="H2399" s="12">
        <f t="shared" si="338"/>
        <v>14.492258275555555</v>
      </c>
      <c r="I2399" s="1" t="str">
        <f t="shared" si="339"/>
        <v>No</v>
      </c>
      <c r="J2399" s="1" t="str">
        <f t="shared" si="340"/>
        <v>Si</v>
      </c>
      <c r="K2399" s="1" t="str">
        <f t="shared" si="341"/>
        <v/>
      </c>
    </row>
    <row r="2400" spans="1:11" x14ac:dyDescent="0.3">
      <c r="A2400" s="1">
        <v>46</v>
      </c>
      <c r="B2400" s="1">
        <v>36</v>
      </c>
      <c r="C2400" s="12">
        <f t="shared" si="333"/>
        <v>1.5750000000000002</v>
      </c>
      <c r="D2400" s="12">
        <f t="shared" si="334"/>
        <v>0.82500000000000018</v>
      </c>
      <c r="E2400" s="12">
        <f t="shared" si="335"/>
        <v>11.060347249777777</v>
      </c>
      <c r="F2400" s="12">
        <f t="shared" si="336"/>
        <v>11.060347249777777</v>
      </c>
      <c r="G2400" s="12">
        <f t="shared" si="337"/>
        <v>14.488753919999999</v>
      </c>
      <c r="H2400" s="12">
        <f t="shared" si="338"/>
        <v>14.488753919999999</v>
      </c>
      <c r="I2400" s="1" t="str">
        <f t="shared" si="339"/>
        <v>No</v>
      </c>
      <c r="J2400" s="1" t="str">
        <f t="shared" si="340"/>
        <v>Si</v>
      </c>
      <c r="K2400" s="1" t="str">
        <f t="shared" si="341"/>
        <v/>
      </c>
    </row>
    <row r="2401" spans="1:11" x14ac:dyDescent="0.3">
      <c r="A2401" s="1">
        <v>46</v>
      </c>
      <c r="B2401" s="1">
        <v>37</v>
      </c>
      <c r="C2401" s="12">
        <f t="shared" si="333"/>
        <v>1.5750000000000002</v>
      </c>
      <c r="D2401" s="12">
        <f t="shared" si="334"/>
        <v>0.89999999999999991</v>
      </c>
      <c r="E2401" s="12">
        <f t="shared" si="335"/>
        <v>11.057859157333333</v>
      </c>
      <c r="F2401" s="12">
        <f t="shared" si="336"/>
        <v>11.057859157333333</v>
      </c>
      <c r="G2401" s="12">
        <f t="shared" si="337"/>
        <v>14.485249564444443</v>
      </c>
      <c r="H2401" s="12">
        <f t="shared" si="338"/>
        <v>14.485249564444443</v>
      </c>
      <c r="I2401" s="1" t="str">
        <f t="shared" si="339"/>
        <v>No</v>
      </c>
      <c r="J2401" s="1" t="str">
        <f t="shared" si="340"/>
        <v>Si</v>
      </c>
      <c r="K2401" s="1" t="str">
        <f t="shared" si="341"/>
        <v/>
      </c>
    </row>
    <row r="2402" spans="1:11" x14ac:dyDescent="0.3">
      <c r="A2402" s="1">
        <v>46</v>
      </c>
      <c r="B2402" s="1">
        <v>38</v>
      </c>
      <c r="C2402" s="12">
        <f t="shared" si="333"/>
        <v>1.5750000000000002</v>
      </c>
      <c r="D2402" s="12">
        <f t="shared" si="334"/>
        <v>0.97500000000000009</v>
      </c>
      <c r="E2402" s="12">
        <f t="shared" si="335"/>
        <v>11.055371064888888</v>
      </c>
      <c r="F2402" s="12">
        <f t="shared" si="336"/>
        <v>11.055371064888888</v>
      </c>
      <c r="G2402" s="12">
        <f t="shared" si="337"/>
        <v>14.481745208888888</v>
      </c>
      <c r="H2402" s="12">
        <f t="shared" si="338"/>
        <v>14.481745208888888</v>
      </c>
      <c r="I2402" s="1" t="str">
        <f t="shared" si="339"/>
        <v>No</v>
      </c>
      <c r="J2402" s="1" t="str">
        <f t="shared" si="340"/>
        <v>Si</v>
      </c>
      <c r="K2402" s="1" t="str">
        <f t="shared" si="341"/>
        <v/>
      </c>
    </row>
    <row r="2403" spans="1:11" x14ac:dyDescent="0.3">
      <c r="A2403" s="1">
        <v>46</v>
      </c>
      <c r="B2403" s="1">
        <v>39</v>
      </c>
      <c r="C2403" s="12">
        <f t="shared" si="333"/>
        <v>1.5750000000000002</v>
      </c>
      <c r="D2403" s="12">
        <f t="shared" si="334"/>
        <v>1.0499999999999998</v>
      </c>
      <c r="E2403" s="12">
        <f t="shared" si="335"/>
        <v>11.052882972444444</v>
      </c>
      <c r="F2403" s="12">
        <f t="shared" si="336"/>
        <v>11.052882972444444</v>
      </c>
      <c r="G2403" s="12">
        <f t="shared" si="337"/>
        <v>14.478240853333332</v>
      </c>
      <c r="H2403" s="12">
        <f t="shared" si="338"/>
        <v>14.478240853333332</v>
      </c>
      <c r="I2403" s="1" t="str">
        <f t="shared" si="339"/>
        <v>No</v>
      </c>
      <c r="J2403" s="1" t="str">
        <f t="shared" si="340"/>
        <v>Si</v>
      </c>
      <c r="K2403" s="1" t="str">
        <f t="shared" si="341"/>
        <v/>
      </c>
    </row>
    <row r="2404" spans="1:11" x14ac:dyDescent="0.3">
      <c r="A2404" s="1">
        <v>46</v>
      </c>
      <c r="B2404" s="1">
        <v>40</v>
      </c>
      <c r="C2404" s="12">
        <f t="shared" si="333"/>
        <v>1.5750000000000002</v>
      </c>
      <c r="D2404" s="12">
        <f t="shared" si="334"/>
        <v>1.125</v>
      </c>
      <c r="E2404" s="12">
        <f t="shared" si="335"/>
        <v>11.050394879999999</v>
      </c>
      <c r="F2404" s="12">
        <f t="shared" si="336"/>
        <v>11.050394879999999</v>
      </c>
      <c r="G2404" s="12">
        <f t="shared" si="337"/>
        <v>14.474736497777776</v>
      </c>
      <c r="H2404" s="12">
        <f t="shared" si="338"/>
        <v>14.474736497777776</v>
      </c>
      <c r="I2404" s="1" t="str">
        <f t="shared" si="339"/>
        <v>No</v>
      </c>
      <c r="J2404" s="1" t="str">
        <f t="shared" si="340"/>
        <v>Si</v>
      </c>
      <c r="K2404" s="1" t="str">
        <f t="shared" si="341"/>
        <v/>
      </c>
    </row>
    <row r="2405" spans="1:11" x14ac:dyDescent="0.3">
      <c r="A2405" s="1">
        <v>46</v>
      </c>
      <c r="B2405" s="1">
        <v>41</v>
      </c>
      <c r="C2405" s="12">
        <f t="shared" si="333"/>
        <v>1.5750000000000002</v>
      </c>
      <c r="D2405" s="12">
        <f t="shared" si="334"/>
        <v>1.2000000000000002</v>
      </c>
      <c r="E2405" s="12">
        <f t="shared" si="335"/>
        <v>11.047906787555554</v>
      </c>
      <c r="F2405" s="12">
        <f t="shared" si="336"/>
        <v>11.047906787555554</v>
      </c>
      <c r="G2405" s="12">
        <f t="shared" si="337"/>
        <v>14.471232142222222</v>
      </c>
      <c r="H2405" s="12">
        <f t="shared" si="338"/>
        <v>14.471232142222222</v>
      </c>
      <c r="I2405" s="1" t="str">
        <f t="shared" si="339"/>
        <v>No</v>
      </c>
      <c r="J2405" s="1" t="str">
        <f t="shared" si="340"/>
        <v>Si</v>
      </c>
      <c r="K2405" s="1" t="str">
        <f t="shared" si="341"/>
        <v/>
      </c>
    </row>
    <row r="2406" spans="1:11" x14ac:dyDescent="0.3">
      <c r="A2406" s="1">
        <v>46</v>
      </c>
      <c r="B2406" s="1">
        <v>42</v>
      </c>
      <c r="C2406" s="12">
        <f t="shared" si="333"/>
        <v>1.5750000000000002</v>
      </c>
      <c r="D2406" s="12">
        <f t="shared" si="334"/>
        <v>1.2749999999999999</v>
      </c>
      <c r="E2406" s="12">
        <f t="shared" si="335"/>
        <v>11.04541869511111</v>
      </c>
      <c r="F2406" s="12">
        <f t="shared" si="336"/>
        <v>11.04541869511111</v>
      </c>
      <c r="G2406" s="12">
        <f t="shared" si="337"/>
        <v>14.467727786666666</v>
      </c>
      <c r="H2406" s="12">
        <f t="shared" si="338"/>
        <v>14.467727786666666</v>
      </c>
      <c r="I2406" s="1" t="str">
        <f t="shared" si="339"/>
        <v>No</v>
      </c>
      <c r="J2406" s="1" t="str">
        <f t="shared" si="340"/>
        <v>Si</v>
      </c>
      <c r="K2406" s="1" t="str">
        <f t="shared" si="341"/>
        <v/>
      </c>
    </row>
    <row r="2407" spans="1:11" x14ac:dyDescent="0.3">
      <c r="A2407" s="1">
        <v>46</v>
      </c>
      <c r="B2407" s="1">
        <v>43</v>
      </c>
      <c r="C2407" s="12">
        <f t="shared" si="333"/>
        <v>1.5750000000000002</v>
      </c>
      <c r="D2407" s="12">
        <f t="shared" si="334"/>
        <v>1.35</v>
      </c>
      <c r="E2407" s="12">
        <f t="shared" si="335"/>
        <v>11.042930602666665</v>
      </c>
      <c r="F2407" s="12">
        <f t="shared" si="336"/>
        <v>11.042930602666665</v>
      </c>
      <c r="G2407" s="12">
        <f t="shared" si="337"/>
        <v>14.46422343111111</v>
      </c>
      <c r="H2407" s="12">
        <f t="shared" si="338"/>
        <v>14.46422343111111</v>
      </c>
      <c r="I2407" s="1" t="str">
        <f t="shared" si="339"/>
        <v>No</v>
      </c>
      <c r="J2407" s="1" t="str">
        <f t="shared" si="340"/>
        <v>Si</v>
      </c>
      <c r="K2407" s="1" t="str">
        <f t="shared" si="341"/>
        <v/>
      </c>
    </row>
    <row r="2408" spans="1:11" x14ac:dyDescent="0.3">
      <c r="A2408" s="1">
        <v>46</v>
      </c>
      <c r="B2408" s="1">
        <v>44</v>
      </c>
      <c r="C2408" s="12">
        <f t="shared" si="333"/>
        <v>1.5750000000000002</v>
      </c>
      <c r="D2408" s="12">
        <f t="shared" si="334"/>
        <v>1.4249999999999998</v>
      </c>
      <c r="E2408" s="12">
        <f t="shared" si="335"/>
        <v>11.040442510222222</v>
      </c>
      <c r="F2408" s="12">
        <f t="shared" si="336"/>
        <v>11.040442510222222</v>
      </c>
      <c r="G2408" s="12">
        <f t="shared" si="337"/>
        <v>14.460719075555554</v>
      </c>
      <c r="H2408" s="12">
        <f t="shared" si="338"/>
        <v>14.460719075555554</v>
      </c>
      <c r="I2408" s="1" t="str">
        <f t="shared" si="339"/>
        <v>No</v>
      </c>
      <c r="J2408" s="1" t="str">
        <f t="shared" si="340"/>
        <v>Si</v>
      </c>
      <c r="K2408" s="1" t="str">
        <f t="shared" si="341"/>
        <v/>
      </c>
    </row>
    <row r="2409" spans="1:11" x14ac:dyDescent="0.3">
      <c r="A2409" s="1">
        <v>46</v>
      </c>
      <c r="B2409" s="1">
        <v>45</v>
      </c>
      <c r="C2409" s="12">
        <f t="shared" si="333"/>
        <v>1.5750000000000002</v>
      </c>
      <c r="D2409" s="12">
        <f t="shared" si="334"/>
        <v>1.5</v>
      </c>
      <c r="E2409" s="12">
        <f t="shared" si="335"/>
        <v>11.037954417777778</v>
      </c>
      <c r="F2409" s="12">
        <f t="shared" si="336"/>
        <v>11.037954417777778</v>
      </c>
      <c r="G2409" s="12">
        <f t="shared" si="337"/>
        <v>14.45721472</v>
      </c>
      <c r="H2409" s="12">
        <f t="shared" si="338"/>
        <v>14.45721472</v>
      </c>
      <c r="I2409" s="1" t="str">
        <f t="shared" si="339"/>
        <v>No</v>
      </c>
      <c r="J2409" s="1" t="str">
        <f t="shared" si="340"/>
        <v>Si</v>
      </c>
      <c r="K2409" s="1" t="str">
        <f t="shared" si="341"/>
        <v/>
      </c>
    </row>
    <row r="2410" spans="1:11" x14ac:dyDescent="0.3">
      <c r="A2410" s="1">
        <v>46</v>
      </c>
      <c r="B2410" s="1">
        <v>46</v>
      </c>
      <c r="C2410" s="12">
        <f t="shared" si="333"/>
        <v>1.5750000000000002</v>
      </c>
      <c r="D2410" s="12">
        <f t="shared" si="334"/>
        <v>1.5750000000000002</v>
      </c>
      <c r="E2410" s="12">
        <f t="shared" si="335"/>
        <v>11.035466325333333</v>
      </c>
      <c r="F2410" s="12">
        <f t="shared" si="336"/>
        <v>11.035466325333333</v>
      </c>
      <c r="G2410" s="12">
        <f t="shared" si="337"/>
        <v>14.453710364444444</v>
      </c>
      <c r="H2410" s="12">
        <f t="shared" si="338"/>
        <v>14.453710364444444</v>
      </c>
      <c r="I2410" s="1" t="str">
        <f t="shared" si="339"/>
        <v>No</v>
      </c>
      <c r="J2410" s="1" t="str">
        <f t="shared" si="340"/>
        <v>Si</v>
      </c>
      <c r="K2410" s="1" t="str">
        <f t="shared" si="341"/>
        <v/>
      </c>
    </row>
    <row r="2411" spans="1:11" x14ac:dyDescent="0.3">
      <c r="A2411" s="1">
        <v>46</v>
      </c>
      <c r="B2411" s="1">
        <v>47</v>
      </c>
      <c r="C2411" s="12">
        <f t="shared" si="333"/>
        <v>1.5750000000000002</v>
      </c>
      <c r="D2411" s="12">
        <f t="shared" si="334"/>
        <v>1.65</v>
      </c>
      <c r="E2411" s="12">
        <f t="shared" si="335"/>
        <v>11.032978232888889</v>
      </c>
      <c r="F2411" s="12">
        <f t="shared" si="336"/>
        <v>11.032978232888889</v>
      </c>
      <c r="G2411" s="12">
        <f t="shared" si="337"/>
        <v>14.450206008888888</v>
      </c>
      <c r="H2411" s="12">
        <f t="shared" si="338"/>
        <v>14.450206008888888</v>
      </c>
      <c r="I2411" s="1" t="str">
        <f t="shared" si="339"/>
        <v>No</v>
      </c>
      <c r="J2411" s="1" t="str">
        <f t="shared" si="340"/>
        <v>Si</v>
      </c>
      <c r="K2411" s="1" t="str">
        <f t="shared" si="341"/>
        <v/>
      </c>
    </row>
    <row r="2412" spans="1:11" x14ac:dyDescent="0.3">
      <c r="A2412" s="1">
        <v>46</v>
      </c>
      <c r="B2412" s="1">
        <v>48</v>
      </c>
      <c r="C2412" s="12">
        <f t="shared" si="333"/>
        <v>1.5750000000000002</v>
      </c>
      <c r="D2412" s="12">
        <f t="shared" si="334"/>
        <v>1.7250000000000001</v>
      </c>
      <c r="E2412" s="12">
        <f t="shared" si="335"/>
        <v>11.030490140444444</v>
      </c>
      <c r="F2412" s="12">
        <f t="shared" si="336"/>
        <v>11.030490140444444</v>
      </c>
      <c r="G2412" s="12">
        <f t="shared" si="337"/>
        <v>14.446701653333333</v>
      </c>
      <c r="H2412" s="12">
        <f t="shared" si="338"/>
        <v>14.446701653333333</v>
      </c>
      <c r="I2412" s="1" t="str">
        <f t="shared" si="339"/>
        <v>No</v>
      </c>
      <c r="J2412" s="1" t="str">
        <f t="shared" si="340"/>
        <v>Si</v>
      </c>
      <c r="K2412" s="1" t="str">
        <f t="shared" si="341"/>
        <v/>
      </c>
    </row>
    <row r="2413" spans="1:11" x14ac:dyDescent="0.3">
      <c r="A2413" s="1">
        <v>46</v>
      </c>
      <c r="B2413" s="1">
        <v>49</v>
      </c>
      <c r="C2413" s="12">
        <f t="shared" si="333"/>
        <v>1.5750000000000002</v>
      </c>
      <c r="D2413" s="12">
        <f t="shared" si="334"/>
        <v>1.7999999999999998</v>
      </c>
      <c r="E2413" s="12">
        <f t="shared" si="335"/>
        <v>11.028002047999999</v>
      </c>
      <c r="F2413" s="12">
        <f t="shared" si="336"/>
        <v>11.028002047999999</v>
      </c>
      <c r="G2413" s="12">
        <f t="shared" si="337"/>
        <v>14.443197297777777</v>
      </c>
      <c r="H2413" s="12">
        <f t="shared" si="338"/>
        <v>14.443197297777777</v>
      </c>
      <c r="I2413" s="1" t="str">
        <f t="shared" si="339"/>
        <v>No</v>
      </c>
      <c r="J2413" s="1" t="str">
        <f t="shared" si="340"/>
        <v>Si</v>
      </c>
      <c r="K2413" s="1" t="str">
        <f t="shared" si="341"/>
        <v/>
      </c>
    </row>
    <row r="2414" spans="1:11" x14ac:dyDescent="0.3">
      <c r="A2414" s="1">
        <v>46</v>
      </c>
      <c r="B2414" s="1">
        <v>50</v>
      </c>
      <c r="C2414" s="12">
        <f t="shared" si="333"/>
        <v>1.5750000000000002</v>
      </c>
      <c r="D2414" s="12">
        <f t="shared" si="334"/>
        <v>1.875</v>
      </c>
      <c r="E2414" s="12">
        <f t="shared" si="335"/>
        <v>11.025513955555555</v>
      </c>
      <c r="F2414" s="12">
        <f t="shared" si="336"/>
        <v>11.025513955555555</v>
      </c>
      <c r="G2414" s="12">
        <f t="shared" si="337"/>
        <v>14.439692942222221</v>
      </c>
      <c r="H2414" s="12">
        <f t="shared" si="338"/>
        <v>14.439692942222221</v>
      </c>
      <c r="I2414" s="1" t="str">
        <f t="shared" si="339"/>
        <v>No</v>
      </c>
      <c r="J2414" s="1" t="str">
        <f t="shared" si="340"/>
        <v>Si</v>
      </c>
      <c r="K2414" s="1" t="str">
        <f t="shared" si="341"/>
        <v/>
      </c>
    </row>
    <row r="2415" spans="1:11" x14ac:dyDescent="0.3">
      <c r="A2415" s="1">
        <v>47</v>
      </c>
      <c r="B2415" s="1">
        <v>0</v>
      </c>
      <c r="C2415" s="12">
        <f t="shared" si="333"/>
        <v>1.65</v>
      </c>
      <c r="D2415" s="12">
        <f t="shared" si="334"/>
        <v>-1.875</v>
      </c>
      <c r="E2415" s="12">
        <f t="shared" si="335"/>
        <v>11.150612622222221</v>
      </c>
      <c r="F2415" s="12">
        <f t="shared" si="336"/>
        <v>11.150612622222221</v>
      </c>
      <c r="G2415" s="12">
        <f t="shared" si="337"/>
        <v>14.615948373333332</v>
      </c>
      <c r="H2415" s="12">
        <f t="shared" si="338"/>
        <v>14.615948373333332</v>
      </c>
      <c r="I2415" s="1" t="str">
        <f t="shared" si="339"/>
        <v>No</v>
      </c>
      <c r="J2415" s="1" t="str">
        <f t="shared" si="340"/>
        <v>Si</v>
      </c>
      <c r="K2415" s="1" t="str">
        <f t="shared" si="341"/>
        <v/>
      </c>
    </row>
    <row r="2416" spans="1:11" x14ac:dyDescent="0.3">
      <c r="A2416" s="1">
        <v>47</v>
      </c>
      <c r="B2416" s="1">
        <v>1</v>
      </c>
      <c r="C2416" s="12">
        <f t="shared" si="333"/>
        <v>1.65</v>
      </c>
      <c r="D2416" s="12">
        <f t="shared" si="334"/>
        <v>-1.8</v>
      </c>
      <c r="E2416" s="12">
        <f t="shared" si="335"/>
        <v>11.148124529777776</v>
      </c>
      <c r="F2416" s="12">
        <f t="shared" si="336"/>
        <v>11.148124529777776</v>
      </c>
      <c r="G2416" s="12">
        <f t="shared" si="337"/>
        <v>14.612444017777776</v>
      </c>
      <c r="H2416" s="12">
        <f t="shared" si="338"/>
        <v>14.612444017777776</v>
      </c>
      <c r="I2416" s="1" t="str">
        <f t="shared" si="339"/>
        <v>No</v>
      </c>
      <c r="J2416" s="1" t="str">
        <f t="shared" si="340"/>
        <v>Si</v>
      </c>
      <c r="K2416" s="1" t="str">
        <f t="shared" si="341"/>
        <v/>
      </c>
    </row>
    <row r="2417" spans="1:11" x14ac:dyDescent="0.3">
      <c r="A2417" s="1">
        <v>47</v>
      </c>
      <c r="B2417" s="1">
        <v>2</v>
      </c>
      <c r="C2417" s="12">
        <f t="shared" si="333"/>
        <v>1.65</v>
      </c>
      <c r="D2417" s="12">
        <f t="shared" si="334"/>
        <v>-1.7250000000000001</v>
      </c>
      <c r="E2417" s="12">
        <f t="shared" si="335"/>
        <v>11.145636437333332</v>
      </c>
      <c r="F2417" s="12">
        <f t="shared" si="336"/>
        <v>11.145636437333332</v>
      </c>
      <c r="G2417" s="12">
        <f t="shared" si="337"/>
        <v>14.60893966222222</v>
      </c>
      <c r="H2417" s="12">
        <f t="shared" si="338"/>
        <v>14.60893966222222</v>
      </c>
      <c r="I2417" s="1" t="str">
        <f t="shared" si="339"/>
        <v>No</v>
      </c>
      <c r="J2417" s="1" t="str">
        <f t="shared" si="340"/>
        <v>Si</v>
      </c>
      <c r="K2417" s="1" t="str">
        <f t="shared" si="341"/>
        <v/>
      </c>
    </row>
    <row r="2418" spans="1:11" x14ac:dyDescent="0.3">
      <c r="A2418" s="1">
        <v>47</v>
      </c>
      <c r="B2418" s="1">
        <v>3</v>
      </c>
      <c r="C2418" s="12">
        <f t="shared" si="333"/>
        <v>1.65</v>
      </c>
      <c r="D2418" s="12">
        <f t="shared" si="334"/>
        <v>-1.65</v>
      </c>
      <c r="E2418" s="12">
        <f t="shared" si="335"/>
        <v>11.143148344888887</v>
      </c>
      <c r="F2418" s="12">
        <f t="shared" si="336"/>
        <v>11.143148344888887</v>
      </c>
      <c r="G2418" s="12">
        <f t="shared" si="337"/>
        <v>14.605435306666665</v>
      </c>
      <c r="H2418" s="12">
        <f t="shared" si="338"/>
        <v>14.605435306666665</v>
      </c>
      <c r="I2418" s="1" t="str">
        <f t="shared" si="339"/>
        <v>No</v>
      </c>
      <c r="J2418" s="1" t="str">
        <f t="shared" si="340"/>
        <v>Si</v>
      </c>
      <c r="K2418" s="1" t="str">
        <f t="shared" si="341"/>
        <v/>
      </c>
    </row>
    <row r="2419" spans="1:11" x14ac:dyDescent="0.3">
      <c r="A2419" s="1">
        <v>47</v>
      </c>
      <c r="B2419" s="1">
        <v>4</v>
      </c>
      <c r="C2419" s="12">
        <f t="shared" si="333"/>
        <v>1.65</v>
      </c>
      <c r="D2419" s="12">
        <f t="shared" si="334"/>
        <v>-1.575</v>
      </c>
      <c r="E2419" s="12">
        <f t="shared" si="335"/>
        <v>11.140660252444443</v>
      </c>
      <c r="F2419" s="12">
        <f t="shared" si="336"/>
        <v>11.140660252444443</v>
      </c>
      <c r="G2419" s="12">
        <f t="shared" si="337"/>
        <v>14.601930951111109</v>
      </c>
      <c r="H2419" s="12">
        <f t="shared" si="338"/>
        <v>14.601930951111109</v>
      </c>
      <c r="I2419" s="1" t="str">
        <f t="shared" si="339"/>
        <v>No</v>
      </c>
      <c r="J2419" s="1" t="str">
        <f t="shared" si="340"/>
        <v>Si</v>
      </c>
      <c r="K2419" s="1" t="str">
        <f t="shared" si="341"/>
        <v/>
      </c>
    </row>
    <row r="2420" spans="1:11" x14ac:dyDescent="0.3">
      <c r="A2420" s="1">
        <v>47</v>
      </c>
      <c r="B2420" s="1">
        <v>5</v>
      </c>
      <c r="C2420" s="12">
        <f t="shared" si="333"/>
        <v>1.65</v>
      </c>
      <c r="D2420" s="12">
        <f t="shared" si="334"/>
        <v>-1.5</v>
      </c>
      <c r="E2420" s="12">
        <f t="shared" si="335"/>
        <v>11.138172159999998</v>
      </c>
      <c r="F2420" s="12">
        <f t="shared" si="336"/>
        <v>11.138172159999998</v>
      </c>
      <c r="G2420" s="12">
        <f t="shared" si="337"/>
        <v>14.598426595555553</v>
      </c>
      <c r="H2420" s="12">
        <f t="shared" si="338"/>
        <v>14.598426595555553</v>
      </c>
      <c r="I2420" s="1" t="str">
        <f t="shared" si="339"/>
        <v>No</v>
      </c>
      <c r="J2420" s="1" t="str">
        <f t="shared" si="340"/>
        <v>Si</v>
      </c>
      <c r="K2420" s="1" t="str">
        <f t="shared" si="341"/>
        <v/>
      </c>
    </row>
    <row r="2421" spans="1:11" x14ac:dyDescent="0.3">
      <c r="A2421" s="1">
        <v>47</v>
      </c>
      <c r="B2421" s="1">
        <v>6</v>
      </c>
      <c r="C2421" s="12">
        <f t="shared" si="333"/>
        <v>1.65</v>
      </c>
      <c r="D2421" s="12">
        <f t="shared" si="334"/>
        <v>-1.425</v>
      </c>
      <c r="E2421" s="12">
        <f t="shared" si="335"/>
        <v>11.135684067555554</v>
      </c>
      <c r="F2421" s="12">
        <f t="shared" si="336"/>
        <v>11.135684067555554</v>
      </c>
      <c r="G2421" s="12">
        <f t="shared" si="337"/>
        <v>14.594922239999999</v>
      </c>
      <c r="H2421" s="12">
        <f t="shared" si="338"/>
        <v>14.594922239999999</v>
      </c>
      <c r="I2421" s="1" t="str">
        <f t="shared" si="339"/>
        <v>No</v>
      </c>
      <c r="J2421" s="1" t="str">
        <f t="shared" si="340"/>
        <v>Si</v>
      </c>
      <c r="K2421" s="1" t="str">
        <f t="shared" si="341"/>
        <v/>
      </c>
    </row>
    <row r="2422" spans="1:11" x14ac:dyDescent="0.3">
      <c r="A2422" s="1">
        <v>47</v>
      </c>
      <c r="B2422" s="1">
        <v>7</v>
      </c>
      <c r="C2422" s="12">
        <f t="shared" si="333"/>
        <v>1.65</v>
      </c>
      <c r="D2422" s="12">
        <f t="shared" si="334"/>
        <v>-1.35</v>
      </c>
      <c r="E2422" s="12">
        <f t="shared" si="335"/>
        <v>11.133195975111111</v>
      </c>
      <c r="F2422" s="12">
        <f t="shared" si="336"/>
        <v>11.133195975111111</v>
      </c>
      <c r="G2422" s="12">
        <f t="shared" si="337"/>
        <v>14.591417884444443</v>
      </c>
      <c r="H2422" s="12">
        <f t="shared" si="338"/>
        <v>14.591417884444443</v>
      </c>
      <c r="I2422" s="1" t="str">
        <f t="shared" si="339"/>
        <v>No</v>
      </c>
      <c r="J2422" s="1" t="str">
        <f t="shared" si="340"/>
        <v>Si</v>
      </c>
      <c r="K2422" s="1" t="str">
        <f t="shared" si="341"/>
        <v/>
      </c>
    </row>
    <row r="2423" spans="1:11" x14ac:dyDescent="0.3">
      <c r="A2423" s="1">
        <v>47</v>
      </c>
      <c r="B2423" s="1">
        <v>8</v>
      </c>
      <c r="C2423" s="12">
        <f t="shared" si="333"/>
        <v>1.65</v>
      </c>
      <c r="D2423" s="12">
        <f t="shared" si="334"/>
        <v>-1.2749999999999999</v>
      </c>
      <c r="E2423" s="12">
        <f t="shared" si="335"/>
        <v>11.130707882666666</v>
      </c>
      <c r="F2423" s="12">
        <f t="shared" si="336"/>
        <v>11.130707882666666</v>
      </c>
      <c r="G2423" s="12">
        <f t="shared" si="337"/>
        <v>14.587913528888887</v>
      </c>
      <c r="H2423" s="12">
        <f t="shared" si="338"/>
        <v>14.587913528888887</v>
      </c>
      <c r="I2423" s="1" t="str">
        <f t="shared" si="339"/>
        <v>No</v>
      </c>
      <c r="J2423" s="1" t="str">
        <f t="shared" si="340"/>
        <v>Si</v>
      </c>
      <c r="K2423" s="1" t="str">
        <f t="shared" si="341"/>
        <v/>
      </c>
    </row>
    <row r="2424" spans="1:11" x14ac:dyDescent="0.3">
      <c r="A2424" s="1">
        <v>47</v>
      </c>
      <c r="B2424" s="1">
        <v>9</v>
      </c>
      <c r="C2424" s="12">
        <f t="shared" si="333"/>
        <v>1.65</v>
      </c>
      <c r="D2424" s="12">
        <f t="shared" si="334"/>
        <v>-1.2</v>
      </c>
      <c r="E2424" s="12">
        <f t="shared" si="335"/>
        <v>11.128219790222222</v>
      </c>
      <c r="F2424" s="12">
        <f t="shared" si="336"/>
        <v>11.128219790222222</v>
      </c>
      <c r="G2424" s="12">
        <f t="shared" si="337"/>
        <v>14.584409173333331</v>
      </c>
      <c r="H2424" s="12">
        <f t="shared" si="338"/>
        <v>14.584409173333331</v>
      </c>
      <c r="I2424" s="1" t="str">
        <f t="shared" si="339"/>
        <v>No</v>
      </c>
      <c r="J2424" s="1" t="str">
        <f t="shared" si="340"/>
        <v>Si</v>
      </c>
      <c r="K2424" s="1" t="str">
        <f t="shared" si="341"/>
        <v/>
      </c>
    </row>
    <row r="2425" spans="1:11" x14ac:dyDescent="0.3">
      <c r="A2425" s="1">
        <v>47</v>
      </c>
      <c r="B2425" s="1">
        <v>10</v>
      </c>
      <c r="C2425" s="12">
        <f t="shared" si="333"/>
        <v>1.65</v>
      </c>
      <c r="D2425" s="12">
        <f t="shared" si="334"/>
        <v>-1.125</v>
      </c>
      <c r="E2425" s="12">
        <f t="shared" si="335"/>
        <v>11.125731697777777</v>
      </c>
      <c r="F2425" s="12">
        <f t="shared" si="336"/>
        <v>11.125731697777777</v>
      </c>
      <c r="G2425" s="12">
        <f t="shared" si="337"/>
        <v>14.580904817777776</v>
      </c>
      <c r="H2425" s="12">
        <f t="shared" si="338"/>
        <v>14.580904817777776</v>
      </c>
      <c r="I2425" s="1" t="str">
        <f t="shared" si="339"/>
        <v>No</v>
      </c>
      <c r="J2425" s="1" t="str">
        <f t="shared" si="340"/>
        <v>Si</v>
      </c>
      <c r="K2425" s="1" t="str">
        <f t="shared" si="341"/>
        <v/>
      </c>
    </row>
    <row r="2426" spans="1:11" x14ac:dyDescent="0.3">
      <c r="A2426" s="1">
        <v>47</v>
      </c>
      <c r="B2426" s="1">
        <v>11</v>
      </c>
      <c r="C2426" s="12">
        <f t="shared" si="333"/>
        <v>1.65</v>
      </c>
      <c r="D2426" s="12">
        <f t="shared" si="334"/>
        <v>-1.05</v>
      </c>
      <c r="E2426" s="12">
        <f t="shared" si="335"/>
        <v>11.123243605333332</v>
      </c>
      <c r="F2426" s="12">
        <f t="shared" si="336"/>
        <v>11.123243605333332</v>
      </c>
      <c r="G2426" s="12">
        <f t="shared" si="337"/>
        <v>14.57740046222222</v>
      </c>
      <c r="H2426" s="12">
        <f t="shared" si="338"/>
        <v>14.57740046222222</v>
      </c>
      <c r="I2426" s="1" t="str">
        <f t="shared" si="339"/>
        <v>No</v>
      </c>
      <c r="J2426" s="1" t="str">
        <f t="shared" si="340"/>
        <v>Si</v>
      </c>
      <c r="K2426" s="1" t="str">
        <f t="shared" si="341"/>
        <v/>
      </c>
    </row>
    <row r="2427" spans="1:11" x14ac:dyDescent="0.3">
      <c r="A2427" s="1">
        <v>47</v>
      </c>
      <c r="B2427" s="1">
        <v>12</v>
      </c>
      <c r="C2427" s="12">
        <f t="shared" si="333"/>
        <v>1.65</v>
      </c>
      <c r="D2427" s="12">
        <f t="shared" si="334"/>
        <v>-0.97499999999999998</v>
      </c>
      <c r="E2427" s="12">
        <f t="shared" si="335"/>
        <v>11.120755512888888</v>
      </c>
      <c r="F2427" s="12">
        <f t="shared" si="336"/>
        <v>11.120755512888888</v>
      </c>
      <c r="G2427" s="12">
        <f t="shared" si="337"/>
        <v>14.573896106666664</v>
      </c>
      <c r="H2427" s="12">
        <f t="shared" si="338"/>
        <v>14.573896106666664</v>
      </c>
      <c r="I2427" s="1" t="str">
        <f t="shared" si="339"/>
        <v>No</v>
      </c>
      <c r="J2427" s="1" t="str">
        <f t="shared" si="340"/>
        <v>Si</v>
      </c>
      <c r="K2427" s="1" t="str">
        <f t="shared" si="341"/>
        <v/>
      </c>
    </row>
    <row r="2428" spans="1:11" x14ac:dyDescent="0.3">
      <c r="A2428" s="1">
        <v>47</v>
      </c>
      <c r="B2428" s="1">
        <v>13</v>
      </c>
      <c r="C2428" s="12">
        <f t="shared" si="333"/>
        <v>1.65</v>
      </c>
      <c r="D2428" s="12">
        <f t="shared" si="334"/>
        <v>-0.9</v>
      </c>
      <c r="E2428" s="12">
        <f t="shared" si="335"/>
        <v>11.118267420444443</v>
      </c>
      <c r="F2428" s="12">
        <f t="shared" si="336"/>
        <v>11.118267420444443</v>
      </c>
      <c r="G2428" s="12">
        <f t="shared" si="337"/>
        <v>14.57039175111111</v>
      </c>
      <c r="H2428" s="12">
        <f t="shared" si="338"/>
        <v>14.57039175111111</v>
      </c>
      <c r="I2428" s="1" t="str">
        <f t="shared" si="339"/>
        <v>No</v>
      </c>
      <c r="J2428" s="1" t="str">
        <f t="shared" si="340"/>
        <v>Si</v>
      </c>
      <c r="K2428" s="1" t="str">
        <f t="shared" si="341"/>
        <v/>
      </c>
    </row>
    <row r="2429" spans="1:11" x14ac:dyDescent="0.3">
      <c r="A2429" s="1">
        <v>47</v>
      </c>
      <c r="B2429" s="1">
        <v>14</v>
      </c>
      <c r="C2429" s="12">
        <f t="shared" si="333"/>
        <v>1.65</v>
      </c>
      <c r="D2429" s="12">
        <f t="shared" si="334"/>
        <v>-0.82499999999999996</v>
      </c>
      <c r="E2429" s="12">
        <f t="shared" si="335"/>
        <v>11.115779327999999</v>
      </c>
      <c r="F2429" s="12">
        <f t="shared" si="336"/>
        <v>11.115779327999999</v>
      </c>
      <c r="G2429" s="12">
        <f t="shared" si="337"/>
        <v>14.566887395555554</v>
      </c>
      <c r="H2429" s="12">
        <f t="shared" si="338"/>
        <v>14.566887395555554</v>
      </c>
      <c r="I2429" s="1" t="str">
        <f t="shared" si="339"/>
        <v>No</v>
      </c>
      <c r="J2429" s="1" t="str">
        <f t="shared" si="340"/>
        <v>Si</v>
      </c>
      <c r="K2429" s="1" t="str">
        <f t="shared" si="341"/>
        <v/>
      </c>
    </row>
    <row r="2430" spans="1:11" x14ac:dyDescent="0.3">
      <c r="A2430" s="1">
        <v>47</v>
      </c>
      <c r="B2430" s="1">
        <v>15</v>
      </c>
      <c r="C2430" s="12">
        <f t="shared" si="333"/>
        <v>1.65</v>
      </c>
      <c r="D2430" s="12">
        <f t="shared" si="334"/>
        <v>-0.75</v>
      </c>
      <c r="E2430" s="12">
        <f t="shared" si="335"/>
        <v>11.113291235555554</v>
      </c>
      <c r="F2430" s="12">
        <f t="shared" si="336"/>
        <v>11.113291235555554</v>
      </c>
      <c r="G2430" s="12">
        <f t="shared" si="337"/>
        <v>14.563383039999998</v>
      </c>
      <c r="H2430" s="12">
        <f t="shared" si="338"/>
        <v>14.563383039999998</v>
      </c>
      <c r="I2430" s="1" t="str">
        <f t="shared" si="339"/>
        <v>No</v>
      </c>
      <c r="J2430" s="1" t="str">
        <f t="shared" si="340"/>
        <v>Si</v>
      </c>
      <c r="K2430" s="1" t="str">
        <f t="shared" si="341"/>
        <v/>
      </c>
    </row>
    <row r="2431" spans="1:11" x14ac:dyDescent="0.3">
      <c r="A2431" s="1">
        <v>47</v>
      </c>
      <c r="B2431" s="1">
        <v>16</v>
      </c>
      <c r="C2431" s="12">
        <f t="shared" si="333"/>
        <v>1.65</v>
      </c>
      <c r="D2431" s="12">
        <f t="shared" si="334"/>
        <v>-0.67500000000000004</v>
      </c>
      <c r="E2431" s="12">
        <f t="shared" si="335"/>
        <v>11.110803143111109</v>
      </c>
      <c r="F2431" s="12">
        <f t="shared" si="336"/>
        <v>11.110803143111109</v>
      </c>
      <c r="G2431" s="12">
        <f t="shared" si="337"/>
        <v>14.559878684444442</v>
      </c>
      <c r="H2431" s="12">
        <f t="shared" si="338"/>
        <v>14.559878684444442</v>
      </c>
      <c r="I2431" s="1" t="str">
        <f t="shared" si="339"/>
        <v>No</v>
      </c>
      <c r="J2431" s="1" t="str">
        <f t="shared" si="340"/>
        <v>Si</v>
      </c>
      <c r="K2431" s="1" t="str">
        <f t="shared" si="341"/>
        <v/>
      </c>
    </row>
    <row r="2432" spans="1:11" x14ac:dyDescent="0.3">
      <c r="A2432" s="1">
        <v>47</v>
      </c>
      <c r="B2432" s="1">
        <v>17</v>
      </c>
      <c r="C2432" s="12">
        <f t="shared" si="333"/>
        <v>1.65</v>
      </c>
      <c r="D2432" s="12">
        <f t="shared" si="334"/>
        <v>-0.60000000000000009</v>
      </c>
      <c r="E2432" s="12">
        <f t="shared" si="335"/>
        <v>11.108315050666665</v>
      </c>
      <c r="F2432" s="12">
        <f t="shared" si="336"/>
        <v>11.108315050666665</v>
      </c>
      <c r="G2432" s="12">
        <f t="shared" si="337"/>
        <v>14.556374328888888</v>
      </c>
      <c r="H2432" s="12">
        <f t="shared" si="338"/>
        <v>14.556374328888888</v>
      </c>
      <c r="I2432" s="1" t="str">
        <f t="shared" si="339"/>
        <v>No</v>
      </c>
      <c r="J2432" s="1" t="str">
        <f t="shared" si="340"/>
        <v>Si</v>
      </c>
      <c r="K2432" s="1" t="str">
        <f t="shared" si="341"/>
        <v/>
      </c>
    </row>
    <row r="2433" spans="1:11" x14ac:dyDescent="0.3">
      <c r="A2433" s="1">
        <v>47</v>
      </c>
      <c r="B2433" s="1">
        <v>18</v>
      </c>
      <c r="C2433" s="12">
        <f t="shared" si="333"/>
        <v>1.65</v>
      </c>
      <c r="D2433" s="12">
        <f t="shared" si="334"/>
        <v>-0.52499999999999991</v>
      </c>
      <c r="E2433" s="12">
        <f t="shared" si="335"/>
        <v>11.10582695822222</v>
      </c>
      <c r="F2433" s="12">
        <f t="shared" si="336"/>
        <v>11.10582695822222</v>
      </c>
      <c r="G2433" s="12">
        <f t="shared" si="337"/>
        <v>14.552869973333332</v>
      </c>
      <c r="H2433" s="12">
        <f t="shared" si="338"/>
        <v>14.552869973333332</v>
      </c>
      <c r="I2433" s="1" t="str">
        <f t="shared" si="339"/>
        <v>No</v>
      </c>
      <c r="J2433" s="1" t="str">
        <f t="shared" si="340"/>
        <v>Si</v>
      </c>
      <c r="K2433" s="1" t="str">
        <f t="shared" si="341"/>
        <v/>
      </c>
    </row>
    <row r="2434" spans="1:11" x14ac:dyDescent="0.3">
      <c r="A2434" s="1">
        <v>47</v>
      </c>
      <c r="B2434" s="1">
        <v>19</v>
      </c>
      <c r="C2434" s="12">
        <f t="shared" si="333"/>
        <v>1.65</v>
      </c>
      <c r="D2434" s="12">
        <f t="shared" si="334"/>
        <v>-0.44999999999999996</v>
      </c>
      <c r="E2434" s="12">
        <f t="shared" si="335"/>
        <v>11.103338865777777</v>
      </c>
      <c r="F2434" s="12">
        <f t="shared" si="336"/>
        <v>11.103338865777777</v>
      </c>
      <c r="G2434" s="12">
        <f t="shared" si="337"/>
        <v>14.549365617777775</v>
      </c>
      <c r="H2434" s="12">
        <f t="shared" si="338"/>
        <v>14.549365617777775</v>
      </c>
      <c r="I2434" s="1" t="str">
        <f t="shared" si="339"/>
        <v>No</v>
      </c>
      <c r="J2434" s="1" t="str">
        <f t="shared" si="340"/>
        <v>Si</v>
      </c>
      <c r="K2434" s="1" t="str">
        <f t="shared" si="341"/>
        <v/>
      </c>
    </row>
    <row r="2435" spans="1:11" x14ac:dyDescent="0.3">
      <c r="A2435" s="1">
        <v>47</v>
      </c>
      <c r="B2435" s="1">
        <v>20</v>
      </c>
      <c r="C2435" s="12">
        <f t="shared" si="333"/>
        <v>1.65</v>
      </c>
      <c r="D2435" s="12">
        <f t="shared" si="334"/>
        <v>-0.375</v>
      </c>
      <c r="E2435" s="12">
        <f t="shared" si="335"/>
        <v>11.100850773333333</v>
      </c>
      <c r="F2435" s="12">
        <f t="shared" si="336"/>
        <v>11.100850773333333</v>
      </c>
      <c r="G2435" s="12">
        <f t="shared" si="337"/>
        <v>14.545861262222221</v>
      </c>
      <c r="H2435" s="12">
        <f t="shared" si="338"/>
        <v>14.545861262222221</v>
      </c>
      <c r="I2435" s="1" t="str">
        <f t="shared" si="339"/>
        <v>No</v>
      </c>
      <c r="J2435" s="1" t="str">
        <f t="shared" si="340"/>
        <v>Si</v>
      </c>
      <c r="K2435" s="1" t="str">
        <f t="shared" si="341"/>
        <v/>
      </c>
    </row>
    <row r="2436" spans="1:11" x14ac:dyDescent="0.3">
      <c r="A2436" s="1">
        <v>47</v>
      </c>
      <c r="B2436" s="1">
        <v>21</v>
      </c>
      <c r="C2436" s="12">
        <f t="shared" si="333"/>
        <v>1.65</v>
      </c>
      <c r="D2436" s="12">
        <f t="shared" si="334"/>
        <v>-0.30000000000000004</v>
      </c>
      <c r="E2436" s="12">
        <f t="shared" si="335"/>
        <v>11.098362680888888</v>
      </c>
      <c r="F2436" s="12">
        <f t="shared" si="336"/>
        <v>11.098362680888888</v>
      </c>
      <c r="G2436" s="12">
        <f t="shared" si="337"/>
        <v>14.542356906666665</v>
      </c>
      <c r="H2436" s="12">
        <f t="shared" si="338"/>
        <v>14.542356906666665</v>
      </c>
      <c r="I2436" s="1" t="str">
        <f t="shared" si="339"/>
        <v>No</v>
      </c>
      <c r="J2436" s="1" t="str">
        <f t="shared" si="340"/>
        <v>Si</v>
      </c>
      <c r="K2436" s="1" t="str">
        <f t="shared" si="341"/>
        <v/>
      </c>
    </row>
    <row r="2437" spans="1:11" x14ac:dyDescent="0.3">
      <c r="A2437" s="1">
        <v>47</v>
      </c>
      <c r="B2437" s="1">
        <v>22</v>
      </c>
      <c r="C2437" s="12">
        <f t="shared" si="333"/>
        <v>1.65</v>
      </c>
      <c r="D2437" s="12">
        <f t="shared" si="334"/>
        <v>-0.22500000000000009</v>
      </c>
      <c r="E2437" s="12">
        <f t="shared" si="335"/>
        <v>11.095874588444444</v>
      </c>
      <c r="F2437" s="12">
        <f t="shared" si="336"/>
        <v>11.095874588444444</v>
      </c>
      <c r="G2437" s="12">
        <f t="shared" si="337"/>
        <v>14.538852551111109</v>
      </c>
      <c r="H2437" s="12">
        <f t="shared" si="338"/>
        <v>14.538852551111109</v>
      </c>
      <c r="I2437" s="1" t="str">
        <f t="shared" si="339"/>
        <v>No</v>
      </c>
      <c r="J2437" s="1" t="str">
        <f t="shared" si="340"/>
        <v>Si</v>
      </c>
      <c r="K2437" s="1" t="str">
        <f t="shared" si="341"/>
        <v/>
      </c>
    </row>
    <row r="2438" spans="1:11" x14ac:dyDescent="0.3">
      <c r="A2438" s="1">
        <v>47</v>
      </c>
      <c r="B2438" s="1">
        <v>23</v>
      </c>
      <c r="C2438" s="12">
        <f t="shared" si="333"/>
        <v>1.65</v>
      </c>
      <c r="D2438" s="12">
        <f t="shared" si="334"/>
        <v>-0.14999999999999991</v>
      </c>
      <c r="E2438" s="12">
        <f t="shared" si="335"/>
        <v>11.093386495999999</v>
      </c>
      <c r="F2438" s="12">
        <f t="shared" si="336"/>
        <v>11.093386495999999</v>
      </c>
      <c r="G2438" s="12">
        <f t="shared" si="337"/>
        <v>14.535348195555553</v>
      </c>
      <c r="H2438" s="12">
        <f t="shared" si="338"/>
        <v>14.535348195555553</v>
      </c>
      <c r="I2438" s="1" t="str">
        <f t="shared" si="339"/>
        <v>No</v>
      </c>
      <c r="J2438" s="1" t="str">
        <f t="shared" si="340"/>
        <v>Si</v>
      </c>
      <c r="K2438" s="1" t="str">
        <f t="shared" si="341"/>
        <v/>
      </c>
    </row>
    <row r="2439" spans="1:11" x14ac:dyDescent="0.3">
      <c r="A2439" s="1">
        <v>47</v>
      </c>
      <c r="B2439" s="1">
        <v>24</v>
      </c>
      <c r="C2439" s="12">
        <f t="shared" si="333"/>
        <v>1.65</v>
      </c>
      <c r="D2439" s="12">
        <f t="shared" si="334"/>
        <v>-7.4999999999999956E-2</v>
      </c>
      <c r="E2439" s="12">
        <f t="shared" si="335"/>
        <v>11.090898403555554</v>
      </c>
      <c r="F2439" s="12">
        <f t="shared" si="336"/>
        <v>11.090898403555554</v>
      </c>
      <c r="G2439" s="12">
        <f t="shared" si="337"/>
        <v>14.531843839999999</v>
      </c>
      <c r="H2439" s="12">
        <f t="shared" si="338"/>
        <v>14.531843839999999</v>
      </c>
      <c r="I2439" s="1" t="str">
        <f t="shared" si="339"/>
        <v>No</v>
      </c>
      <c r="J2439" s="1" t="str">
        <f t="shared" si="340"/>
        <v>Si</v>
      </c>
      <c r="K2439" s="1" t="str">
        <f t="shared" si="341"/>
        <v/>
      </c>
    </row>
    <row r="2440" spans="1:11" x14ac:dyDescent="0.3">
      <c r="A2440" s="1">
        <v>47</v>
      </c>
      <c r="B2440" s="1">
        <v>25</v>
      </c>
      <c r="C2440" s="12">
        <f t="shared" si="333"/>
        <v>1.65</v>
      </c>
      <c r="D2440" s="12">
        <f t="shared" si="334"/>
        <v>0</v>
      </c>
      <c r="E2440" s="12">
        <f t="shared" si="335"/>
        <v>11.08841031111111</v>
      </c>
      <c r="F2440" s="12">
        <f t="shared" si="336"/>
        <v>11.08841031111111</v>
      </c>
      <c r="G2440" s="12">
        <f t="shared" si="337"/>
        <v>14.528339484444443</v>
      </c>
      <c r="H2440" s="12">
        <f t="shared" si="338"/>
        <v>14.528339484444443</v>
      </c>
      <c r="I2440" s="1" t="str">
        <f t="shared" si="339"/>
        <v>No</v>
      </c>
      <c r="J2440" s="1" t="str">
        <f t="shared" si="340"/>
        <v>Si</v>
      </c>
      <c r="K2440" s="1" t="str">
        <f t="shared" si="341"/>
        <v/>
      </c>
    </row>
    <row r="2441" spans="1:11" x14ac:dyDescent="0.3">
      <c r="A2441" s="1">
        <v>47</v>
      </c>
      <c r="B2441" s="1">
        <v>26</v>
      </c>
      <c r="C2441" s="12">
        <f t="shared" si="333"/>
        <v>1.65</v>
      </c>
      <c r="D2441" s="12">
        <f t="shared" si="334"/>
        <v>7.4999999999999956E-2</v>
      </c>
      <c r="E2441" s="12">
        <f t="shared" si="335"/>
        <v>11.085922218666665</v>
      </c>
      <c r="F2441" s="12">
        <f t="shared" si="336"/>
        <v>11.085922218666665</v>
      </c>
      <c r="G2441" s="12">
        <f t="shared" si="337"/>
        <v>14.524835128888887</v>
      </c>
      <c r="H2441" s="12">
        <f t="shared" si="338"/>
        <v>14.524835128888887</v>
      </c>
      <c r="I2441" s="1" t="str">
        <f t="shared" si="339"/>
        <v>No</v>
      </c>
      <c r="J2441" s="1" t="str">
        <f t="shared" si="340"/>
        <v>Si</v>
      </c>
      <c r="K2441" s="1" t="str">
        <f t="shared" si="341"/>
        <v/>
      </c>
    </row>
    <row r="2442" spans="1:11" x14ac:dyDescent="0.3">
      <c r="A2442" s="1">
        <v>47</v>
      </c>
      <c r="B2442" s="1">
        <v>27</v>
      </c>
      <c r="C2442" s="12">
        <f t="shared" si="333"/>
        <v>1.65</v>
      </c>
      <c r="D2442" s="12">
        <f t="shared" si="334"/>
        <v>0.14999999999999991</v>
      </c>
      <c r="E2442" s="12">
        <f t="shared" si="335"/>
        <v>11.083434126222221</v>
      </c>
      <c r="F2442" s="12">
        <f t="shared" si="336"/>
        <v>11.083434126222221</v>
      </c>
      <c r="G2442" s="12">
        <f t="shared" si="337"/>
        <v>14.521330773333332</v>
      </c>
      <c r="H2442" s="12">
        <f t="shared" si="338"/>
        <v>14.521330773333332</v>
      </c>
      <c r="I2442" s="1" t="str">
        <f t="shared" si="339"/>
        <v>No</v>
      </c>
      <c r="J2442" s="1" t="str">
        <f t="shared" si="340"/>
        <v>Si</v>
      </c>
      <c r="K2442" s="1" t="str">
        <f t="shared" si="341"/>
        <v/>
      </c>
    </row>
    <row r="2443" spans="1:11" x14ac:dyDescent="0.3">
      <c r="A2443" s="1">
        <v>47</v>
      </c>
      <c r="B2443" s="1">
        <v>28</v>
      </c>
      <c r="C2443" s="12">
        <f t="shared" si="333"/>
        <v>1.65</v>
      </c>
      <c r="D2443" s="12">
        <f t="shared" si="334"/>
        <v>0.22500000000000009</v>
      </c>
      <c r="E2443" s="12">
        <f t="shared" si="335"/>
        <v>11.080946033777776</v>
      </c>
      <c r="F2443" s="12">
        <f t="shared" si="336"/>
        <v>11.080946033777776</v>
      </c>
      <c r="G2443" s="12">
        <f t="shared" si="337"/>
        <v>14.517826417777776</v>
      </c>
      <c r="H2443" s="12">
        <f t="shared" si="338"/>
        <v>14.517826417777776</v>
      </c>
      <c r="I2443" s="1" t="str">
        <f t="shared" si="339"/>
        <v>No</v>
      </c>
      <c r="J2443" s="1" t="str">
        <f t="shared" si="340"/>
        <v>Si</v>
      </c>
      <c r="K2443" s="1" t="str">
        <f t="shared" si="341"/>
        <v/>
      </c>
    </row>
    <row r="2444" spans="1:11" x14ac:dyDescent="0.3">
      <c r="A2444" s="1">
        <v>47</v>
      </c>
      <c r="B2444" s="1">
        <v>29</v>
      </c>
      <c r="C2444" s="12">
        <f t="shared" si="333"/>
        <v>1.65</v>
      </c>
      <c r="D2444" s="12">
        <f t="shared" si="334"/>
        <v>0.29999999999999982</v>
      </c>
      <c r="E2444" s="12">
        <f t="shared" si="335"/>
        <v>11.078457941333332</v>
      </c>
      <c r="F2444" s="12">
        <f t="shared" si="336"/>
        <v>11.078457941333332</v>
      </c>
      <c r="G2444" s="12">
        <f t="shared" si="337"/>
        <v>14.51432206222222</v>
      </c>
      <c r="H2444" s="12">
        <f t="shared" si="338"/>
        <v>14.51432206222222</v>
      </c>
      <c r="I2444" s="1" t="str">
        <f t="shared" si="339"/>
        <v>No</v>
      </c>
      <c r="J2444" s="1" t="str">
        <f t="shared" si="340"/>
        <v>Si</v>
      </c>
      <c r="K2444" s="1" t="str">
        <f t="shared" si="341"/>
        <v/>
      </c>
    </row>
    <row r="2445" spans="1:11" x14ac:dyDescent="0.3">
      <c r="A2445" s="1">
        <v>47</v>
      </c>
      <c r="B2445" s="1">
        <v>30</v>
      </c>
      <c r="C2445" s="12">
        <f t="shared" si="333"/>
        <v>1.65</v>
      </c>
      <c r="D2445" s="12">
        <f t="shared" si="334"/>
        <v>0.375</v>
      </c>
      <c r="E2445" s="12">
        <f t="shared" si="335"/>
        <v>11.075969848888887</v>
      </c>
      <c r="F2445" s="12">
        <f t="shared" si="336"/>
        <v>11.075969848888887</v>
      </c>
      <c r="G2445" s="12">
        <f t="shared" si="337"/>
        <v>14.510817706666664</v>
      </c>
      <c r="H2445" s="12">
        <f t="shared" si="338"/>
        <v>14.510817706666664</v>
      </c>
      <c r="I2445" s="1" t="str">
        <f t="shared" si="339"/>
        <v>No</v>
      </c>
      <c r="J2445" s="1" t="str">
        <f t="shared" si="340"/>
        <v>Si</v>
      </c>
      <c r="K2445" s="1" t="str">
        <f t="shared" si="341"/>
        <v/>
      </c>
    </row>
    <row r="2446" spans="1:11" x14ac:dyDescent="0.3">
      <c r="A2446" s="1">
        <v>47</v>
      </c>
      <c r="B2446" s="1">
        <v>31</v>
      </c>
      <c r="C2446" s="12">
        <f t="shared" si="333"/>
        <v>1.65</v>
      </c>
      <c r="D2446" s="12">
        <f t="shared" si="334"/>
        <v>0.45000000000000018</v>
      </c>
      <c r="E2446" s="12">
        <f t="shared" si="335"/>
        <v>11.073481756444442</v>
      </c>
      <c r="F2446" s="12">
        <f t="shared" si="336"/>
        <v>11.073481756444442</v>
      </c>
      <c r="G2446" s="12">
        <f t="shared" si="337"/>
        <v>14.50731335111111</v>
      </c>
      <c r="H2446" s="12">
        <f t="shared" si="338"/>
        <v>14.50731335111111</v>
      </c>
      <c r="I2446" s="1" t="str">
        <f t="shared" si="339"/>
        <v>No</v>
      </c>
      <c r="J2446" s="1" t="str">
        <f t="shared" si="340"/>
        <v>Si</v>
      </c>
      <c r="K2446" s="1" t="str">
        <f t="shared" si="341"/>
        <v/>
      </c>
    </row>
    <row r="2447" spans="1:11" x14ac:dyDescent="0.3">
      <c r="A2447" s="1">
        <v>47</v>
      </c>
      <c r="B2447" s="1">
        <v>32</v>
      </c>
      <c r="C2447" s="12">
        <f t="shared" si="333"/>
        <v>1.65</v>
      </c>
      <c r="D2447" s="12">
        <f t="shared" si="334"/>
        <v>0.52499999999999991</v>
      </c>
      <c r="E2447" s="12">
        <f t="shared" si="335"/>
        <v>11.070993664</v>
      </c>
      <c r="F2447" s="12">
        <f t="shared" si="336"/>
        <v>11.070993664</v>
      </c>
      <c r="G2447" s="12">
        <f t="shared" si="337"/>
        <v>14.503808995555554</v>
      </c>
      <c r="H2447" s="12">
        <f t="shared" si="338"/>
        <v>14.503808995555554</v>
      </c>
      <c r="I2447" s="1" t="str">
        <f t="shared" si="339"/>
        <v>No</v>
      </c>
      <c r="J2447" s="1" t="str">
        <f t="shared" si="340"/>
        <v>Si</v>
      </c>
      <c r="K2447" s="1" t="str">
        <f t="shared" si="341"/>
        <v/>
      </c>
    </row>
    <row r="2448" spans="1:11" x14ac:dyDescent="0.3">
      <c r="A2448" s="1">
        <v>47</v>
      </c>
      <c r="B2448" s="1">
        <v>33</v>
      </c>
      <c r="C2448" s="12">
        <f t="shared" si="333"/>
        <v>1.65</v>
      </c>
      <c r="D2448" s="12">
        <f t="shared" si="334"/>
        <v>0.60000000000000009</v>
      </c>
      <c r="E2448" s="12">
        <f t="shared" si="335"/>
        <v>11.068505571555555</v>
      </c>
      <c r="F2448" s="12">
        <f t="shared" si="336"/>
        <v>11.068505571555555</v>
      </c>
      <c r="G2448" s="12">
        <f t="shared" si="337"/>
        <v>14.500304639999998</v>
      </c>
      <c r="H2448" s="12">
        <f t="shared" si="338"/>
        <v>14.500304639999998</v>
      </c>
      <c r="I2448" s="1" t="str">
        <f t="shared" si="339"/>
        <v>No</v>
      </c>
      <c r="J2448" s="1" t="str">
        <f t="shared" si="340"/>
        <v>Si</v>
      </c>
      <c r="K2448" s="1" t="str">
        <f t="shared" si="341"/>
        <v/>
      </c>
    </row>
    <row r="2449" spans="1:11" x14ac:dyDescent="0.3">
      <c r="A2449" s="1">
        <v>47</v>
      </c>
      <c r="B2449" s="1">
        <v>34</v>
      </c>
      <c r="C2449" s="12">
        <f t="shared" si="333"/>
        <v>1.65</v>
      </c>
      <c r="D2449" s="12">
        <f t="shared" si="334"/>
        <v>0.67499999999999982</v>
      </c>
      <c r="E2449" s="12">
        <f t="shared" si="335"/>
        <v>11.06601747911111</v>
      </c>
      <c r="F2449" s="12">
        <f t="shared" si="336"/>
        <v>11.06601747911111</v>
      </c>
      <c r="G2449" s="12">
        <f t="shared" si="337"/>
        <v>14.496800284444443</v>
      </c>
      <c r="H2449" s="12">
        <f t="shared" si="338"/>
        <v>14.496800284444443</v>
      </c>
      <c r="I2449" s="1" t="str">
        <f t="shared" si="339"/>
        <v>No</v>
      </c>
      <c r="J2449" s="1" t="str">
        <f t="shared" si="340"/>
        <v>Si</v>
      </c>
      <c r="K2449" s="1" t="str">
        <f t="shared" si="341"/>
        <v/>
      </c>
    </row>
    <row r="2450" spans="1:11" x14ac:dyDescent="0.3">
      <c r="A2450" s="1">
        <v>47</v>
      </c>
      <c r="B2450" s="1">
        <v>35</v>
      </c>
      <c r="C2450" s="12">
        <f t="shared" ref="C2450:C2513" si="342">IF(OR(A2450&gt;inp_n_div_x,B2450&gt;inp_n_div_y),"",-inp_bx/2+A2450*inp_bx/inp_n_div_x)</f>
        <v>1.65</v>
      </c>
      <c r="D2450" s="12">
        <f t="shared" ref="D2450:D2513" si="343">IF(C2450="","",-inp_by/2+B2450*inp_by/inp_n_div_y)</f>
        <v>0.75</v>
      </c>
      <c r="E2450" s="12">
        <f t="shared" ref="E2450:E2513" si="344">IF(C2450="","",res_srv_p_tot/geo_area+res_srv_mx_tot/geo_ix*D2450+res_srv_my_tot/geo_iy*C2450)</f>
        <v>11.063529386666666</v>
      </c>
      <c r="F2450" s="12">
        <f t="shared" ref="F2450:F2513" si="345">IF(E2450="","",MAX(0,E2450))</f>
        <v>11.063529386666666</v>
      </c>
      <c r="G2450" s="12">
        <f t="shared" ref="G2450:G2513" si="346">IF(C2450="","",res_u_p_tot/geo_area+res_u_mx_tot/geo_ix*D2450+res_u_my_tot/geo_iy*C2450)</f>
        <v>14.493295928888887</v>
      </c>
      <c r="H2450" s="12">
        <f t="shared" ref="H2450:H2513" si="347">IF(G2450="","",MAX(0,G2450))</f>
        <v>14.493295928888887</v>
      </c>
      <c r="I2450" s="1" t="str">
        <f t="shared" ref="I2450:I2513" si="348">IF(C2450="","",IF(AND(C2450&gt;=inp_xc-inp_cx/2,C2450&lt;=inp_xc+inp_cx/2,D2450&gt;=inp_yc-inp_cy/2,D2450&lt;=inp_yc+inp_cy/2),"Si","No"))</f>
        <v>No</v>
      </c>
      <c r="J2450" s="1" t="str">
        <f t="shared" ref="J2450:J2513" si="349">IF(C2450="","","Si")</f>
        <v>Si</v>
      </c>
      <c r="K2450" s="1" t="str">
        <f t="shared" ref="K2450:K2513" si="350">IF(OR(E2450&lt;0,G2450&lt;0),"Presion negativa","")</f>
        <v/>
      </c>
    </row>
    <row r="2451" spans="1:11" x14ac:dyDescent="0.3">
      <c r="A2451" s="1">
        <v>47</v>
      </c>
      <c r="B2451" s="1">
        <v>36</v>
      </c>
      <c r="C2451" s="12">
        <f t="shared" si="342"/>
        <v>1.65</v>
      </c>
      <c r="D2451" s="12">
        <f t="shared" si="343"/>
        <v>0.82500000000000018</v>
      </c>
      <c r="E2451" s="12">
        <f t="shared" si="344"/>
        <v>11.061041294222221</v>
      </c>
      <c r="F2451" s="12">
        <f t="shared" si="345"/>
        <v>11.061041294222221</v>
      </c>
      <c r="G2451" s="12">
        <f t="shared" si="346"/>
        <v>14.489791573333331</v>
      </c>
      <c r="H2451" s="12">
        <f t="shared" si="347"/>
        <v>14.489791573333331</v>
      </c>
      <c r="I2451" s="1" t="str">
        <f t="shared" si="348"/>
        <v>No</v>
      </c>
      <c r="J2451" s="1" t="str">
        <f t="shared" si="349"/>
        <v>Si</v>
      </c>
      <c r="K2451" s="1" t="str">
        <f t="shared" si="350"/>
        <v/>
      </c>
    </row>
    <row r="2452" spans="1:11" x14ac:dyDescent="0.3">
      <c r="A2452" s="1">
        <v>47</v>
      </c>
      <c r="B2452" s="1">
        <v>37</v>
      </c>
      <c r="C2452" s="12">
        <f t="shared" si="342"/>
        <v>1.65</v>
      </c>
      <c r="D2452" s="12">
        <f t="shared" si="343"/>
        <v>0.89999999999999991</v>
      </c>
      <c r="E2452" s="12">
        <f t="shared" si="344"/>
        <v>11.058553201777777</v>
      </c>
      <c r="F2452" s="12">
        <f t="shared" si="345"/>
        <v>11.058553201777777</v>
      </c>
      <c r="G2452" s="12">
        <f t="shared" si="346"/>
        <v>14.486287217777775</v>
      </c>
      <c r="H2452" s="12">
        <f t="shared" si="347"/>
        <v>14.486287217777775</v>
      </c>
      <c r="I2452" s="1" t="str">
        <f t="shared" si="348"/>
        <v>No</v>
      </c>
      <c r="J2452" s="1" t="str">
        <f t="shared" si="349"/>
        <v>Si</v>
      </c>
      <c r="K2452" s="1" t="str">
        <f t="shared" si="350"/>
        <v/>
      </c>
    </row>
    <row r="2453" spans="1:11" x14ac:dyDescent="0.3">
      <c r="A2453" s="1">
        <v>47</v>
      </c>
      <c r="B2453" s="1">
        <v>38</v>
      </c>
      <c r="C2453" s="12">
        <f t="shared" si="342"/>
        <v>1.65</v>
      </c>
      <c r="D2453" s="12">
        <f t="shared" si="343"/>
        <v>0.97500000000000009</v>
      </c>
      <c r="E2453" s="12">
        <f t="shared" si="344"/>
        <v>11.056065109333332</v>
      </c>
      <c r="F2453" s="12">
        <f t="shared" si="345"/>
        <v>11.056065109333332</v>
      </c>
      <c r="G2453" s="12">
        <f t="shared" si="346"/>
        <v>14.482782862222221</v>
      </c>
      <c r="H2453" s="12">
        <f t="shared" si="347"/>
        <v>14.482782862222221</v>
      </c>
      <c r="I2453" s="1" t="str">
        <f t="shared" si="348"/>
        <v>No</v>
      </c>
      <c r="J2453" s="1" t="str">
        <f t="shared" si="349"/>
        <v>Si</v>
      </c>
      <c r="K2453" s="1" t="str">
        <f t="shared" si="350"/>
        <v/>
      </c>
    </row>
    <row r="2454" spans="1:11" x14ac:dyDescent="0.3">
      <c r="A2454" s="1">
        <v>47</v>
      </c>
      <c r="B2454" s="1">
        <v>39</v>
      </c>
      <c r="C2454" s="12">
        <f t="shared" si="342"/>
        <v>1.65</v>
      </c>
      <c r="D2454" s="12">
        <f t="shared" si="343"/>
        <v>1.0499999999999998</v>
      </c>
      <c r="E2454" s="12">
        <f t="shared" si="344"/>
        <v>11.053577016888887</v>
      </c>
      <c r="F2454" s="12">
        <f t="shared" si="345"/>
        <v>11.053577016888887</v>
      </c>
      <c r="G2454" s="12">
        <f t="shared" si="346"/>
        <v>14.479278506666665</v>
      </c>
      <c r="H2454" s="12">
        <f t="shared" si="347"/>
        <v>14.479278506666665</v>
      </c>
      <c r="I2454" s="1" t="str">
        <f t="shared" si="348"/>
        <v>No</v>
      </c>
      <c r="J2454" s="1" t="str">
        <f t="shared" si="349"/>
        <v>Si</v>
      </c>
      <c r="K2454" s="1" t="str">
        <f t="shared" si="350"/>
        <v/>
      </c>
    </row>
    <row r="2455" spans="1:11" x14ac:dyDescent="0.3">
      <c r="A2455" s="1">
        <v>47</v>
      </c>
      <c r="B2455" s="1">
        <v>40</v>
      </c>
      <c r="C2455" s="12">
        <f t="shared" si="342"/>
        <v>1.65</v>
      </c>
      <c r="D2455" s="12">
        <f t="shared" si="343"/>
        <v>1.125</v>
      </c>
      <c r="E2455" s="12">
        <f t="shared" si="344"/>
        <v>11.051088924444443</v>
      </c>
      <c r="F2455" s="12">
        <f t="shared" si="345"/>
        <v>11.051088924444443</v>
      </c>
      <c r="G2455" s="12">
        <f t="shared" si="346"/>
        <v>14.475774151111109</v>
      </c>
      <c r="H2455" s="12">
        <f t="shared" si="347"/>
        <v>14.475774151111109</v>
      </c>
      <c r="I2455" s="1" t="str">
        <f t="shared" si="348"/>
        <v>No</v>
      </c>
      <c r="J2455" s="1" t="str">
        <f t="shared" si="349"/>
        <v>Si</v>
      </c>
      <c r="K2455" s="1" t="str">
        <f t="shared" si="350"/>
        <v/>
      </c>
    </row>
    <row r="2456" spans="1:11" x14ac:dyDescent="0.3">
      <c r="A2456" s="1">
        <v>47</v>
      </c>
      <c r="B2456" s="1">
        <v>41</v>
      </c>
      <c r="C2456" s="12">
        <f t="shared" si="342"/>
        <v>1.65</v>
      </c>
      <c r="D2456" s="12">
        <f t="shared" si="343"/>
        <v>1.2000000000000002</v>
      </c>
      <c r="E2456" s="12">
        <f t="shared" si="344"/>
        <v>11.048600831999998</v>
      </c>
      <c r="F2456" s="12">
        <f t="shared" si="345"/>
        <v>11.048600831999998</v>
      </c>
      <c r="G2456" s="12">
        <f t="shared" si="346"/>
        <v>14.472269795555555</v>
      </c>
      <c r="H2456" s="12">
        <f t="shared" si="347"/>
        <v>14.472269795555555</v>
      </c>
      <c r="I2456" s="1" t="str">
        <f t="shared" si="348"/>
        <v>No</v>
      </c>
      <c r="J2456" s="1" t="str">
        <f t="shared" si="349"/>
        <v>Si</v>
      </c>
      <c r="K2456" s="1" t="str">
        <f t="shared" si="350"/>
        <v/>
      </c>
    </row>
    <row r="2457" spans="1:11" x14ac:dyDescent="0.3">
      <c r="A2457" s="1">
        <v>47</v>
      </c>
      <c r="B2457" s="1">
        <v>42</v>
      </c>
      <c r="C2457" s="12">
        <f t="shared" si="342"/>
        <v>1.65</v>
      </c>
      <c r="D2457" s="12">
        <f t="shared" si="343"/>
        <v>1.2749999999999999</v>
      </c>
      <c r="E2457" s="12">
        <f t="shared" si="344"/>
        <v>11.046112739555554</v>
      </c>
      <c r="F2457" s="12">
        <f t="shared" si="345"/>
        <v>11.046112739555554</v>
      </c>
      <c r="G2457" s="12">
        <f t="shared" si="346"/>
        <v>14.468765439999999</v>
      </c>
      <c r="H2457" s="12">
        <f t="shared" si="347"/>
        <v>14.468765439999999</v>
      </c>
      <c r="I2457" s="1" t="str">
        <f t="shared" si="348"/>
        <v>No</v>
      </c>
      <c r="J2457" s="1" t="str">
        <f t="shared" si="349"/>
        <v>Si</v>
      </c>
      <c r="K2457" s="1" t="str">
        <f t="shared" si="350"/>
        <v/>
      </c>
    </row>
    <row r="2458" spans="1:11" x14ac:dyDescent="0.3">
      <c r="A2458" s="1">
        <v>47</v>
      </c>
      <c r="B2458" s="1">
        <v>43</v>
      </c>
      <c r="C2458" s="12">
        <f t="shared" si="342"/>
        <v>1.65</v>
      </c>
      <c r="D2458" s="12">
        <f t="shared" si="343"/>
        <v>1.35</v>
      </c>
      <c r="E2458" s="12">
        <f t="shared" si="344"/>
        <v>11.043624647111109</v>
      </c>
      <c r="F2458" s="12">
        <f t="shared" si="345"/>
        <v>11.043624647111109</v>
      </c>
      <c r="G2458" s="12">
        <f t="shared" si="346"/>
        <v>14.465261084444442</v>
      </c>
      <c r="H2458" s="12">
        <f t="shared" si="347"/>
        <v>14.465261084444442</v>
      </c>
      <c r="I2458" s="1" t="str">
        <f t="shared" si="348"/>
        <v>No</v>
      </c>
      <c r="J2458" s="1" t="str">
        <f t="shared" si="349"/>
        <v>Si</v>
      </c>
      <c r="K2458" s="1" t="str">
        <f t="shared" si="350"/>
        <v/>
      </c>
    </row>
    <row r="2459" spans="1:11" x14ac:dyDescent="0.3">
      <c r="A2459" s="1">
        <v>47</v>
      </c>
      <c r="B2459" s="1">
        <v>44</v>
      </c>
      <c r="C2459" s="12">
        <f t="shared" si="342"/>
        <v>1.65</v>
      </c>
      <c r="D2459" s="12">
        <f t="shared" si="343"/>
        <v>1.4249999999999998</v>
      </c>
      <c r="E2459" s="12">
        <f t="shared" si="344"/>
        <v>11.041136554666666</v>
      </c>
      <c r="F2459" s="12">
        <f t="shared" si="345"/>
        <v>11.041136554666666</v>
      </c>
      <c r="G2459" s="12">
        <f t="shared" si="346"/>
        <v>14.461756728888886</v>
      </c>
      <c r="H2459" s="12">
        <f t="shared" si="347"/>
        <v>14.461756728888886</v>
      </c>
      <c r="I2459" s="1" t="str">
        <f t="shared" si="348"/>
        <v>No</v>
      </c>
      <c r="J2459" s="1" t="str">
        <f t="shared" si="349"/>
        <v>Si</v>
      </c>
      <c r="K2459" s="1" t="str">
        <f t="shared" si="350"/>
        <v/>
      </c>
    </row>
    <row r="2460" spans="1:11" x14ac:dyDescent="0.3">
      <c r="A2460" s="1">
        <v>47</v>
      </c>
      <c r="B2460" s="1">
        <v>45</v>
      </c>
      <c r="C2460" s="12">
        <f t="shared" si="342"/>
        <v>1.65</v>
      </c>
      <c r="D2460" s="12">
        <f t="shared" si="343"/>
        <v>1.5</v>
      </c>
      <c r="E2460" s="12">
        <f t="shared" si="344"/>
        <v>11.038648462222222</v>
      </c>
      <c r="F2460" s="12">
        <f t="shared" si="345"/>
        <v>11.038648462222222</v>
      </c>
      <c r="G2460" s="12">
        <f t="shared" si="346"/>
        <v>14.458252373333332</v>
      </c>
      <c r="H2460" s="12">
        <f t="shared" si="347"/>
        <v>14.458252373333332</v>
      </c>
      <c r="I2460" s="1" t="str">
        <f t="shared" si="348"/>
        <v>No</v>
      </c>
      <c r="J2460" s="1" t="str">
        <f t="shared" si="349"/>
        <v>Si</v>
      </c>
      <c r="K2460" s="1" t="str">
        <f t="shared" si="350"/>
        <v/>
      </c>
    </row>
    <row r="2461" spans="1:11" x14ac:dyDescent="0.3">
      <c r="A2461" s="1">
        <v>47</v>
      </c>
      <c r="B2461" s="1">
        <v>46</v>
      </c>
      <c r="C2461" s="12">
        <f t="shared" si="342"/>
        <v>1.65</v>
      </c>
      <c r="D2461" s="12">
        <f t="shared" si="343"/>
        <v>1.5750000000000002</v>
      </c>
      <c r="E2461" s="12">
        <f t="shared" si="344"/>
        <v>11.036160369777777</v>
      </c>
      <c r="F2461" s="12">
        <f t="shared" si="345"/>
        <v>11.036160369777777</v>
      </c>
      <c r="G2461" s="12">
        <f t="shared" si="346"/>
        <v>14.454748017777776</v>
      </c>
      <c r="H2461" s="12">
        <f t="shared" si="347"/>
        <v>14.454748017777776</v>
      </c>
      <c r="I2461" s="1" t="str">
        <f t="shared" si="348"/>
        <v>No</v>
      </c>
      <c r="J2461" s="1" t="str">
        <f t="shared" si="349"/>
        <v>Si</v>
      </c>
      <c r="K2461" s="1" t="str">
        <f t="shared" si="350"/>
        <v/>
      </c>
    </row>
    <row r="2462" spans="1:11" x14ac:dyDescent="0.3">
      <c r="A2462" s="1">
        <v>47</v>
      </c>
      <c r="B2462" s="1">
        <v>47</v>
      </c>
      <c r="C2462" s="12">
        <f t="shared" si="342"/>
        <v>1.65</v>
      </c>
      <c r="D2462" s="12">
        <f t="shared" si="343"/>
        <v>1.65</v>
      </c>
      <c r="E2462" s="12">
        <f t="shared" si="344"/>
        <v>11.033672277333332</v>
      </c>
      <c r="F2462" s="12">
        <f t="shared" si="345"/>
        <v>11.033672277333332</v>
      </c>
      <c r="G2462" s="12">
        <f t="shared" si="346"/>
        <v>14.45124366222222</v>
      </c>
      <c r="H2462" s="12">
        <f t="shared" si="347"/>
        <v>14.45124366222222</v>
      </c>
      <c r="I2462" s="1" t="str">
        <f t="shared" si="348"/>
        <v>No</v>
      </c>
      <c r="J2462" s="1" t="str">
        <f t="shared" si="349"/>
        <v>Si</v>
      </c>
      <c r="K2462" s="1" t="str">
        <f t="shared" si="350"/>
        <v/>
      </c>
    </row>
    <row r="2463" spans="1:11" x14ac:dyDescent="0.3">
      <c r="A2463" s="1">
        <v>47</v>
      </c>
      <c r="B2463" s="1">
        <v>48</v>
      </c>
      <c r="C2463" s="12">
        <f t="shared" si="342"/>
        <v>1.65</v>
      </c>
      <c r="D2463" s="12">
        <f t="shared" si="343"/>
        <v>1.7250000000000001</v>
      </c>
      <c r="E2463" s="12">
        <f t="shared" si="344"/>
        <v>11.031184184888888</v>
      </c>
      <c r="F2463" s="12">
        <f t="shared" si="345"/>
        <v>11.031184184888888</v>
      </c>
      <c r="G2463" s="12">
        <f t="shared" si="346"/>
        <v>14.447739306666666</v>
      </c>
      <c r="H2463" s="12">
        <f t="shared" si="347"/>
        <v>14.447739306666666</v>
      </c>
      <c r="I2463" s="1" t="str">
        <f t="shared" si="348"/>
        <v>No</v>
      </c>
      <c r="J2463" s="1" t="str">
        <f t="shared" si="349"/>
        <v>Si</v>
      </c>
      <c r="K2463" s="1" t="str">
        <f t="shared" si="350"/>
        <v/>
      </c>
    </row>
    <row r="2464" spans="1:11" x14ac:dyDescent="0.3">
      <c r="A2464" s="1">
        <v>47</v>
      </c>
      <c r="B2464" s="1">
        <v>49</v>
      </c>
      <c r="C2464" s="12">
        <f t="shared" si="342"/>
        <v>1.65</v>
      </c>
      <c r="D2464" s="12">
        <f t="shared" si="343"/>
        <v>1.7999999999999998</v>
      </c>
      <c r="E2464" s="12">
        <f t="shared" si="344"/>
        <v>11.028696092444443</v>
      </c>
      <c r="F2464" s="12">
        <f t="shared" si="345"/>
        <v>11.028696092444443</v>
      </c>
      <c r="G2464" s="12">
        <f t="shared" si="346"/>
        <v>14.44423495111111</v>
      </c>
      <c r="H2464" s="12">
        <f t="shared" si="347"/>
        <v>14.44423495111111</v>
      </c>
      <c r="I2464" s="1" t="str">
        <f t="shared" si="348"/>
        <v>No</v>
      </c>
      <c r="J2464" s="1" t="str">
        <f t="shared" si="349"/>
        <v>Si</v>
      </c>
      <c r="K2464" s="1" t="str">
        <f t="shared" si="350"/>
        <v/>
      </c>
    </row>
    <row r="2465" spans="1:11" x14ac:dyDescent="0.3">
      <c r="A2465" s="1">
        <v>47</v>
      </c>
      <c r="B2465" s="1">
        <v>50</v>
      </c>
      <c r="C2465" s="12">
        <f t="shared" si="342"/>
        <v>1.65</v>
      </c>
      <c r="D2465" s="12">
        <f t="shared" si="343"/>
        <v>1.875</v>
      </c>
      <c r="E2465" s="12">
        <f t="shared" si="344"/>
        <v>11.026207999999999</v>
      </c>
      <c r="F2465" s="12">
        <f t="shared" si="345"/>
        <v>11.026207999999999</v>
      </c>
      <c r="G2465" s="12">
        <f t="shared" si="346"/>
        <v>14.440730595555554</v>
      </c>
      <c r="H2465" s="12">
        <f t="shared" si="347"/>
        <v>14.440730595555554</v>
      </c>
      <c r="I2465" s="1" t="str">
        <f t="shared" si="348"/>
        <v>No</v>
      </c>
      <c r="J2465" s="1" t="str">
        <f t="shared" si="349"/>
        <v>Si</v>
      </c>
      <c r="K2465" s="1" t="str">
        <f t="shared" si="350"/>
        <v/>
      </c>
    </row>
    <row r="2466" spans="1:11" x14ac:dyDescent="0.3">
      <c r="A2466" s="1">
        <v>48</v>
      </c>
      <c r="B2466" s="1">
        <v>0</v>
      </c>
      <c r="C2466" s="12">
        <f t="shared" si="342"/>
        <v>1.7250000000000001</v>
      </c>
      <c r="D2466" s="12">
        <f t="shared" si="343"/>
        <v>-1.875</v>
      </c>
      <c r="E2466" s="12">
        <f t="shared" si="344"/>
        <v>11.151306666666665</v>
      </c>
      <c r="F2466" s="12">
        <f t="shared" si="345"/>
        <v>11.151306666666665</v>
      </c>
      <c r="G2466" s="12">
        <f t="shared" si="346"/>
        <v>14.616986026666666</v>
      </c>
      <c r="H2466" s="12">
        <f t="shared" si="347"/>
        <v>14.616986026666666</v>
      </c>
      <c r="I2466" s="1" t="str">
        <f t="shared" si="348"/>
        <v>No</v>
      </c>
      <c r="J2466" s="1" t="str">
        <f t="shared" si="349"/>
        <v>Si</v>
      </c>
      <c r="K2466" s="1" t="str">
        <f t="shared" si="350"/>
        <v/>
      </c>
    </row>
    <row r="2467" spans="1:11" x14ac:dyDescent="0.3">
      <c r="A2467" s="1">
        <v>48</v>
      </c>
      <c r="B2467" s="1">
        <v>1</v>
      </c>
      <c r="C2467" s="12">
        <f t="shared" si="342"/>
        <v>1.7250000000000001</v>
      </c>
      <c r="D2467" s="12">
        <f t="shared" si="343"/>
        <v>-1.8</v>
      </c>
      <c r="E2467" s="12">
        <f t="shared" si="344"/>
        <v>11.14881857422222</v>
      </c>
      <c r="F2467" s="12">
        <f t="shared" si="345"/>
        <v>11.14881857422222</v>
      </c>
      <c r="G2467" s="12">
        <f t="shared" si="346"/>
        <v>14.61348167111111</v>
      </c>
      <c r="H2467" s="12">
        <f t="shared" si="347"/>
        <v>14.61348167111111</v>
      </c>
      <c r="I2467" s="1" t="str">
        <f t="shared" si="348"/>
        <v>No</v>
      </c>
      <c r="J2467" s="1" t="str">
        <f t="shared" si="349"/>
        <v>Si</v>
      </c>
      <c r="K2467" s="1" t="str">
        <f t="shared" si="350"/>
        <v/>
      </c>
    </row>
    <row r="2468" spans="1:11" x14ac:dyDescent="0.3">
      <c r="A2468" s="1">
        <v>48</v>
      </c>
      <c r="B2468" s="1">
        <v>2</v>
      </c>
      <c r="C2468" s="12">
        <f t="shared" si="342"/>
        <v>1.7250000000000001</v>
      </c>
      <c r="D2468" s="12">
        <f t="shared" si="343"/>
        <v>-1.7250000000000001</v>
      </c>
      <c r="E2468" s="12">
        <f t="shared" si="344"/>
        <v>11.146330481777776</v>
      </c>
      <c r="F2468" s="12">
        <f t="shared" si="345"/>
        <v>11.146330481777776</v>
      </c>
      <c r="G2468" s="12">
        <f t="shared" si="346"/>
        <v>14.609977315555554</v>
      </c>
      <c r="H2468" s="12">
        <f t="shared" si="347"/>
        <v>14.609977315555554</v>
      </c>
      <c r="I2468" s="1" t="str">
        <f t="shared" si="348"/>
        <v>No</v>
      </c>
      <c r="J2468" s="1" t="str">
        <f t="shared" si="349"/>
        <v>Si</v>
      </c>
      <c r="K2468" s="1" t="str">
        <f t="shared" si="350"/>
        <v/>
      </c>
    </row>
    <row r="2469" spans="1:11" x14ac:dyDescent="0.3">
      <c r="A2469" s="1">
        <v>48</v>
      </c>
      <c r="B2469" s="1">
        <v>3</v>
      </c>
      <c r="C2469" s="12">
        <f t="shared" si="342"/>
        <v>1.7250000000000001</v>
      </c>
      <c r="D2469" s="12">
        <f t="shared" si="343"/>
        <v>-1.65</v>
      </c>
      <c r="E2469" s="12">
        <f t="shared" si="344"/>
        <v>11.143842389333331</v>
      </c>
      <c r="F2469" s="12">
        <f t="shared" si="345"/>
        <v>11.143842389333331</v>
      </c>
      <c r="G2469" s="12">
        <f t="shared" si="346"/>
        <v>14.60647296</v>
      </c>
      <c r="H2469" s="12">
        <f t="shared" si="347"/>
        <v>14.60647296</v>
      </c>
      <c r="I2469" s="1" t="str">
        <f t="shared" si="348"/>
        <v>No</v>
      </c>
      <c r="J2469" s="1" t="str">
        <f t="shared" si="349"/>
        <v>Si</v>
      </c>
      <c r="K2469" s="1" t="str">
        <f t="shared" si="350"/>
        <v/>
      </c>
    </row>
    <row r="2470" spans="1:11" x14ac:dyDescent="0.3">
      <c r="A2470" s="1">
        <v>48</v>
      </c>
      <c r="B2470" s="1">
        <v>4</v>
      </c>
      <c r="C2470" s="12">
        <f t="shared" si="342"/>
        <v>1.7250000000000001</v>
      </c>
      <c r="D2470" s="12">
        <f t="shared" si="343"/>
        <v>-1.575</v>
      </c>
      <c r="E2470" s="12">
        <f t="shared" si="344"/>
        <v>11.141354296888887</v>
      </c>
      <c r="F2470" s="12">
        <f t="shared" si="345"/>
        <v>11.141354296888887</v>
      </c>
      <c r="G2470" s="12">
        <f t="shared" si="346"/>
        <v>14.602968604444444</v>
      </c>
      <c r="H2470" s="12">
        <f t="shared" si="347"/>
        <v>14.602968604444444</v>
      </c>
      <c r="I2470" s="1" t="str">
        <f t="shared" si="348"/>
        <v>No</v>
      </c>
      <c r="J2470" s="1" t="str">
        <f t="shared" si="349"/>
        <v>Si</v>
      </c>
      <c r="K2470" s="1" t="str">
        <f t="shared" si="350"/>
        <v/>
      </c>
    </row>
    <row r="2471" spans="1:11" x14ac:dyDescent="0.3">
      <c r="A2471" s="1">
        <v>48</v>
      </c>
      <c r="B2471" s="1">
        <v>5</v>
      </c>
      <c r="C2471" s="12">
        <f t="shared" si="342"/>
        <v>1.7250000000000001</v>
      </c>
      <c r="D2471" s="12">
        <f t="shared" si="343"/>
        <v>-1.5</v>
      </c>
      <c r="E2471" s="12">
        <f t="shared" si="344"/>
        <v>11.138866204444442</v>
      </c>
      <c r="F2471" s="12">
        <f t="shared" si="345"/>
        <v>11.138866204444442</v>
      </c>
      <c r="G2471" s="12">
        <f t="shared" si="346"/>
        <v>14.599464248888887</v>
      </c>
      <c r="H2471" s="12">
        <f t="shared" si="347"/>
        <v>14.599464248888887</v>
      </c>
      <c r="I2471" s="1" t="str">
        <f t="shared" si="348"/>
        <v>No</v>
      </c>
      <c r="J2471" s="1" t="str">
        <f t="shared" si="349"/>
        <v>Si</v>
      </c>
      <c r="K2471" s="1" t="str">
        <f t="shared" si="350"/>
        <v/>
      </c>
    </row>
    <row r="2472" spans="1:11" x14ac:dyDescent="0.3">
      <c r="A2472" s="1">
        <v>48</v>
      </c>
      <c r="B2472" s="1">
        <v>6</v>
      </c>
      <c r="C2472" s="12">
        <f t="shared" si="342"/>
        <v>1.7250000000000001</v>
      </c>
      <c r="D2472" s="12">
        <f t="shared" si="343"/>
        <v>-1.425</v>
      </c>
      <c r="E2472" s="12">
        <f t="shared" si="344"/>
        <v>11.136378111999997</v>
      </c>
      <c r="F2472" s="12">
        <f t="shared" si="345"/>
        <v>11.136378111999997</v>
      </c>
      <c r="G2472" s="12">
        <f t="shared" si="346"/>
        <v>14.595959893333333</v>
      </c>
      <c r="H2472" s="12">
        <f t="shared" si="347"/>
        <v>14.595959893333333</v>
      </c>
      <c r="I2472" s="1" t="str">
        <f t="shared" si="348"/>
        <v>No</v>
      </c>
      <c r="J2472" s="1" t="str">
        <f t="shared" si="349"/>
        <v>Si</v>
      </c>
      <c r="K2472" s="1" t="str">
        <f t="shared" si="350"/>
        <v/>
      </c>
    </row>
    <row r="2473" spans="1:11" x14ac:dyDescent="0.3">
      <c r="A2473" s="1">
        <v>48</v>
      </c>
      <c r="B2473" s="1">
        <v>7</v>
      </c>
      <c r="C2473" s="12">
        <f t="shared" si="342"/>
        <v>1.7250000000000001</v>
      </c>
      <c r="D2473" s="12">
        <f t="shared" si="343"/>
        <v>-1.35</v>
      </c>
      <c r="E2473" s="12">
        <f t="shared" si="344"/>
        <v>11.133890019555555</v>
      </c>
      <c r="F2473" s="12">
        <f t="shared" si="345"/>
        <v>11.133890019555555</v>
      </c>
      <c r="G2473" s="12">
        <f t="shared" si="346"/>
        <v>14.592455537777777</v>
      </c>
      <c r="H2473" s="12">
        <f t="shared" si="347"/>
        <v>14.592455537777777</v>
      </c>
      <c r="I2473" s="1" t="str">
        <f t="shared" si="348"/>
        <v>No</v>
      </c>
      <c r="J2473" s="1" t="str">
        <f t="shared" si="349"/>
        <v>Si</v>
      </c>
      <c r="K2473" s="1" t="str">
        <f t="shared" si="350"/>
        <v/>
      </c>
    </row>
    <row r="2474" spans="1:11" x14ac:dyDescent="0.3">
      <c r="A2474" s="1">
        <v>48</v>
      </c>
      <c r="B2474" s="1">
        <v>8</v>
      </c>
      <c r="C2474" s="12">
        <f t="shared" si="342"/>
        <v>1.7250000000000001</v>
      </c>
      <c r="D2474" s="12">
        <f t="shared" si="343"/>
        <v>-1.2749999999999999</v>
      </c>
      <c r="E2474" s="12">
        <f t="shared" si="344"/>
        <v>11.13140192711111</v>
      </c>
      <c r="F2474" s="12">
        <f t="shared" si="345"/>
        <v>11.13140192711111</v>
      </c>
      <c r="G2474" s="12">
        <f t="shared" si="346"/>
        <v>14.588951182222221</v>
      </c>
      <c r="H2474" s="12">
        <f t="shared" si="347"/>
        <v>14.588951182222221</v>
      </c>
      <c r="I2474" s="1" t="str">
        <f t="shared" si="348"/>
        <v>No</v>
      </c>
      <c r="J2474" s="1" t="str">
        <f t="shared" si="349"/>
        <v>Si</v>
      </c>
      <c r="K2474" s="1" t="str">
        <f t="shared" si="350"/>
        <v/>
      </c>
    </row>
    <row r="2475" spans="1:11" x14ac:dyDescent="0.3">
      <c r="A2475" s="1">
        <v>48</v>
      </c>
      <c r="B2475" s="1">
        <v>9</v>
      </c>
      <c r="C2475" s="12">
        <f t="shared" si="342"/>
        <v>1.7250000000000001</v>
      </c>
      <c r="D2475" s="12">
        <f t="shared" si="343"/>
        <v>-1.2</v>
      </c>
      <c r="E2475" s="12">
        <f t="shared" si="344"/>
        <v>11.128913834666665</v>
      </c>
      <c r="F2475" s="12">
        <f t="shared" si="345"/>
        <v>11.128913834666665</v>
      </c>
      <c r="G2475" s="12">
        <f t="shared" si="346"/>
        <v>14.585446826666665</v>
      </c>
      <c r="H2475" s="12">
        <f t="shared" si="347"/>
        <v>14.585446826666665</v>
      </c>
      <c r="I2475" s="1" t="str">
        <f t="shared" si="348"/>
        <v>No</v>
      </c>
      <c r="J2475" s="1" t="str">
        <f t="shared" si="349"/>
        <v>Si</v>
      </c>
      <c r="K2475" s="1" t="str">
        <f t="shared" si="350"/>
        <v/>
      </c>
    </row>
    <row r="2476" spans="1:11" x14ac:dyDescent="0.3">
      <c r="A2476" s="1">
        <v>48</v>
      </c>
      <c r="B2476" s="1">
        <v>10</v>
      </c>
      <c r="C2476" s="12">
        <f t="shared" si="342"/>
        <v>1.7250000000000001</v>
      </c>
      <c r="D2476" s="12">
        <f t="shared" si="343"/>
        <v>-1.125</v>
      </c>
      <c r="E2476" s="12">
        <f t="shared" si="344"/>
        <v>11.126425742222221</v>
      </c>
      <c r="F2476" s="12">
        <f t="shared" si="345"/>
        <v>11.126425742222221</v>
      </c>
      <c r="G2476" s="12">
        <f t="shared" si="346"/>
        <v>14.581942471111111</v>
      </c>
      <c r="H2476" s="12">
        <f t="shared" si="347"/>
        <v>14.581942471111111</v>
      </c>
      <c r="I2476" s="1" t="str">
        <f t="shared" si="348"/>
        <v>No</v>
      </c>
      <c r="J2476" s="1" t="str">
        <f t="shared" si="349"/>
        <v>Si</v>
      </c>
      <c r="K2476" s="1" t="str">
        <f t="shared" si="350"/>
        <v/>
      </c>
    </row>
    <row r="2477" spans="1:11" x14ac:dyDescent="0.3">
      <c r="A2477" s="1">
        <v>48</v>
      </c>
      <c r="B2477" s="1">
        <v>11</v>
      </c>
      <c r="C2477" s="12">
        <f t="shared" si="342"/>
        <v>1.7250000000000001</v>
      </c>
      <c r="D2477" s="12">
        <f t="shared" si="343"/>
        <v>-1.05</v>
      </c>
      <c r="E2477" s="12">
        <f t="shared" si="344"/>
        <v>11.123937649777776</v>
      </c>
      <c r="F2477" s="12">
        <f t="shared" si="345"/>
        <v>11.123937649777776</v>
      </c>
      <c r="G2477" s="12">
        <f t="shared" si="346"/>
        <v>14.578438115555555</v>
      </c>
      <c r="H2477" s="12">
        <f t="shared" si="347"/>
        <v>14.578438115555555</v>
      </c>
      <c r="I2477" s="1" t="str">
        <f t="shared" si="348"/>
        <v>No</v>
      </c>
      <c r="J2477" s="1" t="str">
        <f t="shared" si="349"/>
        <v>Si</v>
      </c>
      <c r="K2477" s="1" t="str">
        <f t="shared" si="350"/>
        <v/>
      </c>
    </row>
    <row r="2478" spans="1:11" x14ac:dyDescent="0.3">
      <c r="A2478" s="1">
        <v>48</v>
      </c>
      <c r="B2478" s="1">
        <v>12</v>
      </c>
      <c r="C2478" s="12">
        <f t="shared" si="342"/>
        <v>1.7250000000000001</v>
      </c>
      <c r="D2478" s="12">
        <f t="shared" si="343"/>
        <v>-0.97499999999999998</v>
      </c>
      <c r="E2478" s="12">
        <f t="shared" si="344"/>
        <v>11.121449557333332</v>
      </c>
      <c r="F2478" s="12">
        <f t="shared" si="345"/>
        <v>11.121449557333332</v>
      </c>
      <c r="G2478" s="12">
        <f t="shared" si="346"/>
        <v>14.574933759999999</v>
      </c>
      <c r="H2478" s="12">
        <f t="shared" si="347"/>
        <v>14.574933759999999</v>
      </c>
      <c r="I2478" s="1" t="str">
        <f t="shared" si="348"/>
        <v>No</v>
      </c>
      <c r="J2478" s="1" t="str">
        <f t="shared" si="349"/>
        <v>Si</v>
      </c>
      <c r="K2478" s="1" t="str">
        <f t="shared" si="350"/>
        <v/>
      </c>
    </row>
    <row r="2479" spans="1:11" x14ac:dyDescent="0.3">
      <c r="A2479" s="1">
        <v>48</v>
      </c>
      <c r="B2479" s="1">
        <v>13</v>
      </c>
      <c r="C2479" s="12">
        <f t="shared" si="342"/>
        <v>1.7250000000000001</v>
      </c>
      <c r="D2479" s="12">
        <f t="shared" si="343"/>
        <v>-0.9</v>
      </c>
      <c r="E2479" s="12">
        <f t="shared" si="344"/>
        <v>11.118961464888887</v>
      </c>
      <c r="F2479" s="12">
        <f t="shared" si="345"/>
        <v>11.118961464888887</v>
      </c>
      <c r="G2479" s="12">
        <f t="shared" si="346"/>
        <v>14.571429404444444</v>
      </c>
      <c r="H2479" s="12">
        <f t="shared" si="347"/>
        <v>14.571429404444444</v>
      </c>
      <c r="I2479" s="1" t="str">
        <f t="shared" si="348"/>
        <v>No</v>
      </c>
      <c r="J2479" s="1" t="str">
        <f t="shared" si="349"/>
        <v>Si</v>
      </c>
      <c r="K2479" s="1" t="str">
        <f t="shared" si="350"/>
        <v/>
      </c>
    </row>
    <row r="2480" spans="1:11" x14ac:dyDescent="0.3">
      <c r="A2480" s="1">
        <v>48</v>
      </c>
      <c r="B2480" s="1">
        <v>14</v>
      </c>
      <c r="C2480" s="12">
        <f t="shared" si="342"/>
        <v>1.7250000000000001</v>
      </c>
      <c r="D2480" s="12">
        <f t="shared" si="343"/>
        <v>-0.82499999999999996</v>
      </c>
      <c r="E2480" s="12">
        <f t="shared" si="344"/>
        <v>11.116473372444442</v>
      </c>
      <c r="F2480" s="12">
        <f t="shared" si="345"/>
        <v>11.116473372444442</v>
      </c>
      <c r="G2480" s="12">
        <f t="shared" si="346"/>
        <v>14.567925048888888</v>
      </c>
      <c r="H2480" s="12">
        <f t="shared" si="347"/>
        <v>14.567925048888888</v>
      </c>
      <c r="I2480" s="1" t="str">
        <f t="shared" si="348"/>
        <v>No</v>
      </c>
      <c r="J2480" s="1" t="str">
        <f t="shared" si="349"/>
        <v>Si</v>
      </c>
      <c r="K2480" s="1" t="str">
        <f t="shared" si="350"/>
        <v/>
      </c>
    </row>
    <row r="2481" spans="1:11" x14ac:dyDescent="0.3">
      <c r="A2481" s="1">
        <v>48</v>
      </c>
      <c r="B2481" s="1">
        <v>15</v>
      </c>
      <c r="C2481" s="12">
        <f t="shared" si="342"/>
        <v>1.7250000000000001</v>
      </c>
      <c r="D2481" s="12">
        <f t="shared" si="343"/>
        <v>-0.75</v>
      </c>
      <c r="E2481" s="12">
        <f t="shared" si="344"/>
        <v>11.113985279999998</v>
      </c>
      <c r="F2481" s="12">
        <f t="shared" si="345"/>
        <v>11.113985279999998</v>
      </c>
      <c r="G2481" s="12">
        <f t="shared" si="346"/>
        <v>14.564420693333332</v>
      </c>
      <c r="H2481" s="12">
        <f t="shared" si="347"/>
        <v>14.564420693333332</v>
      </c>
      <c r="I2481" s="1" t="str">
        <f t="shared" si="348"/>
        <v>No</v>
      </c>
      <c r="J2481" s="1" t="str">
        <f t="shared" si="349"/>
        <v>Si</v>
      </c>
      <c r="K2481" s="1" t="str">
        <f t="shared" si="350"/>
        <v/>
      </c>
    </row>
    <row r="2482" spans="1:11" x14ac:dyDescent="0.3">
      <c r="A2482" s="1">
        <v>48</v>
      </c>
      <c r="B2482" s="1">
        <v>16</v>
      </c>
      <c r="C2482" s="12">
        <f t="shared" si="342"/>
        <v>1.7250000000000001</v>
      </c>
      <c r="D2482" s="12">
        <f t="shared" si="343"/>
        <v>-0.67500000000000004</v>
      </c>
      <c r="E2482" s="12">
        <f t="shared" si="344"/>
        <v>11.111497187555553</v>
      </c>
      <c r="F2482" s="12">
        <f t="shared" si="345"/>
        <v>11.111497187555553</v>
      </c>
      <c r="G2482" s="12">
        <f t="shared" si="346"/>
        <v>14.560916337777776</v>
      </c>
      <c r="H2482" s="12">
        <f t="shared" si="347"/>
        <v>14.560916337777776</v>
      </c>
      <c r="I2482" s="1" t="str">
        <f t="shared" si="348"/>
        <v>No</v>
      </c>
      <c r="J2482" s="1" t="str">
        <f t="shared" si="349"/>
        <v>Si</v>
      </c>
      <c r="K2482" s="1" t="str">
        <f t="shared" si="350"/>
        <v/>
      </c>
    </row>
    <row r="2483" spans="1:11" x14ac:dyDescent="0.3">
      <c r="A2483" s="1">
        <v>48</v>
      </c>
      <c r="B2483" s="1">
        <v>17</v>
      </c>
      <c r="C2483" s="12">
        <f t="shared" si="342"/>
        <v>1.7250000000000001</v>
      </c>
      <c r="D2483" s="12">
        <f t="shared" si="343"/>
        <v>-0.60000000000000009</v>
      </c>
      <c r="E2483" s="12">
        <f t="shared" si="344"/>
        <v>11.109009095111109</v>
      </c>
      <c r="F2483" s="12">
        <f t="shared" si="345"/>
        <v>11.109009095111109</v>
      </c>
      <c r="G2483" s="12">
        <f t="shared" si="346"/>
        <v>14.557411982222222</v>
      </c>
      <c r="H2483" s="12">
        <f t="shared" si="347"/>
        <v>14.557411982222222</v>
      </c>
      <c r="I2483" s="1" t="str">
        <f t="shared" si="348"/>
        <v>No</v>
      </c>
      <c r="J2483" s="1" t="str">
        <f t="shared" si="349"/>
        <v>Si</v>
      </c>
      <c r="K2483" s="1" t="str">
        <f t="shared" si="350"/>
        <v/>
      </c>
    </row>
    <row r="2484" spans="1:11" x14ac:dyDescent="0.3">
      <c r="A2484" s="1">
        <v>48</v>
      </c>
      <c r="B2484" s="1">
        <v>18</v>
      </c>
      <c r="C2484" s="12">
        <f t="shared" si="342"/>
        <v>1.7250000000000001</v>
      </c>
      <c r="D2484" s="12">
        <f t="shared" si="343"/>
        <v>-0.52499999999999991</v>
      </c>
      <c r="E2484" s="12">
        <f t="shared" si="344"/>
        <v>11.106521002666664</v>
      </c>
      <c r="F2484" s="12">
        <f t="shared" si="345"/>
        <v>11.106521002666664</v>
      </c>
      <c r="G2484" s="12">
        <f t="shared" si="346"/>
        <v>14.553907626666666</v>
      </c>
      <c r="H2484" s="12">
        <f t="shared" si="347"/>
        <v>14.553907626666666</v>
      </c>
      <c r="I2484" s="1" t="str">
        <f t="shared" si="348"/>
        <v>No</v>
      </c>
      <c r="J2484" s="1" t="str">
        <f t="shared" si="349"/>
        <v>Si</v>
      </c>
      <c r="K2484" s="1" t="str">
        <f t="shared" si="350"/>
        <v/>
      </c>
    </row>
    <row r="2485" spans="1:11" x14ac:dyDescent="0.3">
      <c r="A2485" s="1">
        <v>48</v>
      </c>
      <c r="B2485" s="1">
        <v>19</v>
      </c>
      <c r="C2485" s="12">
        <f t="shared" si="342"/>
        <v>1.7250000000000001</v>
      </c>
      <c r="D2485" s="12">
        <f t="shared" si="343"/>
        <v>-0.44999999999999996</v>
      </c>
      <c r="E2485" s="12">
        <f t="shared" si="344"/>
        <v>11.104032910222221</v>
      </c>
      <c r="F2485" s="12">
        <f t="shared" si="345"/>
        <v>11.104032910222221</v>
      </c>
      <c r="G2485" s="12">
        <f t="shared" si="346"/>
        <v>14.55040327111111</v>
      </c>
      <c r="H2485" s="12">
        <f t="shared" si="347"/>
        <v>14.55040327111111</v>
      </c>
      <c r="I2485" s="1" t="str">
        <f t="shared" si="348"/>
        <v>No</v>
      </c>
      <c r="J2485" s="1" t="str">
        <f t="shared" si="349"/>
        <v>Si</v>
      </c>
      <c r="K2485" s="1" t="str">
        <f t="shared" si="350"/>
        <v/>
      </c>
    </row>
    <row r="2486" spans="1:11" x14ac:dyDescent="0.3">
      <c r="A2486" s="1">
        <v>48</v>
      </c>
      <c r="B2486" s="1">
        <v>20</v>
      </c>
      <c r="C2486" s="12">
        <f t="shared" si="342"/>
        <v>1.7250000000000001</v>
      </c>
      <c r="D2486" s="12">
        <f t="shared" si="343"/>
        <v>-0.375</v>
      </c>
      <c r="E2486" s="12">
        <f t="shared" si="344"/>
        <v>11.101544817777777</v>
      </c>
      <c r="F2486" s="12">
        <f t="shared" si="345"/>
        <v>11.101544817777777</v>
      </c>
      <c r="G2486" s="12">
        <f t="shared" si="346"/>
        <v>14.546898915555555</v>
      </c>
      <c r="H2486" s="12">
        <f t="shared" si="347"/>
        <v>14.546898915555555</v>
      </c>
      <c r="I2486" s="1" t="str">
        <f t="shared" si="348"/>
        <v>No</v>
      </c>
      <c r="J2486" s="1" t="str">
        <f t="shared" si="349"/>
        <v>Si</v>
      </c>
      <c r="K2486" s="1" t="str">
        <f t="shared" si="350"/>
        <v/>
      </c>
    </row>
    <row r="2487" spans="1:11" x14ac:dyDescent="0.3">
      <c r="A2487" s="1">
        <v>48</v>
      </c>
      <c r="B2487" s="1">
        <v>21</v>
      </c>
      <c r="C2487" s="12">
        <f t="shared" si="342"/>
        <v>1.7250000000000001</v>
      </c>
      <c r="D2487" s="12">
        <f t="shared" si="343"/>
        <v>-0.30000000000000004</v>
      </c>
      <c r="E2487" s="12">
        <f t="shared" si="344"/>
        <v>11.099056725333332</v>
      </c>
      <c r="F2487" s="12">
        <f t="shared" si="345"/>
        <v>11.099056725333332</v>
      </c>
      <c r="G2487" s="12">
        <f t="shared" si="346"/>
        <v>14.543394559999999</v>
      </c>
      <c r="H2487" s="12">
        <f t="shared" si="347"/>
        <v>14.543394559999999</v>
      </c>
      <c r="I2487" s="1" t="str">
        <f t="shared" si="348"/>
        <v>No</v>
      </c>
      <c r="J2487" s="1" t="str">
        <f t="shared" si="349"/>
        <v>Si</v>
      </c>
      <c r="K2487" s="1" t="str">
        <f t="shared" si="350"/>
        <v/>
      </c>
    </row>
    <row r="2488" spans="1:11" x14ac:dyDescent="0.3">
      <c r="A2488" s="1">
        <v>48</v>
      </c>
      <c r="B2488" s="1">
        <v>22</v>
      </c>
      <c r="C2488" s="12">
        <f t="shared" si="342"/>
        <v>1.7250000000000001</v>
      </c>
      <c r="D2488" s="12">
        <f t="shared" si="343"/>
        <v>-0.22500000000000009</v>
      </c>
      <c r="E2488" s="12">
        <f t="shared" si="344"/>
        <v>11.096568632888888</v>
      </c>
      <c r="F2488" s="12">
        <f t="shared" si="345"/>
        <v>11.096568632888888</v>
      </c>
      <c r="G2488" s="12">
        <f t="shared" si="346"/>
        <v>14.539890204444443</v>
      </c>
      <c r="H2488" s="12">
        <f t="shared" si="347"/>
        <v>14.539890204444443</v>
      </c>
      <c r="I2488" s="1" t="str">
        <f t="shared" si="348"/>
        <v>No</v>
      </c>
      <c r="J2488" s="1" t="str">
        <f t="shared" si="349"/>
        <v>Si</v>
      </c>
      <c r="K2488" s="1" t="str">
        <f t="shared" si="350"/>
        <v/>
      </c>
    </row>
    <row r="2489" spans="1:11" x14ac:dyDescent="0.3">
      <c r="A2489" s="1">
        <v>48</v>
      </c>
      <c r="B2489" s="1">
        <v>23</v>
      </c>
      <c r="C2489" s="12">
        <f t="shared" si="342"/>
        <v>1.7250000000000001</v>
      </c>
      <c r="D2489" s="12">
        <f t="shared" si="343"/>
        <v>-0.14999999999999991</v>
      </c>
      <c r="E2489" s="12">
        <f t="shared" si="344"/>
        <v>11.094080540444443</v>
      </c>
      <c r="F2489" s="12">
        <f t="shared" si="345"/>
        <v>11.094080540444443</v>
      </c>
      <c r="G2489" s="12">
        <f t="shared" si="346"/>
        <v>14.536385848888887</v>
      </c>
      <c r="H2489" s="12">
        <f t="shared" si="347"/>
        <v>14.536385848888887</v>
      </c>
      <c r="I2489" s="1" t="str">
        <f t="shared" si="348"/>
        <v>No</v>
      </c>
      <c r="J2489" s="1" t="str">
        <f t="shared" si="349"/>
        <v>Si</v>
      </c>
      <c r="K2489" s="1" t="str">
        <f t="shared" si="350"/>
        <v/>
      </c>
    </row>
    <row r="2490" spans="1:11" x14ac:dyDescent="0.3">
      <c r="A2490" s="1">
        <v>48</v>
      </c>
      <c r="B2490" s="1">
        <v>24</v>
      </c>
      <c r="C2490" s="12">
        <f t="shared" si="342"/>
        <v>1.7250000000000001</v>
      </c>
      <c r="D2490" s="12">
        <f t="shared" si="343"/>
        <v>-7.4999999999999956E-2</v>
      </c>
      <c r="E2490" s="12">
        <f t="shared" si="344"/>
        <v>11.091592447999998</v>
      </c>
      <c r="F2490" s="12">
        <f t="shared" si="345"/>
        <v>11.091592447999998</v>
      </c>
      <c r="G2490" s="12">
        <f t="shared" si="346"/>
        <v>14.532881493333333</v>
      </c>
      <c r="H2490" s="12">
        <f t="shared" si="347"/>
        <v>14.532881493333333</v>
      </c>
      <c r="I2490" s="1" t="str">
        <f t="shared" si="348"/>
        <v>No</v>
      </c>
      <c r="J2490" s="1" t="str">
        <f t="shared" si="349"/>
        <v>Si</v>
      </c>
      <c r="K2490" s="1" t="str">
        <f t="shared" si="350"/>
        <v/>
      </c>
    </row>
    <row r="2491" spans="1:11" x14ac:dyDescent="0.3">
      <c r="A2491" s="1">
        <v>48</v>
      </c>
      <c r="B2491" s="1">
        <v>25</v>
      </c>
      <c r="C2491" s="12">
        <f t="shared" si="342"/>
        <v>1.7250000000000001</v>
      </c>
      <c r="D2491" s="12">
        <f t="shared" si="343"/>
        <v>0</v>
      </c>
      <c r="E2491" s="12">
        <f t="shared" si="344"/>
        <v>11.089104355555554</v>
      </c>
      <c r="F2491" s="12">
        <f t="shared" si="345"/>
        <v>11.089104355555554</v>
      </c>
      <c r="G2491" s="12">
        <f t="shared" si="346"/>
        <v>14.529377137777777</v>
      </c>
      <c r="H2491" s="12">
        <f t="shared" si="347"/>
        <v>14.529377137777777</v>
      </c>
      <c r="I2491" s="1" t="str">
        <f t="shared" si="348"/>
        <v>No</v>
      </c>
      <c r="J2491" s="1" t="str">
        <f t="shared" si="349"/>
        <v>Si</v>
      </c>
      <c r="K2491" s="1" t="str">
        <f t="shared" si="350"/>
        <v/>
      </c>
    </row>
    <row r="2492" spans="1:11" x14ac:dyDescent="0.3">
      <c r="A2492" s="1">
        <v>48</v>
      </c>
      <c r="B2492" s="1">
        <v>26</v>
      </c>
      <c r="C2492" s="12">
        <f t="shared" si="342"/>
        <v>1.7250000000000001</v>
      </c>
      <c r="D2492" s="12">
        <f t="shared" si="343"/>
        <v>7.4999999999999956E-2</v>
      </c>
      <c r="E2492" s="12">
        <f t="shared" si="344"/>
        <v>11.086616263111109</v>
      </c>
      <c r="F2492" s="12">
        <f t="shared" si="345"/>
        <v>11.086616263111109</v>
      </c>
      <c r="G2492" s="12">
        <f t="shared" si="346"/>
        <v>14.525872782222221</v>
      </c>
      <c r="H2492" s="12">
        <f t="shared" si="347"/>
        <v>14.525872782222221</v>
      </c>
      <c r="I2492" s="1" t="str">
        <f t="shared" si="348"/>
        <v>No</v>
      </c>
      <c r="J2492" s="1" t="str">
        <f t="shared" si="349"/>
        <v>Si</v>
      </c>
      <c r="K2492" s="1" t="str">
        <f t="shared" si="350"/>
        <v/>
      </c>
    </row>
    <row r="2493" spans="1:11" x14ac:dyDescent="0.3">
      <c r="A2493" s="1">
        <v>48</v>
      </c>
      <c r="B2493" s="1">
        <v>27</v>
      </c>
      <c r="C2493" s="12">
        <f t="shared" si="342"/>
        <v>1.7250000000000001</v>
      </c>
      <c r="D2493" s="12">
        <f t="shared" si="343"/>
        <v>0.14999999999999991</v>
      </c>
      <c r="E2493" s="12">
        <f t="shared" si="344"/>
        <v>11.084128170666665</v>
      </c>
      <c r="F2493" s="12">
        <f t="shared" si="345"/>
        <v>11.084128170666665</v>
      </c>
      <c r="G2493" s="12">
        <f t="shared" si="346"/>
        <v>14.522368426666667</v>
      </c>
      <c r="H2493" s="12">
        <f t="shared" si="347"/>
        <v>14.522368426666667</v>
      </c>
      <c r="I2493" s="1" t="str">
        <f t="shared" si="348"/>
        <v>No</v>
      </c>
      <c r="J2493" s="1" t="str">
        <f t="shared" si="349"/>
        <v>Si</v>
      </c>
      <c r="K2493" s="1" t="str">
        <f t="shared" si="350"/>
        <v/>
      </c>
    </row>
    <row r="2494" spans="1:11" x14ac:dyDescent="0.3">
      <c r="A2494" s="1">
        <v>48</v>
      </c>
      <c r="B2494" s="1">
        <v>28</v>
      </c>
      <c r="C2494" s="12">
        <f t="shared" si="342"/>
        <v>1.7250000000000001</v>
      </c>
      <c r="D2494" s="12">
        <f t="shared" si="343"/>
        <v>0.22500000000000009</v>
      </c>
      <c r="E2494" s="12">
        <f t="shared" si="344"/>
        <v>11.08164007822222</v>
      </c>
      <c r="F2494" s="12">
        <f t="shared" si="345"/>
        <v>11.08164007822222</v>
      </c>
      <c r="G2494" s="12">
        <f t="shared" si="346"/>
        <v>14.518864071111111</v>
      </c>
      <c r="H2494" s="12">
        <f t="shared" si="347"/>
        <v>14.518864071111111</v>
      </c>
      <c r="I2494" s="1" t="str">
        <f t="shared" si="348"/>
        <v>No</v>
      </c>
      <c r="J2494" s="1" t="str">
        <f t="shared" si="349"/>
        <v>Si</v>
      </c>
      <c r="K2494" s="1" t="str">
        <f t="shared" si="350"/>
        <v/>
      </c>
    </row>
    <row r="2495" spans="1:11" x14ac:dyDescent="0.3">
      <c r="A2495" s="1">
        <v>48</v>
      </c>
      <c r="B2495" s="1">
        <v>29</v>
      </c>
      <c r="C2495" s="12">
        <f t="shared" si="342"/>
        <v>1.7250000000000001</v>
      </c>
      <c r="D2495" s="12">
        <f t="shared" si="343"/>
        <v>0.29999999999999982</v>
      </c>
      <c r="E2495" s="12">
        <f t="shared" si="344"/>
        <v>11.079151985777775</v>
      </c>
      <c r="F2495" s="12">
        <f t="shared" si="345"/>
        <v>11.079151985777775</v>
      </c>
      <c r="G2495" s="12">
        <f t="shared" si="346"/>
        <v>14.515359715555554</v>
      </c>
      <c r="H2495" s="12">
        <f t="shared" si="347"/>
        <v>14.515359715555554</v>
      </c>
      <c r="I2495" s="1" t="str">
        <f t="shared" si="348"/>
        <v>No</v>
      </c>
      <c r="J2495" s="1" t="str">
        <f t="shared" si="349"/>
        <v>Si</v>
      </c>
      <c r="K2495" s="1" t="str">
        <f t="shared" si="350"/>
        <v/>
      </c>
    </row>
    <row r="2496" spans="1:11" x14ac:dyDescent="0.3">
      <c r="A2496" s="1">
        <v>48</v>
      </c>
      <c r="B2496" s="1">
        <v>30</v>
      </c>
      <c r="C2496" s="12">
        <f t="shared" si="342"/>
        <v>1.7250000000000001</v>
      </c>
      <c r="D2496" s="12">
        <f t="shared" si="343"/>
        <v>0.375</v>
      </c>
      <c r="E2496" s="12">
        <f t="shared" si="344"/>
        <v>11.076663893333331</v>
      </c>
      <c r="F2496" s="12">
        <f t="shared" si="345"/>
        <v>11.076663893333331</v>
      </c>
      <c r="G2496" s="12">
        <f t="shared" si="346"/>
        <v>14.511855359999998</v>
      </c>
      <c r="H2496" s="12">
        <f t="shared" si="347"/>
        <v>14.511855359999998</v>
      </c>
      <c r="I2496" s="1" t="str">
        <f t="shared" si="348"/>
        <v>No</v>
      </c>
      <c r="J2496" s="1" t="str">
        <f t="shared" si="349"/>
        <v>Si</v>
      </c>
      <c r="K2496" s="1" t="str">
        <f t="shared" si="350"/>
        <v/>
      </c>
    </row>
    <row r="2497" spans="1:11" x14ac:dyDescent="0.3">
      <c r="A2497" s="1">
        <v>48</v>
      </c>
      <c r="B2497" s="1">
        <v>31</v>
      </c>
      <c r="C2497" s="12">
        <f t="shared" si="342"/>
        <v>1.7250000000000001</v>
      </c>
      <c r="D2497" s="12">
        <f t="shared" si="343"/>
        <v>0.45000000000000018</v>
      </c>
      <c r="E2497" s="12">
        <f t="shared" si="344"/>
        <v>11.074175800888886</v>
      </c>
      <c r="F2497" s="12">
        <f t="shared" si="345"/>
        <v>11.074175800888886</v>
      </c>
      <c r="G2497" s="12">
        <f t="shared" si="346"/>
        <v>14.508351004444444</v>
      </c>
      <c r="H2497" s="12">
        <f t="shared" si="347"/>
        <v>14.508351004444444</v>
      </c>
      <c r="I2497" s="1" t="str">
        <f t="shared" si="348"/>
        <v>No</v>
      </c>
      <c r="J2497" s="1" t="str">
        <f t="shared" si="349"/>
        <v>Si</v>
      </c>
      <c r="K2497" s="1" t="str">
        <f t="shared" si="350"/>
        <v/>
      </c>
    </row>
    <row r="2498" spans="1:11" x14ac:dyDescent="0.3">
      <c r="A2498" s="1">
        <v>48</v>
      </c>
      <c r="B2498" s="1">
        <v>32</v>
      </c>
      <c r="C2498" s="12">
        <f t="shared" si="342"/>
        <v>1.7250000000000001</v>
      </c>
      <c r="D2498" s="12">
        <f t="shared" si="343"/>
        <v>0.52499999999999991</v>
      </c>
      <c r="E2498" s="12">
        <f t="shared" si="344"/>
        <v>11.071687708444443</v>
      </c>
      <c r="F2498" s="12">
        <f t="shared" si="345"/>
        <v>11.071687708444443</v>
      </c>
      <c r="G2498" s="12">
        <f t="shared" si="346"/>
        <v>14.504846648888888</v>
      </c>
      <c r="H2498" s="12">
        <f t="shared" si="347"/>
        <v>14.504846648888888</v>
      </c>
      <c r="I2498" s="1" t="str">
        <f t="shared" si="348"/>
        <v>No</v>
      </c>
      <c r="J2498" s="1" t="str">
        <f t="shared" si="349"/>
        <v>Si</v>
      </c>
      <c r="K2498" s="1" t="str">
        <f t="shared" si="350"/>
        <v/>
      </c>
    </row>
    <row r="2499" spans="1:11" x14ac:dyDescent="0.3">
      <c r="A2499" s="1">
        <v>48</v>
      </c>
      <c r="B2499" s="1">
        <v>33</v>
      </c>
      <c r="C2499" s="12">
        <f t="shared" si="342"/>
        <v>1.7250000000000001</v>
      </c>
      <c r="D2499" s="12">
        <f t="shared" si="343"/>
        <v>0.60000000000000009</v>
      </c>
      <c r="E2499" s="12">
        <f t="shared" si="344"/>
        <v>11.069199615999999</v>
      </c>
      <c r="F2499" s="12">
        <f t="shared" si="345"/>
        <v>11.069199615999999</v>
      </c>
      <c r="G2499" s="12">
        <f t="shared" si="346"/>
        <v>14.501342293333332</v>
      </c>
      <c r="H2499" s="12">
        <f t="shared" si="347"/>
        <v>14.501342293333332</v>
      </c>
      <c r="I2499" s="1" t="str">
        <f t="shared" si="348"/>
        <v>No</v>
      </c>
      <c r="J2499" s="1" t="str">
        <f t="shared" si="349"/>
        <v>Si</v>
      </c>
      <c r="K2499" s="1" t="str">
        <f t="shared" si="350"/>
        <v/>
      </c>
    </row>
    <row r="2500" spans="1:11" x14ac:dyDescent="0.3">
      <c r="A2500" s="1">
        <v>48</v>
      </c>
      <c r="B2500" s="1">
        <v>34</v>
      </c>
      <c r="C2500" s="12">
        <f t="shared" si="342"/>
        <v>1.7250000000000001</v>
      </c>
      <c r="D2500" s="12">
        <f t="shared" si="343"/>
        <v>0.67499999999999982</v>
      </c>
      <c r="E2500" s="12">
        <f t="shared" si="344"/>
        <v>11.066711523555554</v>
      </c>
      <c r="F2500" s="12">
        <f t="shared" si="345"/>
        <v>11.066711523555554</v>
      </c>
      <c r="G2500" s="12">
        <f t="shared" si="346"/>
        <v>14.497837937777778</v>
      </c>
      <c r="H2500" s="12">
        <f t="shared" si="347"/>
        <v>14.497837937777778</v>
      </c>
      <c r="I2500" s="1" t="str">
        <f t="shared" si="348"/>
        <v>No</v>
      </c>
      <c r="J2500" s="1" t="str">
        <f t="shared" si="349"/>
        <v>Si</v>
      </c>
      <c r="K2500" s="1" t="str">
        <f t="shared" si="350"/>
        <v/>
      </c>
    </row>
    <row r="2501" spans="1:11" x14ac:dyDescent="0.3">
      <c r="A2501" s="1">
        <v>48</v>
      </c>
      <c r="B2501" s="1">
        <v>35</v>
      </c>
      <c r="C2501" s="12">
        <f t="shared" si="342"/>
        <v>1.7250000000000001</v>
      </c>
      <c r="D2501" s="12">
        <f t="shared" si="343"/>
        <v>0.75</v>
      </c>
      <c r="E2501" s="12">
        <f t="shared" si="344"/>
        <v>11.06422343111111</v>
      </c>
      <c r="F2501" s="12">
        <f t="shared" si="345"/>
        <v>11.06422343111111</v>
      </c>
      <c r="G2501" s="12">
        <f t="shared" si="346"/>
        <v>14.494333582222222</v>
      </c>
      <c r="H2501" s="12">
        <f t="shared" si="347"/>
        <v>14.494333582222222</v>
      </c>
      <c r="I2501" s="1" t="str">
        <f t="shared" si="348"/>
        <v>No</v>
      </c>
      <c r="J2501" s="1" t="str">
        <f t="shared" si="349"/>
        <v>Si</v>
      </c>
      <c r="K2501" s="1" t="str">
        <f t="shared" si="350"/>
        <v/>
      </c>
    </row>
    <row r="2502" spans="1:11" x14ac:dyDescent="0.3">
      <c r="A2502" s="1">
        <v>48</v>
      </c>
      <c r="B2502" s="1">
        <v>36</v>
      </c>
      <c r="C2502" s="12">
        <f t="shared" si="342"/>
        <v>1.7250000000000001</v>
      </c>
      <c r="D2502" s="12">
        <f t="shared" si="343"/>
        <v>0.82500000000000018</v>
      </c>
      <c r="E2502" s="12">
        <f t="shared" si="344"/>
        <v>11.061735338666665</v>
      </c>
      <c r="F2502" s="12">
        <f t="shared" si="345"/>
        <v>11.061735338666665</v>
      </c>
      <c r="G2502" s="12">
        <f t="shared" si="346"/>
        <v>14.490829226666666</v>
      </c>
      <c r="H2502" s="12">
        <f t="shared" si="347"/>
        <v>14.490829226666666</v>
      </c>
      <c r="I2502" s="1" t="str">
        <f t="shared" si="348"/>
        <v>No</v>
      </c>
      <c r="J2502" s="1" t="str">
        <f t="shared" si="349"/>
        <v>Si</v>
      </c>
      <c r="K2502" s="1" t="str">
        <f t="shared" si="350"/>
        <v/>
      </c>
    </row>
    <row r="2503" spans="1:11" x14ac:dyDescent="0.3">
      <c r="A2503" s="1">
        <v>48</v>
      </c>
      <c r="B2503" s="1">
        <v>37</v>
      </c>
      <c r="C2503" s="12">
        <f t="shared" si="342"/>
        <v>1.7250000000000001</v>
      </c>
      <c r="D2503" s="12">
        <f t="shared" si="343"/>
        <v>0.89999999999999991</v>
      </c>
      <c r="E2503" s="12">
        <f t="shared" si="344"/>
        <v>11.05924724622222</v>
      </c>
      <c r="F2503" s="12">
        <f t="shared" si="345"/>
        <v>11.05924724622222</v>
      </c>
      <c r="G2503" s="12">
        <f t="shared" si="346"/>
        <v>14.48732487111111</v>
      </c>
      <c r="H2503" s="12">
        <f t="shared" si="347"/>
        <v>14.48732487111111</v>
      </c>
      <c r="I2503" s="1" t="str">
        <f t="shared" si="348"/>
        <v>No</v>
      </c>
      <c r="J2503" s="1" t="str">
        <f t="shared" si="349"/>
        <v>Si</v>
      </c>
      <c r="K2503" s="1" t="str">
        <f t="shared" si="350"/>
        <v/>
      </c>
    </row>
    <row r="2504" spans="1:11" x14ac:dyDescent="0.3">
      <c r="A2504" s="1">
        <v>48</v>
      </c>
      <c r="B2504" s="1">
        <v>38</v>
      </c>
      <c r="C2504" s="12">
        <f t="shared" si="342"/>
        <v>1.7250000000000001</v>
      </c>
      <c r="D2504" s="12">
        <f t="shared" si="343"/>
        <v>0.97500000000000009</v>
      </c>
      <c r="E2504" s="12">
        <f t="shared" si="344"/>
        <v>11.056759153777776</v>
      </c>
      <c r="F2504" s="12">
        <f t="shared" si="345"/>
        <v>11.056759153777776</v>
      </c>
      <c r="G2504" s="12">
        <f t="shared" si="346"/>
        <v>14.483820515555555</v>
      </c>
      <c r="H2504" s="12">
        <f t="shared" si="347"/>
        <v>14.483820515555555</v>
      </c>
      <c r="I2504" s="1" t="str">
        <f t="shared" si="348"/>
        <v>No</v>
      </c>
      <c r="J2504" s="1" t="str">
        <f t="shared" si="349"/>
        <v>Si</v>
      </c>
      <c r="K2504" s="1" t="str">
        <f t="shared" si="350"/>
        <v/>
      </c>
    </row>
    <row r="2505" spans="1:11" x14ac:dyDescent="0.3">
      <c r="A2505" s="1">
        <v>48</v>
      </c>
      <c r="B2505" s="1">
        <v>39</v>
      </c>
      <c r="C2505" s="12">
        <f t="shared" si="342"/>
        <v>1.7250000000000001</v>
      </c>
      <c r="D2505" s="12">
        <f t="shared" si="343"/>
        <v>1.0499999999999998</v>
      </c>
      <c r="E2505" s="12">
        <f t="shared" si="344"/>
        <v>11.054271061333331</v>
      </c>
      <c r="F2505" s="12">
        <f t="shared" si="345"/>
        <v>11.054271061333331</v>
      </c>
      <c r="G2505" s="12">
        <f t="shared" si="346"/>
        <v>14.480316159999999</v>
      </c>
      <c r="H2505" s="12">
        <f t="shared" si="347"/>
        <v>14.480316159999999</v>
      </c>
      <c r="I2505" s="1" t="str">
        <f t="shared" si="348"/>
        <v>No</v>
      </c>
      <c r="J2505" s="1" t="str">
        <f t="shared" si="349"/>
        <v>Si</v>
      </c>
      <c r="K2505" s="1" t="str">
        <f t="shared" si="350"/>
        <v/>
      </c>
    </row>
    <row r="2506" spans="1:11" x14ac:dyDescent="0.3">
      <c r="A2506" s="1">
        <v>48</v>
      </c>
      <c r="B2506" s="1">
        <v>40</v>
      </c>
      <c r="C2506" s="12">
        <f t="shared" si="342"/>
        <v>1.7250000000000001</v>
      </c>
      <c r="D2506" s="12">
        <f t="shared" si="343"/>
        <v>1.125</v>
      </c>
      <c r="E2506" s="12">
        <f t="shared" si="344"/>
        <v>11.051782968888887</v>
      </c>
      <c r="F2506" s="12">
        <f t="shared" si="345"/>
        <v>11.051782968888887</v>
      </c>
      <c r="G2506" s="12">
        <f t="shared" si="346"/>
        <v>14.476811804444443</v>
      </c>
      <c r="H2506" s="12">
        <f t="shared" si="347"/>
        <v>14.476811804444443</v>
      </c>
      <c r="I2506" s="1" t="str">
        <f t="shared" si="348"/>
        <v>No</v>
      </c>
      <c r="J2506" s="1" t="str">
        <f t="shared" si="349"/>
        <v>Si</v>
      </c>
      <c r="K2506" s="1" t="str">
        <f t="shared" si="350"/>
        <v/>
      </c>
    </row>
    <row r="2507" spans="1:11" x14ac:dyDescent="0.3">
      <c r="A2507" s="1">
        <v>48</v>
      </c>
      <c r="B2507" s="1">
        <v>41</v>
      </c>
      <c r="C2507" s="12">
        <f t="shared" si="342"/>
        <v>1.7250000000000001</v>
      </c>
      <c r="D2507" s="12">
        <f t="shared" si="343"/>
        <v>1.2000000000000002</v>
      </c>
      <c r="E2507" s="12">
        <f t="shared" si="344"/>
        <v>11.049294876444442</v>
      </c>
      <c r="F2507" s="12">
        <f t="shared" si="345"/>
        <v>11.049294876444442</v>
      </c>
      <c r="G2507" s="12">
        <f t="shared" si="346"/>
        <v>14.473307448888889</v>
      </c>
      <c r="H2507" s="12">
        <f t="shared" si="347"/>
        <v>14.473307448888889</v>
      </c>
      <c r="I2507" s="1" t="str">
        <f t="shared" si="348"/>
        <v>No</v>
      </c>
      <c r="J2507" s="1" t="str">
        <f t="shared" si="349"/>
        <v>Si</v>
      </c>
      <c r="K2507" s="1" t="str">
        <f t="shared" si="350"/>
        <v/>
      </c>
    </row>
    <row r="2508" spans="1:11" x14ac:dyDescent="0.3">
      <c r="A2508" s="1">
        <v>48</v>
      </c>
      <c r="B2508" s="1">
        <v>42</v>
      </c>
      <c r="C2508" s="12">
        <f t="shared" si="342"/>
        <v>1.7250000000000001</v>
      </c>
      <c r="D2508" s="12">
        <f t="shared" si="343"/>
        <v>1.2749999999999999</v>
      </c>
      <c r="E2508" s="12">
        <f t="shared" si="344"/>
        <v>11.046806783999997</v>
      </c>
      <c r="F2508" s="12">
        <f t="shared" si="345"/>
        <v>11.046806783999997</v>
      </c>
      <c r="G2508" s="12">
        <f t="shared" si="346"/>
        <v>14.469803093333333</v>
      </c>
      <c r="H2508" s="12">
        <f t="shared" si="347"/>
        <v>14.469803093333333</v>
      </c>
      <c r="I2508" s="1" t="str">
        <f t="shared" si="348"/>
        <v>No</v>
      </c>
      <c r="J2508" s="1" t="str">
        <f t="shared" si="349"/>
        <v>Si</v>
      </c>
      <c r="K2508" s="1" t="str">
        <f t="shared" si="350"/>
        <v/>
      </c>
    </row>
    <row r="2509" spans="1:11" x14ac:dyDescent="0.3">
      <c r="A2509" s="1">
        <v>48</v>
      </c>
      <c r="B2509" s="1">
        <v>43</v>
      </c>
      <c r="C2509" s="12">
        <f t="shared" si="342"/>
        <v>1.7250000000000001</v>
      </c>
      <c r="D2509" s="12">
        <f t="shared" si="343"/>
        <v>1.35</v>
      </c>
      <c r="E2509" s="12">
        <f t="shared" si="344"/>
        <v>11.044318691555553</v>
      </c>
      <c r="F2509" s="12">
        <f t="shared" si="345"/>
        <v>11.044318691555553</v>
      </c>
      <c r="G2509" s="12">
        <f t="shared" si="346"/>
        <v>14.466298737777777</v>
      </c>
      <c r="H2509" s="12">
        <f t="shared" si="347"/>
        <v>14.466298737777777</v>
      </c>
      <c r="I2509" s="1" t="str">
        <f t="shared" si="348"/>
        <v>No</v>
      </c>
      <c r="J2509" s="1" t="str">
        <f t="shared" si="349"/>
        <v>Si</v>
      </c>
      <c r="K2509" s="1" t="str">
        <f t="shared" si="350"/>
        <v/>
      </c>
    </row>
    <row r="2510" spans="1:11" x14ac:dyDescent="0.3">
      <c r="A2510" s="1">
        <v>48</v>
      </c>
      <c r="B2510" s="1">
        <v>44</v>
      </c>
      <c r="C2510" s="12">
        <f t="shared" si="342"/>
        <v>1.7250000000000001</v>
      </c>
      <c r="D2510" s="12">
        <f t="shared" si="343"/>
        <v>1.4249999999999998</v>
      </c>
      <c r="E2510" s="12">
        <f t="shared" si="344"/>
        <v>11.04183059911111</v>
      </c>
      <c r="F2510" s="12">
        <f t="shared" si="345"/>
        <v>11.04183059911111</v>
      </c>
      <c r="G2510" s="12">
        <f t="shared" si="346"/>
        <v>14.462794382222221</v>
      </c>
      <c r="H2510" s="12">
        <f t="shared" si="347"/>
        <v>14.462794382222221</v>
      </c>
      <c r="I2510" s="1" t="str">
        <f t="shared" si="348"/>
        <v>No</v>
      </c>
      <c r="J2510" s="1" t="str">
        <f t="shared" si="349"/>
        <v>Si</v>
      </c>
      <c r="K2510" s="1" t="str">
        <f t="shared" si="350"/>
        <v/>
      </c>
    </row>
    <row r="2511" spans="1:11" x14ac:dyDescent="0.3">
      <c r="A2511" s="1">
        <v>48</v>
      </c>
      <c r="B2511" s="1">
        <v>45</v>
      </c>
      <c r="C2511" s="12">
        <f t="shared" si="342"/>
        <v>1.7250000000000001</v>
      </c>
      <c r="D2511" s="12">
        <f t="shared" si="343"/>
        <v>1.5</v>
      </c>
      <c r="E2511" s="12">
        <f t="shared" si="344"/>
        <v>11.039342506666665</v>
      </c>
      <c r="F2511" s="12">
        <f t="shared" si="345"/>
        <v>11.039342506666665</v>
      </c>
      <c r="G2511" s="12">
        <f t="shared" si="346"/>
        <v>14.459290026666666</v>
      </c>
      <c r="H2511" s="12">
        <f t="shared" si="347"/>
        <v>14.459290026666666</v>
      </c>
      <c r="I2511" s="1" t="str">
        <f t="shared" si="348"/>
        <v>No</v>
      </c>
      <c r="J2511" s="1" t="str">
        <f t="shared" si="349"/>
        <v>Si</v>
      </c>
      <c r="K2511" s="1" t="str">
        <f t="shared" si="350"/>
        <v/>
      </c>
    </row>
    <row r="2512" spans="1:11" x14ac:dyDescent="0.3">
      <c r="A2512" s="1">
        <v>48</v>
      </c>
      <c r="B2512" s="1">
        <v>46</v>
      </c>
      <c r="C2512" s="12">
        <f t="shared" si="342"/>
        <v>1.7250000000000001</v>
      </c>
      <c r="D2512" s="12">
        <f t="shared" si="343"/>
        <v>1.5750000000000002</v>
      </c>
      <c r="E2512" s="12">
        <f t="shared" si="344"/>
        <v>11.036854414222221</v>
      </c>
      <c r="F2512" s="12">
        <f t="shared" si="345"/>
        <v>11.036854414222221</v>
      </c>
      <c r="G2512" s="12">
        <f t="shared" si="346"/>
        <v>14.45578567111111</v>
      </c>
      <c r="H2512" s="12">
        <f t="shared" si="347"/>
        <v>14.45578567111111</v>
      </c>
      <c r="I2512" s="1" t="str">
        <f t="shared" si="348"/>
        <v>No</v>
      </c>
      <c r="J2512" s="1" t="str">
        <f t="shared" si="349"/>
        <v>Si</v>
      </c>
      <c r="K2512" s="1" t="str">
        <f t="shared" si="350"/>
        <v/>
      </c>
    </row>
    <row r="2513" spans="1:11" x14ac:dyDescent="0.3">
      <c r="A2513" s="1">
        <v>48</v>
      </c>
      <c r="B2513" s="1">
        <v>47</v>
      </c>
      <c r="C2513" s="12">
        <f t="shared" si="342"/>
        <v>1.7250000000000001</v>
      </c>
      <c r="D2513" s="12">
        <f t="shared" si="343"/>
        <v>1.65</v>
      </c>
      <c r="E2513" s="12">
        <f t="shared" si="344"/>
        <v>11.034366321777776</v>
      </c>
      <c r="F2513" s="12">
        <f t="shared" si="345"/>
        <v>11.034366321777776</v>
      </c>
      <c r="G2513" s="12">
        <f t="shared" si="346"/>
        <v>14.452281315555554</v>
      </c>
      <c r="H2513" s="12">
        <f t="shared" si="347"/>
        <v>14.452281315555554</v>
      </c>
      <c r="I2513" s="1" t="str">
        <f t="shared" si="348"/>
        <v>No</v>
      </c>
      <c r="J2513" s="1" t="str">
        <f t="shared" si="349"/>
        <v>Si</v>
      </c>
      <c r="K2513" s="1" t="str">
        <f t="shared" si="350"/>
        <v/>
      </c>
    </row>
    <row r="2514" spans="1:11" x14ac:dyDescent="0.3">
      <c r="A2514" s="1">
        <v>48</v>
      </c>
      <c r="B2514" s="1">
        <v>48</v>
      </c>
      <c r="C2514" s="12">
        <f t="shared" ref="C2514:C2577" si="351">IF(OR(A2514&gt;inp_n_div_x,B2514&gt;inp_n_div_y),"",-inp_bx/2+A2514*inp_bx/inp_n_div_x)</f>
        <v>1.7250000000000001</v>
      </c>
      <c r="D2514" s="12">
        <f t="shared" ref="D2514:D2577" si="352">IF(C2514="","",-inp_by/2+B2514*inp_by/inp_n_div_y)</f>
        <v>1.7250000000000001</v>
      </c>
      <c r="E2514" s="12">
        <f t="shared" ref="E2514:E2577" si="353">IF(C2514="","",res_srv_p_tot/geo_area+res_srv_mx_tot/geo_ix*D2514+res_srv_my_tot/geo_iy*C2514)</f>
        <v>11.031878229333332</v>
      </c>
      <c r="F2514" s="12">
        <f t="shared" ref="F2514:F2577" si="354">IF(E2514="","",MAX(0,E2514))</f>
        <v>11.031878229333332</v>
      </c>
      <c r="G2514" s="12">
        <f t="shared" ref="G2514:G2577" si="355">IF(C2514="","",res_u_p_tot/geo_area+res_u_mx_tot/geo_ix*D2514+res_u_my_tot/geo_iy*C2514)</f>
        <v>14.44877696</v>
      </c>
      <c r="H2514" s="12">
        <f t="shared" ref="H2514:H2577" si="356">IF(G2514="","",MAX(0,G2514))</f>
        <v>14.44877696</v>
      </c>
      <c r="I2514" s="1" t="str">
        <f t="shared" ref="I2514:I2577" si="357">IF(C2514="","",IF(AND(C2514&gt;=inp_xc-inp_cx/2,C2514&lt;=inp_xc+inp_cx/2,D2514&gt;=inp_yc-inp_cy/2,D2514&lt;=inp_yc+inp_cy/2),"Si","No"))</f>
        <v>No</v>
      </c>
      <c r="J2514" s="1" t="str">
        <f t="shared" ref="J2514:J2577" si="358">IF(C2514="","","Si")</f>
        <v>Si</v>
      </c>
      <c r="K2514" s="1" t="str">
        <f t="shared" ref="K2514:K2577" si="359">IF(OR(E2514&lt;0,G2514&lt;0),"Presion negativa","")</f>
        <v/>
      </c>
    </row>
    <row r="2515" spans="1:11" x14ac:dyDescent="0.3">
      <c r="A2515" s="1">
        <v>48</v>
      </c>
      <c r="B2515" s="1">
        <v>49</v>
      </c>
      <c r="C2515" s="12">
        <f t="shared" si="351"/>
        <v>1.7250000000000001</v>
      </c>
      <c r="D2515" s="12">
        <f t="shared" si="352"/>
        <v>1.7999999999999998</v>
      </c>
      <c r="E2515" s="12">
        <f t="shared" si="353"/>
        <v>11.029390136888887</v>
      </c>
      <c r="F2515" s="12">
        <f t="shared" si="354"/>
        <v>11.029390136888887</v>
      </c>
      <c r="G2515" s="12">
        <f t="shared" si="355"/>
        <v>14.445272604444444</v>
      </c>
      <c r="H2515" s="12">
        <f t="shared" si="356"/>
        <v>14.445272604444444</v>
      </c>
      <c r="I2515" s="1" t="str">
        <f t="shared" si="357"/>
        <v>No</v>
      </c>
      <c r="J2515" s="1" t="str">
        <f t="shared" si="358"/>
        <v>Si</v>
      </c>
      <c r="K2515" s="1" t="str">
        <f t="shared" si="359"/>
        <v/>
      </c>
    </row>
    <row r="2516" spans="1:11" x14ac:dyDescent="0.3">
      <c r="A2516" s="1">
        <v>48</v>
      </c>
      <c r="B2516" s="1">
        <v>50</v>
      </c>
      <c r="C2516" s="12">
        <f t="shared" si="351"/>
        <v>1.7250000000000001</v>
      </c>
      <c r="D2516" s="12">
        <f t="shared" si="352"/>
        <v>1.875</v>
      </c>
      <c r="E2516" s="12">
        <f t="shared" si="353"/>
        <v>11.026902044444443</v>
      </c>
      <c r="F2516" s="12">
        <f t="shared" si="354"/>
        <v>11.026902044444443</v>
      </c>
      <c r="G2516" s="12">
        <f t="shared" si="355"/>
        <v>14.441768248888888</v>
      </c>
      <c r="H2516" s="12">
        <f t="shared" si="356"/>
        <v>14.441768248888888</v>
      </c>
      <c r="I2516" s="1" t="str">
        <f t="shared" si="357"/>
        <v>No</v>
      </c>
      <c r="J2516" s="1" t="str">
        <f t="shared" si="358"/>
        <v>Si</v>
      </c>
      <c r="K2516" s="1" t="str">
        <f t="shared" si="359"/>
        <v/>
      </c>
    </row>
    <row r="2517" spans="1:11" x14ac:dyDescent="0.3">
      <c r="A2517" s="1">
        <v>49</v>
      </c>
      <c r="B2517" s="1">
        <v>0</v>
      </c>
      <c r="C2517" s="12">
        <f t="shared" si="351"/>
        <v>1.7999999999999998</v>
      </c>
      <c r="D2517" s="12">
        <f t="shared" si="352"/>
        <v>-1.875</v>
      </c>
      <c r="E2517" s="12">
        <f t="shared" si="353"/>
        <v>11.152000711111111</v>
      </c>
      <c r="F2517" s="12">
        <f t="shared" si="354"/>
        <v>11.152000711111111</v>
      </c>
      <c r="G2517" s="12">
        <f t="shared" si="355"/>
        <v>14.618023679999999</v>
      </c>
      <c r="H2517" s="12">
        <f t="shared" si="356"/>
        <v>14.618023679999999</v>
      </c>
      <c r="I2517" s="1" t="str">
        <f t="shared" si="357"/>
        <v>No</v>
      </c>
      <c r="J2517" s="1" t="str">
        <f t="shared" si="358"/>
        <v>Si</v>
      </c>
      <c r="K2517" s="1" t="str">
        <f t="shared" si="359"/>
        <v/>
      </c>
    </row>
    <row r="2518" spans="1:11" x14ac:dyDescent="0.3">
      <c r="A2518" s="1">
        <v>49</v>
      </c>
      <c r="B2518" s="1">
        <v>1</v>
      </c>
      <c r="C2518" s="12">
        <f t="shared" si="351"/>
        <v>1.7999999999999998</v>
      </c>
      <c r="D2518" s="12">
        <f t="shared" si="352"/>
        <v>-1.8</v>
      </c>
      <c r="E2518" s="12">
        <f t="shared" si="353"/>
        <v>11.149512618666666</v>
      </c>
      <c r="F2518" s="12">
        <f t="shared" si="354"/>
        <v>11.149512618666666</v>
      </c>
      <c r="G2518" s="12">
        <f t="shared" si="355"/>
        <v>14.614519324444442</v>
      </c>
      <c r="H2518" s="12">
        <f t="shared" si="356"/>
        <v>14.614519324444442</v>
      </c>
      <c r="I2518" s="1" t="str">
        <f t="shared" si="357"/>
        <v>No</v>
      </c>
      <c r="J2518" s="1" t="str">
        <f t="shared" si="358"/>
        <v>Si</v>
      </c>
      <c r="K2518" s="1" t="str">
        <f t="shared" si="359"/>
        <v/>
      </c>
    </row>
    <row r="2519" spans="1:11" x14ac:dyDescent="0.3">
      <c r="A2519" s="1">
        <v>49</v>
      </c>
      <c r="B2519" s="1">
        <v>2</v>
      </c>
      <c r="C2519" s="12">
        <f t="shared" si="351"/>
        <v>1.7999999999999998</v>
      </c>
      <c r="D2519" s="12">
        <f t="shared" si="352"/>
        <v>-1.7250000000000001</v>
      </c>
      <c r="E2519" s="12">
        <f t="shared" si="353"/>
        <v>11.147024526222221</v>
      </c>
      <c r="F2519" s="12">
        <f t="shared" si="354"/>
        <v>11.147024526222221</v>
      </c>
      <c r="G2519" s="12">
        <f t="shared" si="355"/>
        <v>14.611014968888886</v>
      </c>
      <c r="H2519" s="12">
        <f t="shared" si="356"/>
        <v>14.611014968888886</v>
      </c>
      <c r="I2519" s="1" t="str">
        <f t="shared" si="357"/>
        <v>No</v>
      </c>
      <c r="J2519" s="1" t="str">
        <f t="shared" si="358"/>
        <v>Si</v>
      </c>
      <c r="K2519" s="1" t="str">
        <f t="shared" si="359"/>
        <v/>
      </c>
    </row>
    <row r="2520" spans="1:11" x14ac:dyDescent="0.3">
      <c r="A2520" s="1">
        <v>49</v>
      </c>
      <c r="B2520" s="1">
        <v>3</v>
      </c>
      <c r="C2520" s="12">
        <f t="shared" si="351"/>
        <v>1.7999999999999998</v>
      </c>
      <c r="D2520" s="12">
        <f t="shared" si="352"/>
        <v>-1.65</v>
      </c>
      <c r="E2520" s="12">
        <f t="shared" si="353"/>
        <v>11.144536433777777</v>
      </c>
      <c r="F2520" s="12">
        <f t="shared" si="354"/>
        <v>11.144536433777777</v>
      </c>
      <c r="G2520" s="12">
        <f t="shared" si="355"/>
        <v>14.607510613333332</v>
      </c>
      <c r="H2520" s="12">
        <f t="shared" si="356"/>
        <v>14.607510613333332</v>
      </c>
      <c r="I2520" s="1" t="str">
        <f t="shared" si="357"/>
        <v>No</v>
      </c>
      <c r="J2520" s="1" t="str">
        <f t="shared" si="358"/>
        <v>Si</v>
      </c>
      <c r="K2520" s="1" t="str">
        <f t="shared" si="359"/>
        <v/>
      </c>
    </row>
    <row r="2521" spans="1:11" x14ac:dyDescent="0.3">
      <c r="A2521" s="1">
        <v>49</v>
      </c>
      <c r="B2521" s="1">
        <v>4</v>
      </c>
      <c r="C2521" s="12">
        <f t="shared" si="351"/>
        <v>1.7999999999999998</v>
      </c>
      <c r="D2521" s="12">
        <f t="shared" si="352"/>
        <v>-1.575</v>
      </c>
      <c r="E2521" s="12">
        <f t="shared" si="353"/>
        <v>11.142048341333332</v>
      </c>
      <c r="F2521" s="12">
        <f t="shared" si="354"/>
        <v>11.142048341333332</v>
      </c>
      <c r="G2521" s="12">
        <f t="shared" si="355"/>
        <v>14.604006257777776</v>
      </c>
      <c r="H2521" s="12">
        <f t="shared" si="356"/>
        <v>14.604006257777776</v>
      </c>
      <c r="I2521" s="1" t="str">
        <f t="shared" si="357"/>
        <v>No</v>
      </c>
      <c r="J2521" s="1" t="str">
        <f t="shared" si="358"/>
        <v>Si</v>
      </c>
      <c r="K2521" s="1" t="str">
        <f t="shared" si="359"/>
        <v/>
      </c>
    </row>
    <row r="2522" spans="1:11" x14ac:dyDescent="0.3">
      <c r="A2522" s="1">
        <v>49</v>
      </c>
      <c r="B2522" s="1">
        <v>5</v>
      </c>
      <c r="C2522" s="12">
        <f t="shared" si="351"/>
        <v>1.7999999999999998</v>
      </c>
      <c r="D2522" s="12">
        <f t="shared" si="352"/>
        <v>-1.5</v>
      </c>
      <c r="E2522" s="12">
        <f t="shared" si="353"/>
        <v>11.139560248888888</v>
      </c>
      <c r="F2522" s="12">
        <f t="shared" si="354"/>
        <v>11.139560248888888</v>
      </c>
      <c r="G2522" s="12">
        <f t="shared" si="355"/>
        <v>14.60050190222222</v>
      </c>
      <c r="H2522" s="12">
        <f t="shared" si="356"/>
        <v>14.60050190222222</v>
      </c>
      <c r="I2522" s="1" t="str">
        <f t="shared" si="357"/>
        <v>No</v>
      </c>
      <c r="J2522" s="1" t="str">
        <f t="shared" si="358"/>
        <v>Si</v>
      </c>
      <c r="K2522" s="1" t="str">
        <f t="shared" si="359"/>
        <v/>
      </c>
    </row>
    <row r="2523" spans="1:11" x14ac:dyDescent="0.3">
      <c r="A2523" s="1">
        <v>49</v>
      </c>
      <c r="B2523" s="1">
        <v>6</v>
      </c>
      <c r="C2523" s="12">
        <f t="shared" si="351"/>
        <v>1.7999999999999998</v>
      </c>
      <c r="D2523" s="12">
        <f t="shared" si="352"/>
        <v>-1.425</v>
      </c>
      <c r="E2523" s="12">
        <f t="shared" si="353"/>
        <v>11.137072156444443</v>
      </c>
      <c r="F2523" s="12">
        <f t="shared" si="354"/>
        <v>11.137072156444443</v>
      </c>
      <c r="G2523" s="12">
        <f t="shared" si="355"/>
        <v>14.596997546666666</v>
      </c>
      <c r="H2523" s="12">
        <f t="shared" si="356"/>
        <v>14.596997546666666</v>
      </c>
      <c r="I2523" s="1" t="str">
        <f t="shared" si="357"/>
        <v>No</v>
      </c>
      <c r="J2523" s="1" t="str">
        <f t="shared" si="358"/>
        <v>Si</v>
      </c>
      <c r="K2523" s="1" t="str">
        <f t="shared" si="359"/>
        <v/>
      </c>
    </row>
    <row r="2524" spans="1:11" x14ac:dyDescent="0.3">
      <c r="A2524" s="1">
        <v>49</v>
      </c>
      <c r="B2524" s="1">
        <v>7</v>
      </c>
      <c r="C2524" s="12">
        <f t="shared" si="351"/>
        <v>1.7999999999999998</v>
      </c>
      <c r="D2524" s="12">
        <f t="shared" si="352"/>
        <v>-1.35</v>
      </c>
      <c r="E2524" s="12">
        <f t="shared" si="353"/>
        <v>11.134584064</v>
      </c>
      <c r="F2524" s="12">
        <f t="shared" si="354"/>
        <v>11.134584064</v>
      </c>
      <c r="G2524" s="12">
        <f t="shared" si="355"/>
        <v>14.59349319111111</v>
      </c>
      <c r="H2524" s="12">
        <f t="shared" si="356"/>
        <v>14.59349319111111</v>
      </c>
      <c r="I2524" s="1" t="str">
        <f t="shared" si="357"/>
        <v>No</v>
      </c>
      <c r="J2524" s="1" t="str">
        <f t="shared" si="358"/>
        <v>Si</v>
      </c>
      <c r="K2524" s="1" t="str">
        <f t="shared" si="359"/>
        <v/>
      </c>
    </row>
    <row r="2525" spans="1:11" x14ac:dyDescent="0.3">
      <c r="A2525" s="1">
        <v>49</v>
      </c>
      <c r="B2525" s="1">
        <v>8</v>
      </c>
      <c r="C2525" s="12">
        <f t="shared" si="351"/>
        <v>1.7999999999999998</v>
      </c>
      <c r="D2525" s="12">
        <f t="shared" si="352"/>
        <v>-1.2749999999999999</v>
      </c>
      <c r="E2525" s="12">
        <f t="shared" si="353"/>
        <v>11.132095971555556</v>
      </c>
      <c r="F2525" s="12">
        <f t="shared" si="354"/>
        <v>11.132095971555556</v>
      </c>
      <c r="G2525" s="12">
        <f t="shared" si="355"/>
        <v>14.589988835555554</v>
      </c>
      <c r="H2525" s="12">
        <f t="shared" si="356"/>
        <v>14.589988835555554</v>
      </c>
      <c r="I2525" s="1" t="str">
        <f t="shared" si="357"/>
        <v>No</v>
      </c>
      <c r="J2525" s="1" t="str">
        <f t="shared" si="358"/>
        <v>Si</v>
      </c>
      <c r="K2525" s="1" t="str">
        <f t="shared" si="359"/>
        <v/>
      </c>
    </row>
    <row r="2526" spans="1:11" x14ac:dyDescent="0.3">
      <c r="A2526" s="1">
        <v>49</v>
      </c>
      <c r="B2526" s="1">
        <v>9</v>
      </c>
      <c r="C2526" s="12">
        <f t="shared" si="351"/>
        <v>1.7999999999999998</v>
      </c>
      <c r="D2526" s="12">
        <f t="shared" si="352"/>
        <v>-1.2</v>
      </c>
      <c r="E2526" s="12">
        <f t="shared" si="353"/>
        <v>11.129607879111111</v>
      </c>
      <c r="F2526" s="12">
        <f t="shared" si="354"/>
        <v>11.129607879111111</v>
      </c>
      <c r="G2526" s="12">
        <f t="shared" si="355"/>
        <v>14.586484479999998</v>
      </c>
      <c r="H2526" s="12">
        <f t="shared" si="356"/>
        <v>14.586484479999998</v>
      </c>
      <c r="I2526" s="1" t="str">
        <f t="shared" si="357"/>
        <v>No</v>
      </c>
      <c r="J2526" s="1" t="str">
        <f t="shared" si="358"/>
        <v>Si</v>
      </c>
      <c r="K2526" s="1" t="str">
        <f t="shared" si="359"/>
        <v/>
      </c>
    </row>
    <row r="2527" spans="1:11" x14ac:dyDescent="0.3">
      <c r="A2527" s="1">
        <v>49</v>
      </c>
      <c r="B2527" s="1">
        <v>10</v>
      </c>
      <c r="C2527" s="12">
        <f t="shared" si="351"/>
        <v>1.7999999999999998</v>
      </c>
      <c r="D2527" s="12">
        <f t="shared" si="352"/>
        <v>-1.125</v>
      </c>
      <c r="E2527" s="12">
        <f t="shared" si="353"/>
        <v>11.127119786666666</v>
      </c>
      <c r="F2527" s="12">
        <f t="shared" si="354"/>
        <v>11.127119786666666</v>
      </c>
      <c r="G2527" s="12">
        <f t="shared" si="355"/>
        <v>14.582980124444443</v>
      </c>
      <c r="H2527" s="12">
        <f t="shared" si="356"/>
        <v>14.582980124444443</v>
      </c>
      <c r="I2527" s="1" t="str">
        <f t="shared" si="357"/>
        <v>No</v>
      </c>
      <c r="J2527" s="1" t="str">
        <f t="shared" si="358"/>
        <v>Si</v>
      </c>
      <c r="K2527" s="1" t="str">
        <f t="shared" si="359"/>
        <v/>
      </c>
    </row>
    <row r="2528" spans="1:11" x14ac:dyDescent="0.3">
      <c r="A2528" s="1">
        <v>49</v>
      </c>
      <c r="B2528" s="1">
        <v>11</v>
      </c>
      <c r="C2528" s="12">
        <f t="shared" si="351"/>
        <v>1.7999999999999998</v>
      </c>
      <c r="D2528" s="12">
        <f t="shared" si="352"/>
        <v>-1.05</v>
      </c>
      <c r="E2528" s="12">
        <f t="shared" si="353"/>
        <v>11.124631694222222</v>
      </c>
      <c r="F2528" s="12">
        <f t="shared" si="354"/>
        <v>11.124631694222222</v>
      </c>
      <c r="G2528" s="12">
        <f t="shared" si="355"/>
        <v>14.579475768888887</v>
      </c>
      <c r="H2528" s="12">
        <f t="shared" si="356"/>
        <v>14.579475768888887</v>
      </c>
      <c r="I2528" s="1" t="str">
        <f t="shared" si="357"/>
        <v>No</v>
      </c>
      <c r="J2528" s="1" t="str">
        <f t="shared" si="358"/>
        <v>Si</v>
      </c>
      <c r="K2528" s="1" t="str">
        <f t="shared" si="359"/>
        <v/>
      </c>
    </row>
    <row r="2529" spans="1:11" x14ac:dyDescent="0.3">
      <c r="A2529" s="1">
        <v>49</v>
      </c>
      <c r="B2529" s="1">
        <v>12</v>
      </c>
      <c r="C2529" s="12">
        <f t="shared" si="351"/>
        <v>1.7999999999999998</v>
      </c>
      <c r="D2529" s="12">
        <f t="shared" si="352"/>
        <v>-0.97499999999999998</v>
      </c>
      <c r="E2529" s="12">
        <f t="shared" si="353"/>
        <v>11.122143601777777</v>
      </c>
      <c r="F2529" s="12">
        <f t="shared" si="354"/>
        <v>11.122143601777777</v>
      </c>
      <c r="G2529" s="12">
        <f t="shared" si="355"/>
        <v>14.575971413333331</v>
      </c>
      <c r="H2529" s="12">
        <f t="shared" si="356"/>
        <v>14.575971413333331</v>
      </c>
      <c r="I2529" s="1" t="str">
        <f t="shared" si="357"/>
        <v>No</v>
      </c>
      <c r="J2529" s="1" t="str">
        <f t="shared" si="358"/>
        <v>Si</v>
      </c>
      <c r="K2529" s="1" t="str">
        <f t="shared" si="359"/>
        <v/>
      </c>
    </row>
    <row r="2530" spans="1:11" x14ac:dyDescent="0.3">
      <c r="A2530" s="1">
        <v>49</v>
      </c>
      <c r="B2530" s="1">
        <v>13</v>
      </c>
      <c r="C2530" s="12">
        <f t="shared" si="351"/>
        <v>1.7999999999999998</v>
      </c>
      <c r="D2530" s="12">
        <f t="shared" si="352"/>
        <v>-0.9</v>
      </c>
      <c r="E2530" s="12">
        <f t="shared" si="353"/>
        <v>11.119655509333333</v>
      </c>
      <c r="F2530" s="12">
        <f t="shared" si="354"/>
        <v>11.119655509333333</v>
      </c>
      <c r="G2530" s="12">
        <f t="shared" si="355"/>
        <v>14.572467057777777</v>
      </c>
      <c r="H2530" s="12">
        <f t="shared" si="356"/>
        <v>14.572467057777777</v>
      </c>
      <c r="I2530" s="1" t="str">
        <f t="shared" si="357"/>
        <v>No</v>
      </c>
      <c r="J2530" s="1" t="str">
        <f t="shared" si="358"/>
        <v>Si</v>
      </c>
      <c r="K2530" s="1" t="str">
        <f t="shared" si="359"/>
        <v/>
      </c>
    </row>
    <row r="2531" spans="1:11" x14ac:dyDescent="0.3">
      <c r="A2531" s="1">
        <v>49</v>
      </c>
      <c r="B2531" s="1">
        <v>14</v>
      </c>
      <c r="C2531" s="12">
        <f t="shared" si="351"/>
        <v>1.7999999999999998</v>
      </c>
      <c r="D2531" s="12">
        <f t="shared" si="352"/>
        <v>-0.82499999999999996</v>
      </c>
      <c r="E2531" s="12">
        <f t="shared" si="353"/>
        <v>11.117167416888888</v>
      </c>
      <c r="F2531" s="12">
        <f t="shared" si="354"/>
        <v>11.117167416888888</v>
      </c>
      <c r="G2531" s="12">
        <f t="shared" si="355"/>
        <v>14.568962702222221</v>
      </c>
      <c r="H2531" s="12">
        <f t="shared" si="356"/>
        <v>14.568962702222221</v>
      </c>
      <c r="I2531" s="1" t="str">
        <f t="shared" si="357"/>
        <v>No</v>
      </c>
      <c r="J2531" s="1" t="str">
        <f t="shared" si="358"/>
        <v>Si</v>
      </c>
      <c r="K2531" s="1" t="str">
        <f t="shared" si="359"/>
        <v/>
      </c>
    </row>
    <row r="2532" spans="1:11" x14ac:dyDescent="0.3">
      <c r="A2532" s="1">
        <v>49</v>
      </c>
      <c r="B2532" s="1">
        <v>15</v>
      </c>
      <c r="C2532" s="12">
        <f t="shared" si="351"/>
        <v>1.7999999999999998</v>
      </c>
      <c r="D2532" s="12">
        <f t="shared" si="352"/>
        <v>-0.75</v>
      </c>
      <c r="E2532" s="12">
        <f t="shared" si="353"/>
        <v>11.114679324444444</v>
      </c>
      <c r="F2532" s="12">
        <f t="shared" si="354"/>
        <v>11.114679324444444</v>
      </c>
      <c r="G2532" s="12">
        <f t="shared" si="355"/>
        <v>14.565458346666665</v>
      </c>
      <c r="H2532" s="12">
        <f t="shared" si="356"/>
        <v>14.565458346666665</v>
      </c>
      <c r="I2532" s="1" t="str">
        <f t="shared" si="357"/>
        <v>No</v>
      </c>
      <c r="J2532" s="1" t="str">
        <f t="shared" si="358"/>
        <v>Si</v>
      </c>
      <c r="K2532" s="1" t="str">
        <f t="shared" si="359"/>
        <v/>
      </c>
    </row>
    <row r="2533" spans="1:11" x14ac:dyDescent="0.3">
      <c r="A2533" s="1">
        <v>49</v>
      </c>
      <c r="B2533" s="1">
        <v>16</v>
      </c>
      <c r="C2533" s="12">
        <f t="shared" si="351"/>
        <v>1.7999999999999998</v>
      </c>
      <c r="D2533" s="12">
        <f t="shared" si="352"/>
        <v>-0.67500000000000004</v>
      </c>
      <c r="E2533" s="12">
        <f t="shared" si="353"/>
        <v>11.112191231999999</v>
      </c>
      <c r="F2533" s="12">
        <f t="shared" si="354"/>
        <v>11.112191231999999</v>
      </c>
      <c r="G2533" s="12">
        <f t="shared" si="355"/>
        <v>14.561953991111109</v>
      </c>
      <c r="H2533" s="12">
        <f t="shared" si="356"/>
        <v>14.561953991111109</v>
      </c>
      <c r="I2533" s="1" t="str">
        <f t="shared" si="357"/>
        <v>No</v>
      </c>
      <c r="J2533" s="1" t="str">
        <f t="shared" si="358"/>
        <v>Si</v>
      </c>
      <c r="K2533" s="1" t="str">
        <f t="shared" si="359"/>
        <v/>
      </c>
    </row>
    <row r="2534" spans="1:11" x14ac:dyDescent="0.3">
      <c r="A2534" s="1">
        <v>49</v>
      </c>
      <c r="B2534" s="1">
        <v>17</v>
      </c>
      <c r="C2534" s="12">
        <f t="shared" si="351"/>
        <v>1.7999999999999998</v>
      </c>
      <c r="D2534" s="12">
        <f t="shared" si="352"/>
        <v>-0.60000000000000009</v>
      </c>
      <c r="E2534" s="12">
        <f t="shared" si="353"/>
        <v>11.109703139555554</v>
      </c>
      <c r="F2534" s="12">
        <f t="shared" si="354"/>
        <v>11.109703139555554</v>
      </c>
      <c r="G2534" s="12">
        <f t="shared" si="355"/>
        <v>14.558449635555554</v>
      </c>
      <c r="H2534" s="12">
        <f t="shared" si="356"/>
        <v>14.558449635555554</v>
      </c>
      <c r="I2534" s="1" t="str">
        <f t="shared" si="357"/>
        <v>No</v>
      </c>
      <c r="J2534" s="1" t="str">
        <f t="shared" si="358"/>
        <v>Si</v>
      </c>
      <c r="K2534" s="1" t="str">
        <f t="shared" si="359"/>
        <v/>
      </c>
    </row>
    <row r="2535" spans="1:11" x14ac:dyDescent="0.3">
      <c r="A2535" s="1">
        <v>49</v>
      </c>
      <c r="B2535" s="1">
        <v>18</v>
      </c>
      <c r="C2535" s="12">
        <f t="shared" si="351"/>
        <v>1.7999999999999998</v>
      </c>
      <c r="D2535" s="12">
        <f t="shared" si="352"/>
        <v>-0.52499999999999991</v>
      </c>
      <c r="E2535" s="12">
        <f t="shared" si="353"/>
        <v>11.10721504711111</v>
      </c>
      <c r="F2535" s="12">
        <f t="shared" si="354"/>
        <v>11.10721504711111</v>
      </c>
      <c r="G2535" s="12">
        <f t="shared" si="355"/>
        <v>14.554945279999998</v>
      </c>
      <c r="H2535" s="12">
        <f t="shared" si="356"/>
        <v>14.554945279999998</v>
      </c>
      <c r="I2535" s="1" t="str">
        <f t="shared" si="357"/>
        <v>No</v>
      </c>
      <c r="J2535" s="1" t="str">
        <f t="shared" si="358"/>
        <v>Si</v>
      </c>
      <c r="K2535" s="1" t="str">
        <f t="shared" si="359"/>
        <v/>
      </c>
    </row>
    <row r="2536" spans="1:11" x14ac:dyDescent="0.3">
      <c r="A2536" s="1">
        <v>49</v>
      </c>
      <c r="B2536" s="1">
        <v>19</v>
      </c>
      <c r="C2536" s="12">
        <f t="shared" si="351"/>
        <v>1.7999999999999998</v>
      </c>
      <c r="D2536" s="12">
        <f t="shared" si="352"/>
        <v>-0.44999999999999996</v>
      </c>
      <c r="E2536" s="12">
        <f t="shared" si="353"/>
        <v>11.104726954666667</v>
      </c>
      <c r="F2536" s="12">
        <f t="shared" si="354"/>
        <v>11.104726954666667</v>
      </c>
      <c r="G2536" s="12">
        <f t="shared" si="355"/>
        <v>14.551440924444442</v>
      </c>
      <c r="H2536" s="12">
        <f t="shared" si="356"/>
        <v>14.551440924444442</v>
      </c>
      <c r="I2536" s="1" t="str">
        <f t="shared" si="357"/>
        <v>No</v>
      </c>
      <c r="J2536" s="1" t="str">
        <f t="shared" si="358"/>
        <v>Si</v>
      </c>
      <c r="K2536" s="1" t="str">
        <f t="shared" si="359"/>
        <v/>
      </c>
    </row>
    <row r="2537" spans="1:11" x14ac:dyDescent="0.3">
      <c r="A2537" s="1">
        <v>49</v>
      </c>
      <c r="B2537" s="1">
        <v>20</v>
      </c>
      <c r="C2537" s="12">
        <f t="shared" si="351"/>
        <v>1.7999999999999998</v>
      </c>
      <c r="D2537" s="12">
        <f t="shared" si="352"/>
        <v>-0.375</v>
      </c>
      <c r="E2537" s="12">
        <f t="shared" si="353"/>
        <v>11.102238862222222</v>
      </c>
      <c r="F2537" s="12">
        <f t="shared" si="354"/>
        <v>11.102238862222222</v>
      </c>
      <c r="G2537" s="12">
        <f t="shared" si="355"/>
        <v>14.547936568888888</v>
      </c>
      <c r="H2537" s="12">
        <f t="shared" si="356"/>
        <v>14.547936568888888</v>
      </c>
      <c r="I2537" s="1" t="str">
        <f t="shared" si="357"/>
        <v>No</v>
      </c>
      <c r="J2537" s="1" t="str">
        <f t="shared" si="358"/>
        <v>Si</v>
      </c>
      <c r="K2537" s="1" t="str">
        <f t="shared" si="359"/>
        <v/>
      </c>
    </row>
    <row r="2538" spans="1:11" x14ac:dyDescent="0.3">
      <c r="A2538" s="1">
        <v>49</v>
      </c>
      <c r="B2538" s="1">
        <v>21</v>
      </c>
      <c r="C2538" s="12">
        <f t="shared" si="351"/>
        <v>1.7999999999999998</v>
      </c>
      <c r="D2538" s="12">
        <f t="shared" si="352"/>
        <v>-0.30000000000000004</v>
      </c>
      <c r="E2538" s="12">
        <f t="shared" si="353"/>
        <v>11.099750769777778</v>
      </c>
      <c r="F2538" s="12">
        <f t="shared" si="354"/>
        <v>11.099750769777778</v>
      </c>
      <c r="G2538" s="12">
        <f t="shared" si="355"/>
        <v>14.544432213333332</v>
      </c>
      <c r="H2538" s="12">
        <f t="shared" si="356"/>
        <v>14.544432213333332</v>
      </c>
      <c r="I2538" s="1" t="str">
        <f t="shared" si="357"/>
        <v>No</v>
      </c>
      <c r="J2538" s="1" t="str">
        <f t="shared" si="358"/>
        <v>Si</v>
      </c>
      <c r="K2538" s="1" t="str">
        <f t="shared" si="359"/>
        <v/>
      </c>
    </row>
    <row r="2539" spans="1:11" x14ac:dyDescent="0.3">
      <c r="A2539" s="1">
        <v>49</v>
      </c>
      <c r="B2539" s="1">
        <v>22</v>
      </c>
      <c r="C2539" s="12">
        <f t="shared" si="351"/>
        <v>1.7999999999999998</v>
      </c>
      <c r="D2539" s="12">
        <f t="shared" si="352"/>
        <v>-0.22500000000000009</v>
      </c>
      <c r="E2539" s="12">
        <f t="shared" si="353"/>
        <v>11.097262677333333</v>
      </c>
      <c r="F2539" s="12">
        <f t="shared" si="354"/>
        <v>11.097262677333333</v>
      </c>
      <c r="G2539" s="12">
        <f t="shared" si="355"/>
        <v>14.540927857777776</v>
      </c>
      <c r="H2539" s="12">
        <f t="shared" si="356"/>
        <v>14.540927857777776</v>
      </c>
      <c r="I2539" s="1" t="str">
        <f t="shared" si="357"/>
        <v>No</v>
      </c>
      <c r="J2539" s="1" t="str">
        <f t="shared" si="358"/>
        <v>Si</v>
      </c>
      <c r="K2539" s="1" t="str">
        <f t="shared" si="359"/>
        <v/>
      </c>
    </row>
    <row r="2540" spans="1:11" x14ac:dyDescent="0.3">
      <c r="A2540" s="1">
        <v>49</v>
      </c>
      <c r="B2540" s="1">
        <v>23</v>
      </c>
      <c r="C2540" s="12">
        <f t="shared" si="351"/>
        <v>1.7999999999999998</v>
      </c>
      <c r="D2540" s="12">
        <f t="shared" si="352"/>
        <v>-0.14999999999999991</v>
      </c>
      <c r="E2540" s="12">
        <f t="shared" si="353"/>
        <v>11.094774584888889</v>
      </c>
      <c r="F2540" s="12">
        <f t="shared" si="354"/>
        <v>11.094774584888889</v>
      </c>
      <c r="G2540" s="12">
        <f t="shared" si="355"/>
        <v>14.53742350222222</v>
      </c>
      <c r="H2540" s="12">
        <f t="shared" si="356"/>
        <v>14.53742350222222</v>
      </c>
      <c r="I2540" s="1" t="str">
        <f t="shared" si="357"/>
        <v>No</v>
      </c>
      <c r="J2540" s="1" t="str">
        <f t="shared" si="358"/>
        <v>Si</v>
      </c>
      <c r="K2540" s="1" t="str">
        <f t="shared" si="359"/>
        <v/>
      </c>
    </row>
    <row r="2541" spans="1:11" x14ac:dyDescent="0.3">
      <c r="A2541" s="1">
        <v>49</v>
      </c>
      <c r="B2541" s="1">
        <v>24</v>
      </c>
      <c r="C2541" s="12">
        <f t="shared" si="351"/>
        <v>1.7999999999999998</v>
      </c>
      <c r="D2541" s="12">
        <f t="shared" si="352"/>
        <v>-7.4999999999999956E-2</v>
      </c>
      <c r="E2541" s="12">
        <f t="shared" si="353"/>
        <v>11.092286492444444</v>
      </c>
      <c r="F2541" s="12">
        <f t="shared" si="354"/>
        <v>11.092286492444444</v>
      </c>
      <c r="G2541" s="12">
        <f t="shared" si="355"/>
        <v>14.533919146666666</v>
      </c>
      <c r="H2541" s="12">
        <f t="shared" si="356"/>
        <v>14.533919146666666</v>
      </c>
      <c r="I2541" s="1" t="str">
        <f t="shared" si="357"/>
        <v>No</v>
      </c>
      <c r="J2541" s="1" t="str">
        <f t="shared" si="358"/>
        <v>Si</v>
      </c>
      <c r="K2541" s="1" t="str">
        <f t="shared" si="359"/>
        <v/>
      </c>
    </row>
    <row r="2542" spans="1:11" x14ac:dyDescent="0.3">
      <c r="A2542" s="1">
        <v>49</v>
      </c>
      <c r="B2542" s="1">
        <v>25</v>
      </c>
      <c r="C2542" s="12">
        <f t="shared" si="351"/>
        <v>1.7999999999999998</v>
      </c>
      <c r="D2542" s="12">
        <f t="shared" si="352"/>
        <v>0</v>
      </c>
      <c r="E2542" s="12">
        <f t="shared" si="353"/>
        <v>11.089798399999999</v>
      </c>
      <c r="F2542" s="12">
        <f t="shared" si="354"/>
        <v>11.089798399999999</v>
      </c>
      <c r="G2542" s="12">
        <f t="shared" si="355"/>
        <v>14.530414791111109</v>
      </c>
      <c r="H2542" s="12">
        <f t="shared" si="356"/>
        <v>14.530414791111109</v>
      </c>
      <c r="I2542" s="1" t="str">
        <f t="shared" si="357"/>
        <v>No</v>
      </c>
      <c r="J2542" s="1" t="str">
        <f t="shared" si="358"/>
        <v>Si</v>
      </c>
      <c r="K2542" s="1" t="str">
        <f t="shared" si="359"/>
        <v/>
      </c>
    </row>
    <row r="2543" spans="1:11" x14ac:dyDescent="0.3">
      <c r="A2543" s="1">
        <v>49</v>
      </c>
      <c r="B2543" s="1">
        <v>26</v>
      </c>
      <c r="C2543" s="12">
        <f t="shared" si="351"/>
        <v>1.7999999999999998</v>
      </c>
      <c r="D2543" s="12">
        <f t="shared" si="352"/>
        <v>7.4999999999999956E-2</v>
      </c>
      <c r="E2543" s="12">
        <f t="shared" si="353"/>
        <v>11.087310307555555</v>
      </c>
      <c r="F2543" s="12">
        <f t="shared" si="354"/>
        <v>11.087310307555555</v>
      </c>
      <c r="G2543" s="12">
        <f t="shared" si="355"/>
        <v>14.526910435555553</v>
      </c>
      <c r="H2543" s="12">
        <f t="shared" si="356"/>
        <v>14.526910435555553</v>
      </c>
      <c r="I2543" s="1" t="str">
        <f t="shared" si="357"/>
        <v>No</v>
      </c>
      <c r="J2543" s="1" t="str">
        <f t="shared" si="358"/>
        <v>Si</v>
      </c>
      <c r="K2543" s="1" t="str">
        <f t="shared" si="359"/>
        <v/>
      </c>
    </row>
    <row r="2544" spans="1:11" x14ac:dyDescent="0.3">
      <c r="A2544" s="1">
        <v>49</v>
      </c>
      <c r="B2544" s="1">
        <v>27</v>
      </c>
      <c r="C2544" s="12">
        <f t="shared" si="351"/>
        <v>1.7999999999999998</v>
      </c>
      <c r="D2544" s="12">
        <f t="shared" si="352"/>
        <v>0.14999999999999991</v>
      </c>
      <c r="E2544" s="12">
        <f t="shared" si="353"/>
        <v>11.08482221511111</v>
      </c>
      <c r="F2544" s="12">
        <f t="shared" si="354"/>
        <v>11.08482221511111</v>
      </c>
      <c r="G2544" s="12">
        <f t="shared" si="355"/>
        <v>14.523406079999999</v>
      </c>
      <c r="H2544" s="12">
        <f t="shared" si="356"/>
        <v>14.523406079999999</v>
      </c>
      <c r="I2544" s="1" t="str">
        <f t="shared" si="357"/>
        <v>No</v>
      </c>
      <c r="J2544" s="1" t="str">
        <f t="shared" si="358"/>
        <v>Si</v>
      </c>
      <c r="K2544" s="1" t="str">
        <f t="shared" si="359"/>
        <v/>
      </c>
    </row>
    <row r="2545" spans="1:11" x14ac:dyDescent="0.3">
      <c r="A2545" s="1">
        <v>49</v>
      </c>
      <c r="B2545" s="1">
        <v>28</v>
      </c>
      <c r="C2545" s="12">
        <f t="shared" si="351"/>
        <v>1.7999999999999998</v>
      </c>
      <c r="D2545" s="12">
        <f t="shared" si="352"/>
        <v>0.22500000000000009</v>
      </c>
      <c r="E2545" s="12">
        <f t="shared" si="353"/>
        <v>11.082334122666666</v>
      </c>
      <c r="F2545" s="12">
        <f t="shared" si="354"/>
        <v>11.082334122666666</v>
      </c>
      <c r="G2545" s="12">
        <f t="shared" si="355"/>
        <v>14.519901724444443</v>
      </c>
      <c r="H2545" s="12">
        <f t="shared" si="356"/>
        <v>14.519901724444443</v>
      </c>
      <c r="I2545" s="1" t="str">
        <f t="shared" si="357"/>
        <v>No</v>
      </c>
      <c r="J2545" s="1" t="str">
        <f t="shared" si="358"/>
        <v>Si</v>
      </c>
      <c r="K2545" s="1" t="str">
        <f t="shared" si="359"/>
        <v/>
      </c>
    </row>
    <row r="2546" spans="1:11" x14ac:dyDescent="0.3">
      <c r="A2546" s="1">
        <v>49</v>
      </c>
      <c r="B2546" s="1">
        <v>29</v>
      </c>
      <c r="C2546" s="12">
        <f t="shared" si="351"/>
        <v>1.7999999999999998</v>
      </c>
      <c r="D2546" s="12">
        <f t="shared" si="352"/>
        <v>0.29999999999999982</v>
      </c>
      <c r="E2546" s="12">
        <f t="shared" si="353"/>
        <v>11.079846030222221</v>
      </c>
      <c r="F2546" s="12">
        <f t="shared" si="354"/>
        <v>11.079846030222221</v>
      </c>
      <c r="G2546" s="12">
        <f t="shared" si="355"/>
        <v>14.516397368888887</v>
      </c>
      <c r="H2546" s="12">
        <f t="shared" si="356"/>
        <v>14.516397368888887</v>
      </c>
      <c r="I2546" s="1" t="str">
        <f t="shared" si="357"/>
        <v>No</v>
      </c>
      <c r="J2546" s="1" t="str">
        <f t="shared" si="358"/>
        <v>Si</v>
      </c>
      <c r="K2546" s="1" t="str">
        <f t="shared" si="359"/>
        <v/>
      </c>
    </row>
    <row r="2547" spans="1:11" x14ac:dyDescent="0.3">
      <c r="A2547" s="1">
        <v>49</v>
      </c>
      <c r="B2547" s="1">
        <v>30</v>
      </c>
      <c r="C2547" s="12">
        <f t="shared" si="351"/>
        <v>1.7999999999999998</v>
      </c>
      <c r="D2547" s="12">
        <f t="shared" si="352"/>
        <v>0.375</v>
      </c>
      <c r="E2547" s="12">
        <f t="shared" si="353"/>
        <v>11.077357937777776</v>
      </c>
      <c r="F2547" s="12">
        <f t="shared" si="354"/>
        <v>11.077357937777776</v>
      </c>
      <c r="G2547" s="12">
        <f t="shared" si="355"/>
        <v>14.512893013333331</v>
      </c>
      <c r="H2547" s="12">
        <f t="shared" si="356"/>
        <v>14.512893013333331</v>
      </c>
      <c r="I2547" s="1" t="str">
        <f t="shared" si="357"/>
        <v>No</v>
      </c>
      <c r="J2547" s="1" t="str">
        <f t="shared" si="358"/>
        <v>Si</v>
      </c>
      <c r="K2547" s="1" t="str">
        <f t="shared" si="359"/>
        <v/>
      </c>
    </row>
    <row r="2548" spans="1:11" x14ac:dyDescent="0.3">
      <c r="A2548" s="1">
        <v>49</v>
      </c>
      <c r="B2548" s="1">
        <v>31</v>
      </c>
      <c r="C2548" s="12">
        <f t="shared" si="351"/>
        <v>1.7999999999999998</v>
      </c>
      <c r="D2548" s="12">
        <f t="shared" si="352"/>
        <v>0.45000000000000018</v>
      </c>
      <c r="E2548" s="12">
        <f t="shared" si="353"/>
        <v>11.074869845333332</v>
      </c>
      <c r="F2548" s="12">
        <f t="shared" si="354"/>
        <v>11.074869845333332</v>
      </c>
      <c r="G2548" s="12">
        <f t="shared" si="355"/>
        <v>14.509388657777777</v>
      </c>
      <c r="H2548" s="12">
        <f t="shared" si="356"/>
        <v>14.509388657777777</v>
      </c>
      <c r="I2548" s="1" t="str">
        <f t="shared" si="357"/>
        <v>No</v>
      </c>
      <c r="J2548" s="1" t="str">
        <f t="shared" si="358"/>
        <v>Si</v>
      </c>
      <c r="K2548" s="1" t="str">
        <f t="shared" si="359"/>
        <v/>
      </c>
    </row>
    <row r="2549" spans="1:11" x14ac:dyDescent="0.3">
      <c r="A2549" s="1">
        <v>49</v>
      </c>
      <c r="B2549" s="1">
        <v>32</v>
      </c>
      <c r="C2549" s="12">
        <f t="shared" si="351"/>
        <v>1.7999999999999998</v>
      </c>
      <c r="D2549" s="12">
        <f t="shared" si="352"/>
        <v>0.52499999999999991</v>
      </c>
      <c r="E2549" s="12">
        <f t="shared" si="353"/>
        <v>11.072381752888889</v>
      </c>
      <c r="F2549" s="12">
        <f t="shared" si="354"/>
        <v>11.072381752888889</v>
      </c>
      <c r="G2549" s="12">
        <f t="shared" si="355"/>
        <v>14.505884302222221</v>
      </c>
      <c r="H2549" s="12">
        <f t="shared" si="356"/>
        <v>14.505884302222221</v>
      </c>
      <c r="I2549" s="1" t="str">
        <f t="shared" si="357"/>
        <v>No</v>
      </c>
      <c r="J2549" s="1" t="str">
        <f t="shared" si="358"/>
        <v>Si</v>
      </c>
      <c r="K2549" s="1" t="str">
        <f t="shared" si="359"/>
        <v/>
      </c>
    </row>
    <row r="2550" spans="1:11" x14ac:dyDescent="0.3">
      <c r="A2550" s="1">
        <v>49</v>
      </c>
      <c r="B2550" s="1">
        <v>33</v>
      </c>
      <c r="C2550" s="12">
        <f t="shared" si="351"/>
        <v>1.7999999999999998</v>
      </c>
      <c r="D2550" s="12">
        <f t="shared" si="352"/>
        <v>0.60000000000000009</v>
      </c>
      <c r="E2550" s="12">
        <f t="shared" si="353"/>
        <v>11.069893660444444</v>
      </c>
      <c r="F2550" s="12">
        <f t="shared" si="354"/>
        <v>11.069893660444444</v>
      </c>
      <c r="G2550" s="12">
        <f t="shared" si="355"/>
        <v>14.502379946666665</v>
      </c>
      <c r="H2550" s="12">
        <f t="shared" si="356"/>
        <v>14.502379946666665</v>
      </c>
      <c r="I2550" s="1" t="str">
        <f t="shared" si="357"/>
        <v>No</v>
      </c>
      <c r="J2550" s="1" t="str">
        <f t="shared" si="358"/>
        <v>Si</v>
      </c>
      <c r="K2550" s="1" t="str">
        <f t="shared" si="359"/>
        <v/>
      </c>
    </row>
    <row r="2551" spans="1:11" x14ac:dyDescent="0.3">
      <c r="A2551" s="1">
        <v>49</v>
      </c>
      <c r="B2551" s="1">
        <v>34</v>
      </c>
      <c r="C2551" s="12">
        <f t="shared" si="351"/>
        <v>1.7999999999999998</v>
      </c>
      <c r="D2551" s="12">
        <f t="shared" si="352"/>
        <v>0.67499999999999982</v>
      </c>
      <c r="E2551" s="12">
        <f t="shared" si="353"/>
        <v>11.067405568</v>
      </c>
      <c r="F2551" s="12">
        <f t="shared" si="354"/>
        <v>11.067405568</v>
      </c>
      <c r="G2551" s="12">
        <f t="shared" si="355"/>
        <v>14.49887559111111</v>
      </c>
      <c r="H2551" s="12">
        <f t="shared" si="356"/>
        <v>14.49887559111111</v>
      </c>
      <c r="I2551" s="1" t="str">
        <f t="shared" si="357"/>
        <v>No</v>
      </c>
      <c r="J2551" s="1" t="str">
        <f t="shared" si="358"/>
        <v>Si</v>
      </c>
      <c r="K2551" s="1" t="str">
        <f t="shared" si="359"/>
        <v/>
      </c>
    </row>
    <row r="2552" spans="1:11" x14ac:dyDescent="0.3">
      <c r="A2552" s="1">
        <v>49</v>
      </c>
      <c r="B2552" s="1">
        <v>35</v>
      </c>
      <c r="C2552" s="12">
        <f t="shared" si="351"/>
        <v>1.7999999999999998</v>
      </c>
      <c r="D2552" s="12">
        <f t="shared" si="352"/>
        <v>0.75</v>
      </c>
      <c r="E2552" s="12">
        <f t="shared" si="353"/>
        <v>11.064917475555555</v>
      </c>
      <c r="F2552" s="12">
        <f t="shared" si="354"/>
        <v>11.064917475555555</v>
      </c>
      <c r="G2552" s="12">
        <f t="shared" si="355"/>
        <v>14.495371235555554</v>
      </c>
      <c r="H2552" s="12">
        <f t="shared" si="356"/>
        <v>14.495371235555554</v>
      </c>
      <c r="I2552" s="1" t="str">
        <f t="shared" si="357"/>
        <v>No</v>
      </c>
      <c r="J2552" s="1" t="str">
        <f t="shared" si="358"/>
        <v>Si</v>
      </c>
      <c r="K2552" s="1" t="str">
        <f t="shared" si="359"/>
        <v/>
      </c>
    </row>
    <row r="2553" spans="1:11" x14ac:dyDescent="0.3">
      <c r="A2553" s="1">
        <v>49</v>
      </c>
      <c r="B2553" s="1">
        <v>36</v>
      </c>
      <c r="C2553" s="12">
        <f t="shared" si="351"/>
        <v>1.7999999999999998</v>
      </c>
      <c r="D2553" s="12">
        <f t="shared" si="352"/>
        <v>0.82500000000000018</v>
      </c>
      <c r="E2553" s="12">
        <f t="shared" si="353"/>
        <v>11.062429383111111</v>
      </c>
      <c r="F2553" s="12">
        <f t="shared" si="354"/>
        <v>11.062429383111111</v>
      </c>
      <c r="G2553" s="12">
        <f t="shared" si="355"/>
        <v>14.491866879999998</v>
      </c>
      <c r="H2553" s="12">
        <f t="shared" si="356"/>
        <v>14.491866879999998</v>
      </c>
      <c r="I2553" s="1" t="str">
        <f t="shared" si="357"/>
        <v>No</v>
      </c>
      <c r="J2553" s="1" t="str">
        <f t="shared" si="358"/>
        <v>Si</v>
      </c>
      <c r="K2553" s="1" t="str">
        <f t="shared" si="359"/>
        <v/>
      </c>
    </row>
    <row r="2554" spans="1:11" x14ac:dyDescent="0.3">
      <c r="A2554" s="1">
        <v>49</v>
      </c>
      <c r="B2554" s="1">
        <v>37</v>
      </c>
      <c r="C2554" s="12">
        <f t="shared" si="351"/>
        <v>1.7999999999999998</v>
      </c>
      <c r="D2554" s="12">
        <f t="shared" si="352"/>
        <v>0.89999999999999991</v>
      </c>
      <c r="E2554" s="12">
        <f t="shared" si="353"/>
        <v>11.059941290666666</v>
      </c>
      <c r="F2554" s="12">
        <f t="shared" si="354"/>
        <v>11.059941290666666</v>
      </c>
      <c r="G2554" s="12">
        <f t="shared" si="355"/>
        <v>14.488362524444442</v>
      </c>
      <c r="H2554" s="12">
        <f t="shared" si="356"/>
        <v>14.488362524444442</v>
      </c>
      <c r="I2554" s="1" t="str">
        <f t="shared" si="357"/>
        <v>No</v>
      </c>
      <c r="J2554" s="1" t="str">
        <f t="shared" si="358"/>
        <v>Si</v>
      </c>
      <c r="K2554" s="1" t="str">
        <f t="shared" si="359"/>
        <v/>
      </c>
    </row>
    <row r="2555" spans="1:11" x14ac:dyDescent="0.3">
      <c r="A2555" s="1">
        <v>49</v>
      </c>
      <c r="B2555" s="1">
        <v>38</v>
      </c>
      <c r="C2555" s="12">
        <f t="shared" si="351"/>
        <v>1.7999999999999998</v>
      </c>
      <c r="D2555" s="12">
        <f t="shared" si="352"/>
        <v>0.97500000000000009</v>
      </c>
      <c r="E2555" s="12">
        <f t="shared" si="353"/>
        <v>11.057453198222222</v>
      </c>
      <c r="F2555" s="12">
        <f t="shared" si="354"/>
        <v>11.057453198222222</v>
      </c>
      <c r="G2555" s="12">
        <f t="shared" si="355"/>
        <v>14.484858168888888</v>
      </c>
      <c r="H2555" s="12">
        <f t="shared" si="356"/>
        <v>14.484858168888888</v>
      </c>
      <c r="I2555" s="1" t="str">
        <f t="shared" si="357"/>
        <v>No</v>
      </c>
      <c r="J2555" s="1" t="str">
        <f t="shared" si="358"/>
        <v>Si</v>
      </c>
      <c r="K2555" s="1" t="str">
        <f t="shared" si="359"/>
        <v/>
      </c>
    </row>
    <row r="2556" spans="1:11" x14ac:dyDescent="0.3">
      <c r="A2556" s="1">
        <v>49</v>
      </c>
      <c r="B2556" s="1">
        <v>39</v>
      </c>
      <c r="C2556" s="12">
        <f t="shared" si="351"/>
        <v>1.7999999999999998</v>
      </c>
      <c r="D2556" s="12">
        <f t="shared" si="352"/>
        <v>1.0499999999999998</v>
      </c>
      <c r="E2556" s="12">
        <f t="shared" si="353"/>
        <v>11.054965105777777</v>
      </c>
      <c r="F2556" s="12">
        <f t="shared" si="354"/>
        <v>11.054965105777777</v>
      </c>
      <c r="G2556" s="12">
        <f t="shared" si="355"/>
        <v>14.481353813333332</v>
      </c>
      <c r="H2556" s="12">
        <f t="shared" si="356"/>
        <v>14.481353813333332</v>
      </c>
      <c r="I2556" s="1" t="str">
        <f t="shared" si="357"/>
        <v>No</v>
      </c>
      <c r="J2556" s="1" t="str">
        <f t="shared" si="358"/>
        <v>Si</v>
      </c>
      <c r="K2556" s="1" t="str">
        <f t="shared" si="359"/>
        <v/>
      </c>
    </row>
    <row r="2557" spans="1:11" x14ac:dyDescent="0.3">
      <c r="A2557" s="1">
        <v>49</v>
      </c>
      <c r="B2557" s="1">
        <v>40</v>
      </c>
      <c r="C2557" s="12">
        <f t="shared" si="351"/>
        <v>1.7999999999999998</v>
      </c>
      <c r="D2557" s="12">
        <f t="shared" si="352"/>
        <v>1.125</v>
      </c>
      <c r="E2557" s="12">
        <f t="shared" si="353"/>
        <v>11.052477013333332</v>
      </c>
      <c r="F2557" s="12">
        <f t="shared" si="354"/>
        <v>11.052477013333332</v>
      </c>
      <c r="G2557" s="12">
        <f t="shared" si="355"/>
        <v>14.477849457777776</v>
      </c>
      <c r="H2557" s="12">
        <f t="shared" si="356"/>
        <v>14.477849457777776</v>
      </c>
      <c r="I2557" s="1" t="str">
        <f t="shared" si="357"/>
        <v>No</v>
      </c>
      <c r="J2557" s="1" t="str">
        <f t="shared" si="358"/>
        <v>Si</v>
      </c>
      <c r="K2557" s="1" t="str">
        <f t="shared" si="359"/>
        <v/>
      </c>
    </row>
    <row r="2558" spans="1:11" x14ac:dyDescent="0.3">
      <c r="A2558" s="1">
        <v>49</v>
      </c>
      <c r="B2558" s="1">
        <v>41</v>
      </c>
      <c r="C2558" s="12">
        <f t="shared" si="351"/>
        <v>1.7999999999999998</v>
      </c>
      <c r="D2558" s="12">
        <f t="shared" si="352"/>
        <v>1.2000000000000002</v>
      </c>
      <c r="E2558" s="12">
        <f t="shared" si="353"/>
        <v>11.049988920888888</v>
      </c>
      <c r="F2558" s="12">
        <f t="shared" si="354"/>
        <v>11.049988920888888</v>
      </c>
      <c r="G2558" s="12">
        <f t="shared" si="355"/>
        <v>14.474345102222221</v>
      </c>
      <c r="H2558" s="12">
        <f t="shared" si="356"/>
        <v>14.474345102222221</v>
      </c>
      <c r="I2558" s="1" t="str">
        <f t="shared" si="357"/>
        <v>No</v>
      </c>
      <c r="J2558" s="1" t="str">
        <f t="shared" si="358"/>
        <v>Si</v>
      </c>
      <c r="K2558" s="1" t="str">
        <f t="shared" si="359"/>
        <v/>
      </c>
    </row>
    <row r="2559" spans="1:11" x14ac:dyDescent="0.3">
      <c r="A2559" s="1">
        <v>49</v>
      </c>
      <c r="B2559" s="1">
        <v>42</v>
      </c>
      <c r="C2559" s="12">
        <f t="shared" si="351"/>
        <v>1.7999999999999998</v>
      </c>
      <c r="D2559" s="12">
        <f t="shared" si="352"/>
        <v>1.2749999999999999</v>
      </c>
      <c r="E2559" s="12">
        <f t="shared" si="353"/>
        <v>11.047500828444443</v>
      </c>
      <c r="F2559" s="12">
        <f t="shared" si="354"/>
        <v>11.047500828444443</v>
      </c>
      <c r="G2559" s="12">
        <f t="shared" si="355"/>
        <v>14.470840746666665</v>
      </c>
      <c r="H2559" s="12">
        <f t="shared" si="356"/>
        <v>14.470840746666665</v>
      </c>
      <c r="I2559" s="1" t="str">
        <f t="shared" si="357"/>
        <v>No</v>
      </c>
      <c r="J2559" s="1" t="str">
        <f t="shared" si="358"/>
        <v>Si</v>
      </c>
      <c r="K2559" s="1" t="str">
        <f t="shared" si="359"/>
        <v/>
      </c>
    </row>
    <row r="2560" spans="1:11" x14ac:dyDescent="0.3">
      <c r="A2560" s="1">
        <v>49</v>
      </c>
      <c r="B2560" s="1">
        <v>43</v>
      </c>
      <c r="C2560" s="12">
        <f t="shared" si="351"/>
        <v>1.7999999999999998</v>
      </c>
      <c r="D2560" s="12">
        <f t="shared" si="352"/>
        <v>1.35</v>
      </c>
      <c r="E2560" s="12">
        <f t="shared" si="353"/>
        <v>11.045012735999999</v>
      </c>
      <c r="F2560" s="12">
        <f t="shared" si="354"/>
        <v>11.045012735999999</v>
      </c>
      <c r="G2560" s="12">
        <f t="shared" si="355"/>
        <v>14.467336391111109</v>
      </c>
      <c r="H2560" s="12">
        <f t="shared" si="356"/>
        <v>14.467336391111109</v>
      </c>
      <c r="I2560" s="1" t="str">
        <f t="shared" si="357"/>
        <v>No</v>
      </c>
      <c r="J2560" s="1" t="str">
        <f t="shared" si="358"/>
        <v>Si</v>
      </c>
      <c r="K2560" s="1" t="str">
        <f t="shared" si="359"/>
        <v/>
      </c>
    </row>
    <row r="2561" spans="1:11" x14ac:dyDescent="0.3">
      <c r="A2561" s="1">
        <v>49</v>
      </c>
      <c r="B2561" s="1">
        <v>44</v>
      </c>
      <c r="C2561" s="12">
        <f t="shared" si="351"/>
        <v>1.7999999999999998</v>
      </c>
      <c r="D2561" s="12">
        <f t="shared" si="352"/>
        <v>1.4249999999999998</v>
      </c>
      <c r="E2561" s="12">
        <f t="shared" si="353"/>
        <v>11.042524643555556</v>
      </c>
      <c r="F2561" s="12">
        <f t="shared" si="354"/>
        <v>11.042524643555556</v>
      </c>
      <c r="G2561" s="12">
        <f t="shared" si="355"/>
        <v>14.463832035555553</v>
      </c>
      <c r="H2561" s="12">
        <f t="shared" si="356"/>
        <v>14.463832035555553</v>
      </c>
      <c r="I2561" s="1" t="str">
        <f t="shared" si="357"/>
        <v>No</v>
      </c>
      <c r="J2561" s="1" t="str">
        <f t="shared" si="358"/>
        <v>Si</v>
      </c>
      <c r="K2561" s="1" t="str">
        <f t="shared" si="359"/>
        <v/>
      </c>
    </row>
    <row r="2562" spans="1:11" x14ac:dyDescent="0.3">
      <c r="A2562" s="1">
        <v>49</v>
      </c>
      <c r="B2562" s="1">
        <v>45</v>
      </c>
      <c r="C2562" s="12">
        <f t="shared" si="351"/>
        <v>1.7999999999999998</v>
      </c>
      <c r="D2562" s="12">
        <f t="shared" si="352"/>
        <v>1.5</v>
      </c>
      <c r="E2562" s="12">
        <f t="shared" si="353"/>
        <v>11.040036551111111</v>
      </c>
      <c r="F2562" s="12">
        <f t="shared" si="354"/>
        <v>11.040036551111111</v>
      </c>
      <c r="G2562" s="12">
        <f t="shared" si="355"/>
        <v>14.460327679999999</v>
      </c>
      <c r="H2562" s="12">
        <f t="shared" si="356"/>
        <v>14.460327679999999</v>
      </c>
      <c r="I2562" s="1" t="str">
        <f t="shared" si="357"/>
        <v>No</v>
      </c>
      <c r="J2562" s="1" t="str">
        <f t="shared" si="358"/>
        <v>Si</v>
      </c>
      <c r="K2562" s="1" t="str">
        <f t="shared" si="359"/>
        <v/>
      </c>
    </row>
    <row r="2563" spans="1:11" x14ac:dyDescent="0.3">
      <c r="A2563" s="1">
        <v>49</v>
      </c>
      <c r="B2563" s="1">
        <v>46</v>
      </c>
      <c r="C2563" s="12">
        <f t="shared" si="351"/>
        <v>1.7999999999999998</v>
      </c>
      <c r="D2563" s="12">
        <f t="shared" si="352"/>
        <v>1.5750000000000002</v>
      </c>
      <c r="E2563" s="12">
        <f t="shared" si="353"/>
        <v>11.037548458666667</v>
      </c>
      <c r="F2563" s="12">
        <f t="shared" si="354"/>
        <v>11.037548458666667</v>
      </c>
      <c r="G2563" s="12">
        <f t="shared" si="355"/>
        <v>14.456823324444443</v>
      </c>
      <c r="H2563" s="12">
        <f t="shared" si="356"/>
        <v>14.456823324444443</v>
      </c>
      <c r="I2563" s="1" t="str">
        <f t="shared" si="357"/>
        <v>No</v>
      </c>
      <c r="J2563" s="1" t="str">
        <f t="shared" si="358"/>
        <v>Si</v>
      </c>
      <c r="K2563" s="1" t="str">
        <f t="shared" si="359"/>
        <v/>
      </c>
    </row>
    <row r="2564" spans="1:11" x14ac:dyDescent="0.3">
      <c r="A2564" s="1">
        <v>49</v>
      </c>
      <c r="B2564" s="1">
        <v>47</v>
      </c>
      <c r="C2564" s="12">
        <f t="shared" si="351"/>
        <v>1.7999999999999998</v>
      </c>
      <c r="D2564" s="12">
        <f t="shared" si="352"/>
        <v>1.65</v>
      </c>
      <c r="E2564" s="12">
        <f t="shared" si="353"/>
        <v>11.035060366222222</v>
      </c>
      <c r="F2564" s="12">
        <f t="shared" si="354"/>
        <v>11.035060366222222</v>
      </c>
      <c r="G2564" s="12">
        <f t="shared" si="355"/>
        <v>14.453318968888887</v>
      </c>
      <c r="H2564" s="12">
        <f t="shared" si="356"/>
        <v>14.453318968888887</v>
      </c>
      <c r="I2564" s="1" t="str">
        <f t="shared" si="357"/>
        <v>No</v>
      </c>
      <c r="J2564" s="1" t="str">
        <f t="shared" si="358"/>
        <v>Si</v>
      </c>
      <c r="K2564" s="1" t="str">
        <f t="shared" si="359"/>
        <v/>
      </c>
    </row>
    <row r="2565" spans="1:11" x14ac:dyDescent="0.3">
      <c r="A2565" s="1">
        <v>49</v>
      </c>
      <c r="B2565" s="1">
        <v>48</v>
      </c>
      <c r="C2565" s="12">
        <f t="shared" si="351"/>
        <v>1.7999999999999998</v>
      </c>
      <c r="D2565" s="12">
        <f t="shared" si="352"/>
        <v>1.7250000000000001</v>
      </c>
      <c r="E2565" s="12">
        <f t="shared" si="353"/>
        <v>11.032572273777777</v>
      </c>
      <c r="F2565" s="12">
        <f t="shared" si="354"/>
        <v>11.032572273777777</v>
      </c>
      <c r="G2565" s="12">
        <f t="shared" si="355"/>
        <v>14.449814613333333</v>
      </c>
      <c r="H2565" s="12">
        <f t="shared" si="356"/>
        <v>14.449814613333333</v>
      </c>
      <c r="I2565" s="1" t="str">
        <f t="shared" si="357"/>
        <v>No</v>
      </c>
      <c r="J2565" s="1" t="str">
        <f t="shared" si="358"/>
        <v>Si</v>
      </c>
      <c r="K2565" s="1" t="str">
        <f t="shared" si="359"/>
        <v/>
      </c>
    </row>
    <row r="2566" spans="1:11" x14ac:dyDescent="0.3">
      <c r="A2566" s="1">
        <v>49</v>
      </c>
      <c r="B2566" s="1">
        <v>49</v>
      </c>
      <c r="C2566" s="12">
        <f t="shared" si="351"/>
        <v>1.7999999999999998</v>
      </c>
      <c r="D2566" s="12">
        <f t="shared" si="352"/>
        <v>1.7999999999999998</v>
      </c>
      <c r="E2566" s="12">
        <f t="shared" si="353"/>
        <v>11.030084181333333</v>
      </c>
      <c r="F2566" s="12">
        <f t="shared" si="354"/>
        <v>11.030084181333333</v>
      </c>
      <c r="G2566" s="12">
        <f t="shared" si="355"/>
        <v>14.446310257777776</v>
      </c>
      <c r="H2566" s="12">
        <f t="shared" si="356"/>
        <v>14.446310257777776</v>
      </c>
      <c r="I2566" s="1" t="str">
        <f t="shared" si="357"/>
        <v>No</v>
      </c>
      <c r="J2566" s="1" t="str">
        <f t="shared" si="358"/>
        <v>Si</v>
      </c>
      <c r="K2566" s="1" t="str">
        <f t="shared" si="359"/>
        <v/>
      </c>
    </row>
    <row r="2567" spans="1:11" x14ac:dyDescent="0.3">
      <c r="A2567" s="1">
        <v>49</v>
      </c>
      <c r="B2567" s="1">
        <v>50</v>
      </c>
      <c r="C2567" s="12">
        <f t="shared" si="351"/>
        <v>1.7999999999999998</v>
      </c>
      <c r="D2567" s="12">
        <f t="shared" si="352"/>
        <v>1.875</v>
      </c>
      <c r="E2567" s="12">
        <f t="shared" si="353"/>
        <v>11.027596088888888</v>
      </c>
      <c r="F2567" s="12">
        <f t="shared" si="354"/>
        <v>11.027596088888888</v>
      </c>
      <c r="G2567" s="12">
        <f t="shared" si="355"/>
        <v>14.44280590222222</v>
      </c>
      <c r="H2567" s="12">
        <f t="shared" si="356"/>
        <v>14.44280590222222</v>
      </c>
      <c r="I2567" s="1" t="str">
        <f t="shared" si="357"/>
        <v>No</v>
      </c>
      <c r="J2567" s="1" t="str">
        <f t="shared" si="358"/>
        <v>Si</v>
      </c>
      <c r="K2567" s="1" t="str">
        <f t="shared" si="359"/>
        <v/>
      </c>
    </row>
    <row r="2568" spans="1:11" x14ac:dyDescent="0.3">
      <c r="A2568" s="1">
        <v>50</v>
      </c>
      <c r="B2568" s="1">
        <v>0</v>
      </c>
      <c r="C2568" s="12">
        <f t="shared" si="351"/>
        <v>1.875</v>
      </c>
      <c r="D2568" s="12">
        <f t="shared" si="352"/>
        <v>-1.875</v>
      </c>
      <c r="E2568" s="12">
        <f t="shared" si="353"/>
        <v>11.152694755555554</v>
      </c>
      <c r="F2568" s="12">
        <f t="shared" si="354"/>
        <v>11.152694755555554</v>
      </c>
      <c r="G2568" s="12">
        <f t="shared" si="355"/>
        <v>14.619061333333333</v>
      </c>
      <c r="H2568" s="12">
        <f t="shared" si="356"/>
        <v>14.619061333333333</v>
      </c>
      <c r="I2568" s="1" t="str">
        <f t="shared" si="357"/>
        <v>No</v>
      </c>
      <c r="J2568" s="1" t="str">
        <f t="shared" si="358"/>
        <v>Si</v>
      </c>
      <c r="K2568" s="1" t="str">
        <f t="shared" si="359"/>
        <v/>
      </c>
    </row>
    <row r="2569" spans="1:11" x14ac:dyDescent="0.3">
      <c r="A2569" s="1">
        <v>50</v>
      </c>
      <c r="B2569" s="1">
        <v>1</v>
      </c>
      <c r="C2569" s="12">
        <f t="shared" si="351"/>
        <v>1.875</v>
      </c>
      <c r="D2569" s="12">
        <f t="shared" si="352"/>
        <v>-1.8</v>
      </c>
      <c r="E2569" s="12">
        <f t="shared" si="353"/>
        <v>11.15020666311111</v>
      </c>
      <c r="F2569" s="12">
        <f t="shared" si="354"/>
        <v>11.15020666311111</v>
      </c>
      <c r="G2569" s="12">
        <f t="shared" si="355"/>
        <v>14.615556977777777</v>
      </c>
      <c r="H2569" s="12">
        <f t="shared" si="356"/>
        <v>14.615556977777777</v>
      </c>
      <c r="I2569" s="1" t="str">
        <f t="shared" si="357"/>
        <v>No</v>
      </c>
      <c r="J2569" s="1" t="str">
        <f t="shared" si="358"/>
        <v>Si</v>
      </c>
      <c r="K2569" s="1" t="str">
        <f t="shared" si="359"/>
        <v/>
      </c>
    </row>
    <row r="2570" spans="1:11" x14ac:dyDescent="0.3">
      <c r="A2570" s="1">
        <v>50</v>
      </c>
      <c r="B2570" s="1">
        <v>2</v>
      </c>
      <c r="C2570" s="12">
        <f t="shared" si="351"/>
        <v>1.875</v>
      </c>
      <c r="D2570" s="12">
        <f t="shared" si="352"/>
        <v>-1.7250000000000001</v>
      </c>
      <c r="E2570" s="12">
        <f t="shared" si="353"/>
        <v>11.147718570666665</v>
      </c>
      <c r="F2570" s="12">
        <f t="shared" si="354"/>
        <v>11.147718570666665</v>
      </c>
      <c r="G2570" s="12">
        <f t="shared" si="355"/>
        <v>14.612052622222221</v>
      </c>
      <c r="H2570" s="12">
        <f t="shared" si="356"/>
        <v>14.612052622222221</v>
      </c>
      <c r="I2570" s="1" t="str">
        <f t="shared" si="357"/>
        <v>No</v>
      </c>
      <c r="J2570" s="1" t="str">
        <f t="shared" si="358"/>
        <v>Si</v>
      </c>
      <c r="K2570" s="1" t="str">
        <f t="shared" si="359"/>
        <v/>
      </c>
    </row>
    <row r="2571" spans="1:11" x14ac:dyDescent="0.3">
      <c r="A2571" s="1">
        <v>50</v>
      </c>
      <c r="B2571" s="1">
        <v>3</v>
      </c>
      <c r="C2571" s="12">
        <f t="shared" si="351"/>
        <v>1.875</v>
      </c>
      <c r="D2571" s="12">
        <f t="shared" si="352"/>
        <v>-1.65</v>
      </c>
      <c r="E2571" s="12">
        <f t="shared" si="353"/>
        <v>11.145230478222221</v>
      </c>
      <c r="F2571" s="12">
        <f t="shared" si="354"/>
        <v>11.145230478222221</v>
      </c>
      <c r="G2571" s="12">
        <f t="shared" si="355"/>
        <v>14.608548266666666</v>
      </c>
      <c r="H2571" s="12">
        <f t="shared" si="356"/>
        <v>14.608548266666666</v>
      </c>
      <c r="I2571" s="1" t="str">
        <f t="shared" si="357"/>
        <v>No</v>
      </c>
      <c r="J2571" s="1" t="str">
        <f t="shared" si="358"/>
        <v>Si</v>
      </c>
      <c r="K2571" s="1" t="str">
        <f t="shared" si="359"/>
        <v/>
      </c>
    </row>
    <row r="2572" spans="1:11" x14ac:dyDescent="0.3">
      <c r="A2572" s="1">
        <v>50</v>
      </c>
      <c r="B2572" s="1">
        <v>4</v>
      </c>
      <c r="C2572" s="12">
        <f t="shared" si="351"/>
        <v>1.875</v>
      </c>
      <c r="D2572" s="12">
        <f t="shared" si="352"/>
        <v>-1.575</v>
      </c>
      <c r="E2572" s="12">
        <f t="shared" si="353"/>
        <v>11.142742385777776</v>
      </c>
      <c r="F2572" s="12">
        <f t="shared" si="354"/>
        <v>11.142742385777776</v>
      </c>
      <c r="G2572" s="12">
        <f t="shared" si="355"/>
        <v>14.60504391111111</v>
      </c>
      <c r="H2572" s="12">
        <f t="shared" si="356"/>
        <v>14.60504391111111</v>
      </c>
      <c r="I2572" s="1" t="str">
        <f t="shared" si="357"/>
        <v>No</v>
      </c>
      <c r="J2572" s="1" t="str">
        <f t="shared" si="358"/>
        <v>Si</v>
      </c>
      <c r="K2572" s="1" t="str">
        <f t="shared" si="359"/>
        <v/>
      </c>
    </row>
    <row r="2573" spans="1:11" x14ac:dyDescent="0.3">
      <c r="A2573" s="1">
        <v>50</v>
      </c>
      <c r="B2573" s="1">
        <v>5</v>
      </c>
      <c r="C2573" s="12">
        <f t="shared" si="351"/>
        <v>1.875</v>
      </c>
      <c r="D2573" s="12">
        <f t="shared" si="352"/>
        <v>-1.5</v>
      </c>
      <c r="E2573" s="12">
        <f t="shared" si="353"/>
        <v>11.140254293333332</v>
      </c>
      <c r="F2573" s="12">
        <f t="shared" si="354"/>
        <v>11.140254293333332</v>
      </c>
      <c r="G2573" s="12">
        <f t="shared" si="355"/>
        <v>14.601539555555554</v>
      </c>
      <c r="H2573" s="12">
        <f t="shared" si="356"/>
        <v>14.601539555555554</v>
      </c>
      <c r="I2573" s="1" t="str">
        <f t="shared" si="357"/>
        <v>No</v>
      </c>
      <c r="J2573" s="1" t="str">
        <f t="shared" si="358"/>
        <v>Si</v>
      </c>
      <c r="K2573" s="1" t="str">
        <f t="shared" si="359"/>
        <v/>
      </c>
    </row>
    <row r="2574" spans="1:11" x14ac:dyDescent="0.3">
      <c r="A2574" s="1">
        <v>50</v>
      </c>
      <c r="B2574" s="1">
        <v>6</v>
      </c>
      <c r="C2574" s="12">
        <f t="shared" si="351"/>
        <v>1.875</v>
      </c>
      <c r="D2574" s="12">
        <f t="shared" si="352"/>
        <v>-1.425</v>
      </c>
      <c r="E2574" s="12">
        <f t="shared" si="353"/>
        <v>11.137766200888887</v>
      </c>
      <c r="F2574" s="12">
        <f t="shared" si="354"/>
        <v>11.137766200888887</v>
      </c>
      <c r="G2574" s="12">
        <f t="shared" si="355"/>
        <v>14.5980352</v>
      </c>
      <c r="H2574" s="12">
        <f t="shared" si="356"/>
        <v>14.5980352</v>
      </c>
      <c r="I2574" s="1" t="str">
        <f t="shared" si="357"/>
        <v>No</v>
      </c>
      <c r="J2574" s="1" t="str">
        <f t="shared" si="358"/>
        <v>Si</v>
      </c>
      <c r="K2574" s="1" t="str">
        <f t="shared" si="359"/>
        <v/>
      </c>
    </row>
    <row r="2575" spans="1:11" x14ac:dyDescent="0.3">
      <c r="A2575" s="1">
        <v>50</v>
      </c>
      <c r="B2575" s="1">
        <v>7</v>
      </c>
      <c r="C2575" s="12">
        <f t="shared" si="351"/>
        <v>1.875</v>
      </c>
      <c r="D2575" s="12">
        <f t="shared" si="352"/>
        <v>-1.35</v>
      </c>
      <c r="E2575" s="12">
        <f t="shared" si="353"/>
        <v>11.135278108444444</v>
      </c>
      <c r="F2575" s="12">
        <f t="shared" si="354"/>
        <v>11.135278108444444</v>
      </c>
      <c r="G2575" s="12">
        <f t="shared" si="355"/>
        <v>14.594530844444444</v>
      </c>
      <c r="H2575" s="12">
        <f t="shared" si="356"/>
        <v>14.594530844444444</v>
      </c>
      <c r="I2575" s="1" t="str">
        <f t="shared" si="357"/>
        <v>No</v>
      </c>
      <c r="J2575" s="1" t="str">
        <f t="shared" si="358"/>
        <v>Si</v>
      </c>
      <c r="K2575" s="1" t="str">
        <f t="shared" si="359"/>
        <v/>
      </c>
    </row>
    <row r="2576" spans="1:11" x14ac:dyDescent="0.3">
      <c r="A2576" s="1">
        <v>50</v>
      </c>
      <c r="B2576" s="1">
        <v>8</v>
      </c>
      <c r="C2576" s="12">
        <f t="shared" si="351"/>
        <v>1.875</v>
      </c>
      <c r="D2576" s="12">
        <f t="shared" si="352"/>
        <v>-1.2749999999999999</v>
      </c>
      <c r="E2576" s="12">
        <f t="shared" si="353"/>
        <v>11.132790016</v>
      </c>
      <c r="F2576" s="12">
        <f t="shared" si="354"/>
        <v>11.132790016</v>
      </c>
      <c r="G2576" s="12">
        <f t="shared" si="355"/>
        <v>14.591026488888888</v>
      </c>
      <c r="H2576" s="12">
        <f t="shared" si="356"/>
        <v>14.591026488888888</v>
      </c>
      <c r="I2576" s="1" t="str">
        <f t="shared" si="357"/>
        <v>No</v>
      </c>
      <c r="J2576" s="1" t="str">
        <f t="shared" si="358"/>
        <v>Si</v>
      </c>
      <c r="K2576" s="1" t="str">
        <f t="shared" si="359"/>
        <v/>
      </c>
    </row>
    <row r="2577" spans="1:11" x14ac:dyDescent="0.3">
      <c r="A2577" s="1">
        <v>50</v>
      </c>
      <c r="B2577" s="1">
        <v>9</v>
      </c>
      <c r="C2577" s="12">
        <f t="shared" si="351"/>
        <v>1.875</v>
      </c>
      <c r="D2577" s="12">
        <f t="shared" si="352"/>
        <v>-1.2</v>
      </c>
      <c r="E2577" s="12">
        <f t="shared" si="353"/>
        <v>11.130301923555555</v>
      </c>
      <c r="F2577" s="12">
        <f t="shared" si="354"/>
        <v>11.130301923555555</v>
      </c>
      <c r="G2577" s="12">
        <f t="shared" si="355"/>
        <v>14.587522133333332</v>
      </c>
      <c r="H2577" s="12">
        <f t="shared" si="356"/>
        <v>14.587522133333332</v>
      </c>
      <c r="I2577" s="1" t="str">
        <f t="shared" si="357"/>
        <v>No</v>
      </c>
      <c r="J2577" s="1" t="str">
        <f t="shared" si="358"/>
        <v>Si</v>
      </c>
      <c r="K2577" s="1" t="str">
        <f t="shared" si="359"/>
        <v/>
      </c>
    </row>
    <row r="2578" spans="1:11" x14ac:dyDescent="0.3">
      <c r="A2578" s="1">
        <v>50</v>
      </c>
      <c r="B2578" s="1">
        <v>10</v>
      </c>
      <c r="C2578" s="12">
        <f t="shared" ref="C2578:C2618" si="360">IF(OR(A2578&gt;inp_n_div_x,B2578&gt;inp_n_div_y),"",-inp_bx/2+A2578*inp_bx/inp_n_div_x)</f>
        <v>1.875</v>
      </c>
      <c r="D2578" s="12">
        <f t="shared" ref="D2578:D2618" si="361">IF(C2578="","",-inp_by/2+B2578*inp_by/inp_n_div_y)</f>
        <v>-1.125</v>
      </c>
      <c r="E2578" s="12">
        <f t="shared" ref="E2578:E2618" si="362">IF(C2578="","",res_srv_p_tot/geo_area+res_srv_mx_tot/geo_ix*D2578+res_srv_my_tot/geo_iy*C2578)</f>
        <v>11.12781383111111</v>
      </c>
      <c r="F2578" s="12">
        <f t="shared" ref="F2578:F2618" si="363">IF(E2578="","",MAX(0,E2578))</f>
        <v>11.12781383111111</v>
      </c>
      <c r="G2578" s="12">
        <f t="shared" ref="G2578:G2618" si="364">IF(C2578="","",res_u_p_tot/geo_area+res_u_mx_tot/geo_ix*D2578+res_u_my_tot/geo_iy*C2578)</f>
        <v>14.584017777777778</v>
      </c>
      <c r="H2578" s="12">
        <f t="shared" ref="H2578:H2618" si="365">IF(G2578="","",MAX(0,G2578))</f>
        <v>14.584017777777778</v>
      </c>
      <c r="I2578" s="1" t="str">
        <f t="shared" ref="I2578:I2618" si="366">IF(C2578="","",IF(AND(C2578&gt;=inp_xc-inp_cx/2,C2578&lt;=inp_xc+inp_cx/2,D2578&gt;=inp_yc-inp_cy/2,D2578&lt;=inp_yc+inp_cy/2),"Si","No"))</f>
        <v>No</v>
      </c>
      <c r="J2578" s="1" t="str">
        <f t="shared" ref="J2578:J2618" si="367">IF(C2578="","","Si")</f>
        <v>Si</v>
      </c>
      <c r="K2578" s="1" t="str">
        <f t="shared" ref="K2578:K2618" si="368">IF(OR(E2578&lt;0,G2578&lt;0),"Presion negativa","")</f>
        <v/>
      </c>
    </row>
    <row r="2579" spans="1:11" x14ac:dyDescent="0.3">
      <c r="A2579" s="1">
        <v>50</v>
      </c>
      <c r="B2579" s="1">
        <v>11</v>
      </c>
      <c r="C2579" s="12">
        <f t="shared" si="360"/>
        <v>1.875</v>
      </c>
      <c r="D2579" s="12">
        <f t="shared" si="361"/>
        <v>-1.05</v>
      </c>
      <c r="E2579" s="12">
        <f t="shared" si="362"/>
        <v>11.125325738666666</v>
      </c>
      <c r="F2579" s="12">
        <f t="shared" si="363"/>
        <v>11.125325738666666</v>
      </c>
      <c r="G2579" s="12">
        <f t="shared" si="364"/>
        <v>14.580513422222221</v>
      </c>
      <c r="H2579" s="12">
        <f t="shared" si="365"/>
        <v>14.580513422222221</v>
      </c>
      <c r="I2579" s="1" t="str">
        <f t="shared" si="366"/>
        <v>No</v>
      </c>
      <c r="J2579" s="1" t="str">
        <f t="shared" si="367"/>
        <v>Si</v>
      </c>
      <c r="K2579" s="1" t="str">
        <f t="shared" si="368"/>
        <v/>
      </c>
    </row>
    <row r="2580" spans="1:11" x14ac:dyDescent="0.3">
      <c r="A2580" s="1">
        <v>50</v>
      </c>
      <c r="B2580" s="1">
        <v>12</v>
      </c>
      <c r="C2580" s="12">
        <f t="shared" si="360"/>
        <v>1.875</v>
      </c>
      <c r="D2580" s="12">
        <f t="shared" si="361"/>
        <v>-0.97499999999999998</v>
      </c>
      <c r="E2580" s="12">
        <f t="shared" si="362"/>
        <v>11.122837646222221</v>
      </c>
      <c r="F2580" s="12">
        <f t="shared" si="363"/>
        <v>11.122837646222221</v>
      </c>
      <c r="G2580" s="12">
        <f t="shared" si="364"/>
        <v>14.577009066666665</v>
      </c>
      <c r="H2580" s="12">
        <f t="shared" si="365"/>
        <v>14.577009066666665</v>
      </c>
      <c r="I2580" s="1" t="str">
        <f t="shared" si="366"/>
        <v>No</v>
      </c>
      <c r="J2580" s="1" t="str">
        <f t="shared" si="367"/>
        <v>Si</v>
      </c>
      <c r="K2580" s="1" t="str">
        <f t="shared" si="368"/>
        <v/>
      </c>
    </row>
    <row r="2581" spans="1:11" x14ac:dyDescent="0.3">
      <c r="A2581" s="1">
        <v>50</v>
      </c>
      <c r="B2581" s="1">
        <v>13</v>
      </c>
      <c r="C2581" s="12">
        <f t="shared" si="360"/>
        <v>1.875</v>
      </c>
      <c r="D2581" s="12">
        <f t="shared" si="361"/>
        <v>-0.9</v>
      </c>
      <c r="E2581" s="12">
        <f t="shared" si="362"/>
        <v>11.120349553777777</v>
      </c>
      <c r="F2581" s="12">
        <f t="shared" si="363"/>
        <v>11.120349553777777</v>
      </c>
      <c r="G2581" s="12">
        <f t="shared" si="364"/>
        <v>14.573504711111111</v>
      </c>
      <c r="H2581" s="12">
        <f t="shared" si="365"/>
        <v>14.573504711111111</v>
      </c>
      <c r="I2581" s="1" t="str">
        <f t="shared" si="366"/>
        <v>No</v>
      </c>
      <c r="J2581" s="1" t="str">
        <f t="shared" si="367"/>
        <v>Si</v>
      </c>
      <c r="K2581" s="1" t="str">
        <f t="shared" si="368"/>
        <v/>
      </c>
    </row>
    <row r="2582" spans="1:11" x14ac:dyDescent="0.3">
      <c r="A2582" s="1">
        <v>50</v>
      </c>
      <c r="B2582" s="1">
        <v>14</v>
      </c>
      <c r="C2582" s="12">
        <f t="shared" si="360"/>
        <v>1.875</v>
      </c>
      <c r="D2582" s="12">
        <f t="shared" si="361"/>
        <v>-0.82499999999999996</v>
      </c>
      <c r="E2582" s="12">
        <f t="shared" si="362"/>
        <v>11.117861461333332</v>
      </c>
      <c r="F2582" s="12">
        <f t="shared" si="363"/>
        <v>11.117861461333332</v>
      </c>
      <c r="G2582" s="12">
        <f t="shared" si="364"/>
        <v>14.570000355555555</v>
      </c>
      <c r="H2582" s="12">
        <f t="shared" si="365"/>
        <v>14.570000355555555</v>
      </c>
      <c r="I2582" s="1" t="str">
        <f t="shared" si="366"/>
        <v>No</v>
      </c>
      <c r="J2582" s="1" t="str">
        <f t="shared" si="367"/>
        <v>Si</v>
      </c>
      <c r="K2582" s="1" t="str">
        <f t="shared" si="368"/>
        <v/>
      </c>
    </row>
    <row r="2583" spans="1:11" x14ac:dyDescent="0.3">
      <c r="A2583" s="1">
        <v>50</v>
      </c>
      <c r="B2583" s="1">
        <v>15</v>
      </c>
      <c r="C2583" s="12">
        <f t="shared" si="360"/>
        <v>1.875</v>
      </c>
      <c r="D2583" s="12">
        <f t="shared" si="361"/>
        <v>-0.75</v>
      </c>
      <c r="E2583" s="12">
        <f t="shared" si="362"/>
        <v>11.115373368888887</v>
      </c>
      <c r="F2583" s="12">
        <f t="shared" si="363"/>
        <v>11.115373368888887</v>
      </c>
      <c r="G2583" s="12">
        <f t="shared" si="364"/>
        <v>14.566495999999999</v>
      </c>
      <c r="H2583" s="12">
        <f t="shared" si="365"/>
        <v>14.566495999999999</v>
      </c>
      <c r="I2583" s="1" t="str">
        <f t="shared" si="366"/>
        <v>No</v>
      </c>
      <c r="J2583" s="1" t="str">
        <f t="shared" si="367"/>
        <v>Si</v>
      </c>
      <c r="K2583" s="1" t="str">
        <f t="shared" si="368"/>
        <v/>
      </c>
    </row>
    <row r="2584" spans="1:11" x14ac:dyDescent="0.3">
      <c r="A2584" s="1">
        <v>50</v>
      </c>
      <c r="B2584" s="1">
        <v>16</v>
      </c>
      <c r="C2584" s="12">
        <f t="shared" si="360"/>
        <v>1.875</v>
      </c>
      <c r="D2584" s="12">
        <f t="shared" si="361"/>
        <v>-0.67500000000000004</v>
      </c>
      <c r="E2584" s="12">
        <f t="shared" si="362"/>
        <v>11.112885276444443</v>
      </c>
      <c r="F2584" s="12">
        <f t="shared" si="363"/>
        <v>11.112885276444443</v>
      </c>
      <c r="G2584" s="12">
        <f t="shared" si="364"/>
        <v>14.562991644444443</v>
      </c>
      <c r="H2584" s="12">
        <f t="shared" si="365"/>
        <v>14.562991644444443</v>
      </c>
      <c r="I2584" s="1" t="str">
        <f t="shared" si="366"/>
        <v>No</v>
      </c>
      <c r="J2584" s="1" t="str">
        <f t="shared" si="367"/>
        <v>Si</v>
      </c>
      <c r="K2584" s="1" t="str">
        <f t="shared" si="368"/>
        <v/>
      </c>
    </row>
    <row r="2585" spans="1:11" x14ac:dyDescent="0.3">
      <c r="A2585" s="1">
        <v>50</v>
      </c>
      <c r="B2585" s="1">
        <v>17</v>
      </c>
      <c r="C2585" s="12">
        <f t="shared" si="360"/>
        <v>1.875</v>
      </c>
      <c r="D2585" s="12">
        <f t="shared" si="361"/>
        <v>-0.60000000000000009</v>
      </c>
      <c r="E2585" s="12">
        <f t="shared" si="362"/>
        <v>11.110397183999998</v>
      </c>
      <c r="F2585" s="12">
        <f t="shared" si="363"/>
        <v>11.110397183999998</v>
      </c>
      <c r="G2585" s="12">
        <f t="shared" si="364"/>
        <v>14.559487288888889</v>
      </c>
      <c r="H2585" s="12">
        <f t="shared" si="365"/>
        <v>14.559487288888889</v>
      </c>
      <c r="I2585" s="1" t="str">
        <f t="shared" si="366"/>
        <v>No</v>
      </c>
      <c r="J2585" s="1" t="str">
        <f t="shared" si="367"/>
        <v>Si</v>
      </c>
      <c r="K2585" s="1" t="str">
        <f t="shared" si="368"/>
        <v/>
      </c>
    </row>
    <row r="2586" spans="1:11" x14ac:dyDescent="0.3">
      <c r="A2586" s="1">
        <v>50</v>
      </c>
      <c r="B2586" s="1">
        <v>18</v>
      </c>
      <c r="C2586" s="12">
        <f t="shared" si="360"/>
        <v>1.875</v>
      </c>
      <c r="D2586" s="12">
        <f t="shared" si="361"/>
        <v>-0.52499999999999991</v>
      </c>
      <c r="E2586" s="12">
        <f t="shared" si="362"/>
        <v>11.107909091555554</v>
      </c>
      <c r="F2586" s="12">
        <f t="shared" si="363"/>
        <v>11.107909091555554</v>
      </c>
      <c r="G2586" s="12">
        <f t="shared" si="364"/>
        <v>14.555982933333333</v>
      </c>
      <c r="H2586" s="12">
        <f t="shared" si="365"/>
        <v>14.555982933333333</v>
      </c>
      <c r="I2586" s="1" t="str">
        <f t="shared" si="366"/>
        <v>No</v>
      </c>
      <c r="J2586" s="1" t="str">
        <f t="shared" si="367"/>
        <v>Si</v>
      </c>
      <c r="K2586" s="1" t="str">
        <f t="shared" si="368"/>
        <v/>
      </c>
    </row>
    <row r="2587" spans="1:11" x14ac:dyDescent="0.3">
      <c r="A2587" s="1">
        <v>50</v>
      </c>
      <c r="B2587" s="1">
        <v>19</v>
      </c>
      <c r="C2587" s="12">
        <f t="shared" si="360"/>
        <v>1.875</v>
      </c>
      <c r="D2587" s="12">
        <f t="shared" si="361"/>
        <v>-0.44999999999999996</v>
      </c>
      <c r="E2587" s="12">
        <f t="shared" si="362"/>
        <v>11.105420999111111</v>
      </c>
      <c r="F2587" s="12">
        <f t="shared" si="363"/>
        <v>11.105420999111111</v>
      </c>
      <c r="G2587" s="12">
        <f t="shared" si="364"/>
        <v>14.552478577777777</v>
      </c>
      <c r="H2587" s="12">
        <f t="shared" si="365"/>
        <v>14.552478577777777</v>
      </c>
      <c r="I2587" s="1" t="str">
        <f t="shared" si="366"/>
        <v>No</v>
      </c>
      <c r="J2587" s="1" t="str">
        <f t="shared" si="367"/>
        <v>Si</v>
      </c>
      <c r="K2587" s="1" t="str">
        <f t="shared" si="368"/>
        <v/>
      </c>
    </row>
    <row r="2588" spans="1:11" x14ac:dyDescent="0.3">
      <c r="A2588" s="1">
        <v>50</v>
      </c>
      <c r="B2588" s="1">
        <v>20</v>
      </c>
      <c r="C2588" s="12">
        <f t="shared" si="360"/>
        <v>1.875</v>
      </c>
      <c r="D2588" s="12">
        <f t="shared" si="361"/>
        <v>-0.375</v>
      </c>
      <c r="E2588" s="12">
        <f t="shared" si="362"/>
        <v>11.102932906666666</v>
      </c>
      <c r="F2588" s="12">
        <f t="shared" si="363"/>
        <v>11.102932906666666</v>
      </c>
      <c r="G2588" s="12">
        <f t="shared" si="364"/>
        <v>14.548974222222222</v>
      </c>
      <c r="H2588" s="12">
        <f t="shared" si="365"/>
        <v>14.548974222222222</v>
      </c>
      <c r="I2588" s="1" t="str">
        <f t="shared" si="366"/>
        <v>No</v>
      </c>
      <c r="J2588" s="1" t="str">
        <f t="shared" si="367"/>
        <v>Si</v>
      </c>
      <c r="K2588" s="1" t="str">
        <f t="shared" si="368"/>
        <v/>
      </c>
    </row>
    <row r="2589" spans="1:11" x14ac:dyDescent="0.3">
      <c r="A2589" s="1">
        <v>50</v>
      </c>
      <c r="B2589" s="1">
        <v>21</v>
      </c>
      <c r="C2589" s="12">
        <f t="shared" si="360"/>
        <v>1.875</v>
      </c>
      <c r="D2589" s="12">
        <f t="shared" si="361"/>
        <v>-0.30000000000000004</v>
      </c>
      <c r="E2589" s="12">
        <f t="shared" si="362"/>
        <v>11.100444814222222</v>
      </c>
      <c r="F2589" s="12">
        <f t="shared" si="363"/>
        <v>11.100444814222222</v>
      </c>
      <c r="G2589" s="12">
        <f t="shared" si="364"/>
        <v>14.545469866666666</v>
      </c>
      <c r="H2589" s="12">
        <f t="shared" si="365"/>
        <v>14.545469866666666</v>
      </c>
      <c r="I2589" s="1" t="str">
        <f t="shared" si="366"/>
        <v>No</v>
      </c>
      <c r="J2589" s="1" t="str">
        <f t="shared" si="367"/>
        <v>Si</v>
      </c>
      <c r="K2589" s="1" t="str">
        <f t="shared" si="368"/>
        <v/>
      </c>
    </row>
    <row r="2590" spans="1:11" x14ac:dyDescent="0.3">
      <c r="A2590" s="1">
        <v>50</v>
      </c>
      <c r="B2590" s="1">
        <v>22</v>
      </c>
      <c r="C2590" s="12">
        <f t="shared" si="360"/>
        <v>1.875</v>
      </c>
      <c r="D2590" s="12">
        <f t="shared" si="361"/>
        <v>-0.22500000000000009</v>
      </c>
      <c r="E2590" s="12">
        <f t="shared" si="362"/>
        <v>11.097956721777777</v>
      </c>
      <c r="F2590" s="12">
        <f t="shared" si="363"/>
        <v>11.097956721777777</v>
      </c>
      <c r="G2590" s="12">
        <f t="shared" si="364"/>
        <v>14.54196551111111</v>
      </c>
      <c r="H2590" s="12">
        <f t="shared" si="365"/>
        <v>14.54196551111111</v>
      </c>
      <c r="I2590" s="1" t="str">
        <f t="shared" si="366"/>
        <v>No</v>
      </c>
      <c r="J2590" s="1" t="str">
        <f t="shared" si="367"/>
        <v>Si</v>
      </c>
      <c r="K2590" s="1" t="str">
        <f t="shared" si="368"/>
        <v/>
      </c>
    </row>
    <row r="2591" spans="1:11" x14ac:dyDescent="0.3">
      <c r="A2591" s="1">
        <v>50</v>
      </c>
      <c r="B2591" s="1">
        <v>23</v>
      </c>
      <c r="C2591" s="12">
        <f t="shared" si="360"/>
        <v>1.875</v>
      </c>
      <c r="D2591" s="12">
        <f t="shared" si="361"/>
        <v>-0.14999999999999991</v>
      </c>
      <c r="E2591" s="12">
        <f t="shared" si="362"/>
        <v>11.095468629333332</v>
      </c>
      <c r="F2591" s="12">
        <f t="shared" si="363"/>
        <v>11.095468629333332</v>
      </c>
      <c r="G2591" s="12">
        <f t="shared" si="364"/>
        <v>14.538461155555554</v>
      </c>
      <c r="H2591" s="12">
        <f t="shared" si="365"/>
        <v>14.538461155555554</v>
      </c>
      <c r="I2591" s="1" t="str">
        <f t="shared" si="366"/>
        <v>No</v>
      </c>
      <c r="J2591" s="1" t="str">
        <f t="shared" si="367"/>
        <v>Si</v>
      </c>
      <c r="K2591" s="1" t="str">
        <f t="shared" si="368"/>
        <v/>
      </c>
    </row>
    <row r="2592" spans="1:11" x14ac:dyDescent="0.3">
      <c r="A2592" s="1">
        <v>50</v>
      </c>
      <c r="B2592" s="1">
        <v>24</v>
      </c>
      <c r="C2592" s="12">
        <f t="shared" si="360"/>
        <v>1.875</v>
      </c>
      <c r="D2592" s="12">
        <f t="shared" si="361"/>
        <v>-7.4999999999999956E-2</v>
      </c>
      <c r="E2592" s="12">
        <f t="shared" si="362"/>
        <v>11.092980536888888</v>
      </c>
      <c r="F2592" s="12">
        <f t="shared" si="363"/>
        <v>11.092980536888888</v>
      </c>
      <c r="G2592" s="12">
        <f t="shared" si="364"/>
        <v>14.5349568</v>
      </c>
      <c r="H2592" s="12">
        <f t="shared" si="365"/>
        <v>14.5349568</v>
      </c>
      <c r="I2592" s="1" t="str">
        <f t="shared" si="366"/>
        <v>No</v>
      </c>
      <c r="J2592" s="1" t="str">
        <f t="shared" si="367"/>
        <v>Si</v>
      </c>
      <c r="K2592" s="1" t="str">
        <f t="shared" si="368"/>
        <v/>
      </c>
    </row>
    <row r="2593" spans="1:11" x14ac:dyDescent="0.3">
      <c r="A2593" s="1">
        <v>50</v>
      </c>
      <c r="B2593" s="1">
        <v>25</v>
      </c>
      <c r="C2593" s="12">
        <f t="shared" si="360"/>
        <v>1.875</v>
      </c>
      <c r="D2593" s="12">
        <f t="shared" si="361"/>
        <v>0</v>
      </c>
      <c r="E2593" s="12">
        <f t="shared" si="362"/>
        <v>11.090492444444443</v>
      </c>
      <c r="F2593" s="12">
        <f t="shared" si="363"/>
        <v>11.090492444444443</v>
      </c>
      <c r="G2593" s="12">
        <f t="shared" si="364"/>
        <v>14.531452444444444</v>
      </c>
      <c r="H2593" s="12">
        <f t="shared" si="365"/>
        <v>14.531452444444444</v>
      </c>
      <c r="I2593" s="1" t="str">
        <f t="shared" si="366"/>
        <v>No</v>
      </c>
      <c r="J2593" s="1" t="str">
        <f t="shared" si="367"/>
        <v>Si</v>
      </c>
      <c r="K2593" s="1" t="str">
        <f t="shared" si="368"/>
        <v/>
      </c>
    </row>
    <row r="2594" spans="1:11" x14ac:dyDescent="0.3">
      <c r="A2594" s="1">
        <v>50</v>
      </c>
      <c r="B2594" s="1">
        <v>26</v>
      </c>
      <c r="C2594" s="12">
        <f t="shared" si="360"/>
        <v>1.875</v>
      </c>
      <c r="D2594" s="12">
        <f t="shared" si="361"/>
        <v>7.4999999999999956E-2</v>
      </c>
      <c r="E2594" s="12">
        <f t="shared" si="362"/>
        <v>11.088004351999999</v>
      </c>
      <c r="F2594" s="12">
        <f t="shared" si="363"/>
        <v>11.088004351999999</v>
      </c>
      <c r="G2594" s="12">
        <f t="shared" si="364"/>
        <v>14.527948088888888</v>
      </c>
      <c r="H2594" s="12">
        <f t="shared" si="365"/>
        <v>14.527948088888888</v>
      </c>
      <c r="I2594" s="1" t="str">
        <f t="shared" si="366"/>
        <v>No</v>
      </c>
      <c r="J2594" s="1" t="str">
        <f t="shared" si="367"/>
        <v>Si</v>
      </c>
      <c r="K2594" s="1" t="str">
        <f t="shared" si="368"/>
        <v/>
      </c>
    </row>
    <row r="2595" spans="1:11" x14ac:dyDescent="0.3">
      <c r="A2595" s="1">
        <v>50</v>
      </c>
      <c r="B2595" s="1">
        <v>27</v>
      </c>
      <c r="C2595" s="12">
        <f t="shared" si="360"/>
        <v>1.875</v>
      </c>
      <c r="D2595" s="12">
        <f t="shared" si="361"/>
        <v>0.14999999999999991</v>
      </c>
      <c r="E2595" s="12">
        <f t="shared" si="362"/>
        <v>11.085516259555554</v>
      </c>
      <c r="F2595" s="12">
        <f t="shared" si="363"/>
        <v>11.085516259555554</v>
      </c>
      <c r="G2595" s="12">
        <f t="shared" si="364"/>
        <v>14.524443733333333</v>
      </c>
      <c r="H2595" s="12">
        <f t="shared" si="365"/>
        <v>14.524443733333333</v>
      </c>
      <c r="I2595" s="1" t="str">
        <f t="shared" si="366"/>
        <v>No</v>
      </c>
      <c r="J2595" s="1" t="str">
        <f t="shared" si="367"/>
        <v>Si</v>
      </c>
      <c r="K2595" s="1" t="str">
        <f t="shared" si="368"/>
        <v/>
      </c>
    </row>
    <row r="2596" spans="1:11" x14ac:dyDescent="0.3">
      <c r="A2596" s="1">
        <v>50</v>
      </c>
      <c r="B2596" s="1">
        <v>28</v>
      </c>
      <c r="C2596" s="12">
        <f t="shared" si="360"/>
        <v>1.875</v>
      </c>
      <c r="D2596" s="12">
        <f t="shared" si="361"/>
        <v>0.22500000000000009</v>
      </c>
      <c r="E2596" s="12">
        <f t="shared" si="362"/>
        <v>11.083028167111109</v>
      </c>
      <c r="F2596" s="12">
        <f t="shared" si="363"/>
        <v>11.083028167111109</v>
      </c>
      <c r="G2596" s="12">
        <f t="shared" si="364"/>
        <v>14.520939377777777</v>
      </c>
      <c r="H2596" s="12">
        <f t="shared" si="365"/>
        <v>14.520939377777777</v>
      </c>
      <c r="I2596" s="1" t="str">
        <f t="shared" si="366"/>
        <v>No</v>
      </c>
      <c r="J2596" s="1" t="str">
        <f t="shared" si="367"/>
        <v>Si</v>
      </c>
      <c r="K2596" s="1" t="str">
        <f t="shared" si="368"/>
        <v/>
      </c>
    </row>
    <row r="2597" spans="1:11" x14ac:dyDescent="0.3">
      <c r="A2597" s="1">
        <v>50</v>
      </c>
      <c r="B2597" s="1">
        <v>29</v>
      </c>
      <c r="C2597" s="12">
        <f t="shared" si="360"/>
        <v>1.875</v>
      </c>
      <c r="D2597" s="12">
        <f t="shared" si="361"/>
        <v>0.29999999999999982</v>
      </c>
      <c r="E2597" s="12">
        <f t="shared" si="362"/>
        <v>11.080540074666665</v>
      </c>
      <c r="F2597" s="12">
        <f t="shared" si="363"/>
        <v>11.080540074666665</v>
      </c>
      <c r="G2597" s="12">
        <f t="shared" si="364"/>
        <v>14.517435022222221</v>
      </c>
      <c r="H2597" s="12">
        <f t="shared" si="365"/>
        <v>14.517435022222221</v>
      </c>
      <c r="I2597" s="1" t="str">
        <f t="shared" si="366"/>
        <v>No</v>
      </c>
      <c r="J2597" s="1" t="str">
        <f t="shared" si="367"/>
        <v>Si</v>
      </c>
      <c r="K2597" s="1" t="str">
        <f t="shared" si="368"/>
        <v/>
      </c>
    </row>
    <row r="2598" spans="1:11" x14ac:dyDescent="0.3">
      <c r="A2598" s="1">
        <v>50</v>
      </c>
      <c r="B2598" s="1">
        <v>30</v>
      </c>
      <c r="C2598" s="12">
        <f t="shared" si="360"/>
        <v>1.875</v>
      </c>
      <c r="D2598" s="12">
        <f t="shared" si="361"/>
        <v>0.375</v>
      </c>
      <c r="E2598" s="12">
        <f t="shared" si="362"/>
        <v>11.07805198222222</v>
      </c>
      <c r="F2598" s="12">
        <f t="shared" si="363"/>
        <v>11.07805198222222</v>
      </c>
      <c r="G2598" s="12">
        <f t="shared" si="364"/>
        <v>14.513930666666665</v>
      </c>
      <c r="H2598" s="12">
        <f t="shared" si="365"/>
        <v>14.513930666666665</v>
      </c>
      <c r="I2598" s="1" t="str">
        <f t="shared" si="366"/>
        <v>No</v>
      </c>
      <c r="J2598" s="1" t="str">
        <f t="shared" si="367"/>
        <v>Si</v>
      </c>
      <c r="K2598" s="1" t="str">
        <f t="shared" si="368"/>
        <v/>
      </c>
    </row>
    <row r="2599" spans="1:11" x14ac:dyDescent="0.3">
      <c r="A2599" s="1">
        <v>50</v>
      </c>
      <c r="B2599" s="1">
        <v>31</v>
      </c>
      <c r="C2599" s="12">
        <f t="shared" si="360"/>
        <v>1.875</v>
      </c>
      <c r="D2599" s="12">
        <f t="shared" si="361"/>
        <v>0.45000000000000018</v>
      </c>
      <c r="E2599" s="12">
        <f t="shared" si="362"/>
        <v>11.075563889777776</v>
      </c>
      <c r="F2599" s="12">
        <f t="shared" si="363"/>
        <v>11.075563889777776</v>
      </c>
      <c r="G2599" s="12">
        <f t="shared" si="364"/>
        <v>14.510426311111111</v>
      </c>
      <c r="H2599" s="12">
        <f t="shared" si="365"/>
        <v>14.510426311111111</v>
      </c>
      <c r="I2599" s="1" t="str">
        <f t="shared" si="366"/>
        <v>No</v>
      </c>
      <c r="J2599" s="1" t="str">
        <f t="shared" si="367"/>
        <v>Si</v>
      </c>
      <c r="K2599" s="1" t="str">
        <f t="shared" si="368"/>
        <v/>
      </c>
    </row>
    <row r="2600" spans="1:11" x14ac:dyDescent="0.3">
      <c r="A2600" s="1">
        <v>50</v>
      </c>
      <c r="B2600" s="1">
        <v>32</v>
      </c>
      <c r="C2600" s="12">
        <f t="shared" si="360"/>
        <v>1.875</v>
      </c>
      <c r="D2600" s="12">
        <f t="shared" si="361"/>
        <v>0.52499999999999991</v>
      </c>
      <c r="E2600" s="12">
        <f t="shared" si="362"/>
        <v>11.073075797333333</v>
      </c>
      <c r="F2600" s="12">
        <f t="shared" si="363"/>
        <v>11.073075797333333</v>
      </c>
      <c r="G2600" s="12">
        <f t="shared" si="364"/>
        <v>14.506921955555555</v>
      </c>
      <c r="H2600" s="12">
        <f t="shared" si="365"/>
        <v>14.506921955555555</v>
      </c>
      <c r="I2600" s="1" t="str">
        <f t="shared" si="366"/>
        <v>No</v>
      </c>
      <c r="J2600" s="1" t="str">
        <f t="shared" si="367"/>
        <v>Si</v>
      </c>
      <c r="K2600" s="1" t="str">
        <f t="shared" si="368"/>
        <v/>
      </c>
    </row>
    <row r="2601" spans="1:11" x14ac:dyDescent="0.3">
      <c r="A2601" s="1">
        <v>50</v>
      </c>
      <c r="B2601" s="1">
        <v>33</v>
      </c>
      <c r="C2601" s="12">
        <f t="shared" si="360"/>
        <v>1.875</v>
      </c>
      <c r="D2601" s="12">
        <f t="shared" si="361"/>
        <v>0.60000000000000009</v>
      </c>
      <c r="E2601" s="12">
        <f t="shared" si="362"/>
        <v>11.070587704888888</v>
      </c>
      <c r="F2601" s="12">
        <f t="shared" si="363"/>
        <v>11.070587704888888</v>
      </c>
      <c r="G2601" s="12">
        <f t="shared" si="364"/>
        <v>14.503417599999999</v>
      </c>
      <c r="H2601" s="12">
        <f t="shared" si="365"/>
        <v>14.503417599999999</v>
      </c>
      <c r="I2601" s="1" t="str">
        <f t="shared" si="366"/>
        <v>No</v>
      </c>
      <c r="J2601" s="1" t="str">
        <f t="shared" si="367"/>
        <v>Si</v>
      </c>
      <c r="K2601" s="1" t="str">
        <f t="shared" si="368"/>
        <v/>
      </c>
    </row>
    <row r="2602" spans="1:11" x14ac:dyDescent="0.3">
      <c r="A2602" s="1">
        <v>50</v>
      </c>
      <c r="B2602" s="1">
        <v>34</v>
      </c>
      <c r="C2602" s="12">
        <f t="shared" si="360"/>
        <v>1.875</v>
      </c>
      <c r="D2602" s="12">
        <f t="shared" si="361"/>
        <v>0.67499999999999982</v>
      </c>
      <c r="E2602" s="12">
        <f t="shared" si="362"/>
        <v>11.068099612444444</v>
      </c>
      <c r="F2602" s="12">
        <f t="shared" si="363"/>
        <v>11.068099612444444</v>
      </c>
      <c r="G2602" s="12">
        <f t="shared" si="364"/>
        <v>14.499913244444445</v>
      </c>
      <c r="H2602" s="12">
        <f t="shared" si="365"/>
        <v>14.499913244444445</v>
      </c>
      <c r="I2602" s="1" t="str">
        <f t="shared" si="366"/>
        <v>No</v>
      </c>
      <c r="J2602" s="1" t="str">
        <f t="shared" si="367"/>
        <v>Si</v>
      </c>
      <c r="K2602" s="1" t="str">
        <f t="shared" si="368"/>
        <v/>
      </c>
    </row>
    <row r="2603" spans="1:11" x14ac:dyDescent="0.3">
      <c r="A2603" s="1">
        <v>50</v>
      </c>
      <c r="B2603" s="1">
        <v>35</v>
      </c>
      <c r="C2603" s="12">
        <f t="shared" si="360"/>
        <v>1.875</v>
      </c>
      <c r="D2603" s="12">
        <f t="shared" si="361"/>
        <v>0.75</v>
      </c>
      <c r="E2603" s="12">
        <f t="shared" si="362"/>
        <v>11.065611519999999</v>
      </c>
      <c r="F2603" s="12">
        <f t="shared" si="363"/>
        <v>11.065611519999999</v>
      </c>
      <c r="G2603" s="12">
        <f t="shared" si="364"/>
        <v>14.496408888888888</v>
      </c>
      <c r="H2603" s="12">
        <f t="shared" si="365"/>
        <v>14.496408888888888</v>
      </c>
      <c r="I2603" s="1" t="str">
        <f t="shared" si="366"/>
        <v>No</v>
      </c>
      <c r="J2603" s="1" t="str">
        <f t="shared" si="367"/>
        <v>Si</v>
      </c>
      <c r="K2603" s="1" t="str">
        <f t="shared" si="368"/>
        <v/>
      </c>
    </row>
    <row r="2604" spans="1:11" x14ac:dyDescent="0.3">
      <c r="A2604" s="1">
        <v>50</v>
      </c>
      <c r="B2604" s="1">
        <v>36</v>
      </c>
      <c r="C2604" s="12">
        <f t="shared" si="360"/>
        <v>1.875</v>
      </c>
      <c r="D2604" s="12">
        <f t="shared" si="361"/>
        <v>0.82500000000000018</v>
      </c>
      <c r="E2604" s="12">
        <f t="shared" si="362"/>
        <v>11.063123427555555</v>
      </c>
      <c r="F2604" s="12">
        <f t="shared" si="363"/>
        <v>11.063123427555555</v>
      </c>
      <c r="G2604" s="12">
        <f t="shared" si="364"/>
        <v>14.492904533333332</v>
      </c>
      <c r="H2604" s="12">
        <f t="shared" si="365"/>
        <v>14.492904533333332</v>
      </c>
      <c r="I2604" s="1" t="str">
        <f t="shared" si="366"/>
        <v>No</v>
      </c>
      <c r="J2604" s="1" t="str">
        <f t="shared" si="367"/>
        <v>Si</v>
      </c>
      <c r="K2604" s="1" t="str">
        <f t="shared" si="368"/>
        <v/>
      </c>
    </row>
    <row r="2605" spans="1:11" x14ac:dyDescent="0.3">
      <c r="A2605" s="1">
        <v>50</v>
      </c>
      <c r="B2605" s="1">
        <v>37</v>
      </c>
      <c r="C2605" s="12">
        <f t="shared" si="360"/>
        <v>1.875</v>
      </c>
      <c r="D2605" s="12">
        <f t="shared" si="361"/>
        <v>0.89999999999999991</v>
      </c>
      <c r="E2605" s="12">
        <f t="shared" si="362"/>
        <v>11.06063533511111</v>
      </c>
      <c r="F2605" s="12">
        <f t="shared" si="363"/>
        <v>11.06063533511111</v>
      </c>
      <c r="G2605" s="12">
        <f t="shared" si="364"/>
        <v>14.489400177777776</v>
      </c>
      <c r="H2605" s="12">
        <f t="shared" si="365"/>
        <v>14.489400177777776</v>
      </c>
      <c r="I2605" s="1" t="str">
        <f t="shared" si="366"/>
        <v>No</v>
      </c>
      <c r="J2605" s="1" t="str">
        <f t="shared" si="367"/>
        <v>Si</v>
      </c>
      <c r="K2605" s="1" t="str">
        <f t="shared" si="368"/>
        <v/>
      </c>
    </row>
    <row r="2606" spans="1:11" x14ac:dyDescent="0.3">
      <c r="A2606" s="1">
        <v>50</v>
      </c>
      <c r="B2606" s="1">
        <v>38</v>
      </c>
      <c r="C2606" s="12">
        <f t="shared" si="360"/>
        <v>1.875</v>
      </c>
      <c r="D2606" s="12">
        <f t="shared" si="361"/>
        <v>0.97500000000000009</v>
      </c>
      <c r="E2606" s="12">
        <f t="shared" si="362"/>
        <v>11.058147242666665</v>
      </c>
      <c r="F2606" s="12">
        <f t="shared" si="363"/>
        <v>11.058147242666665</v>
      </c>
      <c r="G2606" s="12">
        <f t="shared" si="364"/>
        <v>14.485895822222222</v>
      </c>
      <c r="H2606" s="12">
        <f t="shared" si="365"/>
        <v>14.485895822222222</v>
      </c>
      <c r="I2606" s="1" t="str">
        <f t="shared" si="366"/>
        <v>No</v>
      </c>
      <c r="J2606" s="1" t="str">
        <f t="shared" si="367"/>
        <v>Si</v>
      </c>
      <c r="K2606" s="1" t="str">
        <f t="shared" si="368"/>
        <v/>
      </c>
    </row>
    <row r="2607" spans="1:11" x14ac:dyDescent="0.3">
      <c r="A2607" s="1">
        <v>50</v>
      </c>
      <c r="B2607" s="1">
        <v>39</v>
      </c>
      <c r="C2607" s="12">
        <f t="shared" si="360"/>
        <v>1.875</v>
      </c>
      <c r="D2607" s="12">
        <f t="shared" si="361"/>
        <v>1.0499999999999998</v>
      </c>
      <c r="E2607" s="12">
        <f t="shared" si="362"/>
        <v>11.055659150222221</v>
      </c>
      <c r="F2607" s="12">
        <f t="shared" si="363"/>
        <v>11.055659150222221</v>
      </c>
      <c r="G2607" s="12">
        <f t="shared" si="364"/>
        <v>14.482391466666666</v>
      </c>
      <c r="H2607" s="12">
        <f t="shared" si="365"/>
        <v>14.482391466666666</v>
      </c>
      <c r="I2607" s="1" t="str">
        <f t="shared" si="366"/>
        <v>No</v>
      </c>
      <c r="J2607" s="1" t="str">
        <f t="shared" si="367"/>
        <v>Si</v>
      </c>
      <c r="K2607" s="1" t="str">
        <f t="shared" si="368"/>
        <v/>
      </c>
    </row>
    <row r="2608" spans="1:11" x14ac:dyDescent="0.3">
      <c r="A2608" s="1">
        <v>50</v>
      </c>
      <c r="B2608" s="1">
        <v>40</v>
      </c>
      <c r="C2608" s="12">
        <f t="shared" si="360"/>
        <v>1.875</v>
      </c>
      <c r="D2608" s="12">
        <f t="shared" si="361"/>
        <v>1.125</v>
      </c>
      <c r="E2608" s="12">
        <f t="shared" si="362"/>
        <v>11.053171057777776</v>
      </c>
      <c r="F2608" s="12">
        <f t="shared" si="363"/>
        <v>11.053171057777776</v>
      </c>
      <c r="G2608" s="12">
        <f t="shared" si="364"/>
        <v>14.47888711111111</v>
      </c>
      <c r="H2608" s="12">
        <f t="shared" si="365"/>
        <v>14.47888711111111</v>
      </c>
      <c r="I2608" s="1" t="str">
        <f t="shared" si="366"/>
        <v>No</v>
      </c>
      <c r="J2608" s="1" t="str">
        <f t="shared" si="367"/>
        <v>Si</v>
      </c>
      <c r="K2608" s="1" t="str">
        <f t="shared" si="368"/>
        <v/>
      </c>
    </row>
    <row r="2609" spans="1:11" x14ac:dyDescent="0.3">
      <c r="A2609" s="1">
        <v>50</v>
      </c>
      <c r="B2609" s="1">
        <v>41</v>
      </c>
      <c r="C2609" s="12">
        <f t="shared" si="360"/>
        <v>1.875</v>
      </c>
      <c r="D2609" s="12">
        <f t="shared" si="361"/>
        <v>1.2000000000000002</v>
      </c>
      <c r="E2609" s="12">
        <f t="shared" si="362"/>
        <v>11.050682965333332</v>
      </c>
      <c r="F2609" s="12">
        <f t="shared" si="363"/>
        <v>11.050682965333332</v>
      </c>
      <c r="G2609" s="12">
        <f t="shared" si="364"/>
        <v>14.475382755555556</v>
      </c>
      <c r="H2609" s="12">
        <f t="shared" si="365"/>
        <v>14.475382755555556</v>
      </c>
      <c r="I2609" s="1" t="str">
        <f t="shared" si="366"/>
        <v>No</v>
      </c>
      <c r="J2609" s="1" t="str">
        <f t="shared" si="367"/>
        <v>Si</v>
      </c>
      <c r="K2609" s="1" t="str">
        <f t="shared" si="368"/>
        <v/>
      </c>
    </row>
    <row r="2610" spans="1:11" x14ac:dyDescent="0.3">
      <c r="A2610" s="1">
        <v>50</v>
      </c>
      <c r="B2610" s="1">
        <v>42</v>
      </c>
      <c r="C2610" s="12">
        <f t="shared" si="360"/>
        <v>1.875</v>
      </c>
      <c r="D2610" s="12">
        <f t="shared" si="361"/>
        <v>1.2749999999999999</v>
      </c>
      <c r="E2610" s="12">
        <f t="shared" si="362"/>
        <v>11.048194872888887</v>
      </c>
      <c r="F2610" s="12">
        <f t="shared" si="363"/>
        <v>11.048194872888887</v>
      </c>
      <c r="G2610" s="12">
        <f t="shared" si="364"/>
        <v>14.4718784</v>
      </c>
      <c r="H2610" s="12">
        <f t="shared" si="365"/>
        <v>14.4718784</v>
      </c>
      <c r="I2610" s="1" t="str">
        <f t="shared" si="366"/>
        <v>No</v>
      </c>
      <c r="J2610" s="1" t="str">
        <f t="shared" si="367"/>
        <v>Si</v>
      </c>
      <c r="K2610" s="1" t="str">
        <f t="shared" si="368"/>
        <v/>
      </c>
    </row>
    <row r="2611" spans="1:11" x14ac:dyDescent="0.3">
      <c r="A2611" s="1">
        <v>50</v>
      </c>
      <c r="B2611" s="1">
        <v>43</v>
      </c>
      <c r="C2611" s="12">
        <f t="shared" si="360"/>
        <v>1.875</v>
      </c>
      <c r="D2611" s="12">
        <f t="shared" si="361"/>
        <v>1.35</v>
      </c>
      <c r="E2611" s="12">
        <f t="shared" si="362"/>
        <v>11.045706780444442</v>
      </c>
      <c r="F2611" s="12">
        <f t="shared" si="363"/>
        <v>11.045706780444442</v>
      </c>
      <c r="G2611" s="12">
        <f t="shared" si="364"/>
        <v>14.468374044444444</v>
      </c>
      <c r="H2611" s="12">
        <f t="shared" si="365"/>
        <v>14.468374044444444</v>
      </c>
      <c r="I2611" s="1" t="str">
        <f t="shared" si="366"/>
        <v>No</v>
      </c>
      <c r="J2611" s="1" t="str">
        <f t="shared" si="367"/>
        <v>Si</v>
      </c>
      <c r="K2611" s="1" t="str">
        <f t="shared" si="368"/>
        <v/>
      </c>
    </row>
    <row r="2612" spans="1:11" x14ac:dyDescent="0.3">
      <c r="A2612" s="1">
        <v>50</v>
      </c>
      <c r="B2612" s="1">
        <v>44</v>
      </c>
      <c r="C2612" s="12">
        <f t="shared" si="360"/>
        <v>1.875</v>
      </c>
      <c r="D2612" s="12">
        <f t="shared" si="361"/>
        <v>1.4249999999999998</v>
      </c>
      <c r="E2612" s="12">
        <f t="shared" si="362"/>
        <v>11.043218688</v>
      </c>
      <c r="F2612" s="12">
        <f t="shared" si="363"/>
        <v>11.043218688</v>
      </c>
      <c r="G2612" s="12">
        <f t="shared" si="364"/>
        <v>14.464869688888887</v>
      </c>
      <c r="H2612" s="12">
        <f t="shared" si="365"/>
        <v>14.464869688888887</v>
      </c>
      <c r="I2612" s="1" t="str">
        <f t="shared" si="366"/>
        <v>No</v>
      </c>
      <c r="J2612" s="1" t="str">
        <f t="shared" si="367"/>
        <v>Si</v>
      </c>
      <c r="K2612" s="1" t="str">
        <f t="shared" si="368"/>
        <v/>
      </c>
    </row>
    <row r="2613" spans="1:11" x14ac:dyDescent="0.3">
      <c r="A2613" s="1">
        <v>50</v>
      </c>
      <c r="B2613" s="1">
        <v>45</v>
      </c>
      <c r="C2613" s="12">
        <f t="shared" si="360"/>
        <v>1.875</v>
      </c>
      <c r="D2613" s="12">
        <f t="shared" si="361"/>
        <v>1.5</v>
      </c>
      <c r="E2613" s="12">
        <f t="shared" si="362"/>
        <v>11.040730595555555</v>
      </c>
      <c r="F2613" s="12">
        <f t="shared" si="363"/>
        <v>11.040730595555555</v>
      </c>
      <c r="G2613" s="12">
        <f t="shared" si="364"/>
        <v>14.461365333333333</v>
      </c>
      <c r="H2613" s="12">
        <f t="shared" si="365"/>
        <v>14.461365333333333</v>
      </c>
      <c r="I2613" s="1" t="str">
        <f t="shared" si="366"/>
        <v>No</v>
      </c>
      <c r="J2613" s="1" t="str">
        <f t="shared" si="367"/>
        <v>Si</v>
      </c>
      <c r="K2613" s="1" t="str">
        <f t="shared" si="368"/>
        <v/>
      </c>
    </row>
    <row r="2614" spans="1:11" x14ac:dyDescent="0.3">
      <c r="A2614" s="1">
        <v>50</v>
      </c>
      <c r="B2614" s="1">
        <v>46</v>
      </c>
      <c r="C2614" s="12">
        <f t="shared" si="360"/>
        <v>1.875</v>
      </c>
      <c r="D2614" s="12">
        <f t="shared" si="361"/>
        <v>1.5750000000000002</v>
      </c>
      <c r="E2614" s="12">
        <f t="shared" si="362"/>
        <v>11.03824250311111</v>
      </c>
      <c r="F2614" s="12">
        <f t="shared" si="363"/>
        <v>11.03824250311111</v>
      </c>
      <c r="G2614" s="12">
        <f t="shared" si="364"/>
        <v>14.457860977777777</v>
      </c>
      <c r="H2614" s="12">
        <f t="shared" si="365"/>
        <v>14.457860977777777</v>
      </c>
      <c r="I2614" s="1" t="str">
        <f t="shared" si="366"/>
        <v>No</v>
      </c>
      <c r="J2614" s="1" t="str">
        <f t="shared" si="367"/>
        <v>Si</v>
      </c>
      <c r="K2614" s="1" t="str">
        <f t="shared" si="368"/>
        <v/>
      </c>
    </row>
    <row r="2615" spans="1:11" x14ac:dyDescent="0.3">
      <c r="A2615" s="1">
        <v>50</v>
      </c>
      <c r="B2615" s="1">
        <v>47</v>
      </c>
      <c r="C2615" s="12">
        <f t="shared" si="360"/>
        <v>1.875</v>
      </c>
      <c r="D2615" s="12">
        <f t="shared" si="361"/>
        <v>1.65</v>
      </c>
      <c r="E2615" s="12">
        <f t="shared" si="362"/>
        <v>11.035754410666666</v>
      </c>
      <c r="F2615" s="12">
        <f t="shared" si="363"/>
        <v>11.035754410666666</v>
      </c>
      <c r="G2615" s="12">
        <f t="shared" si="364"/>
        <v>14.454356622222221</v>
      </c>
      <c r="H2615" s="12">
        <f t="shared" si="365"/>
        <v>14.454356622222221</v>
      </c>
      <c r="I2615" s="1" t="str">
        <f t="shared" si="366"/>
        <v>No</v>
      </c>
      <c r="J2615" s="1" t="str">
        <f t="shared" si="367"/>
        <v>Si</v>
      </c>
      <c r="K2615" s="1" t="str">
        <f t="shared" si="368"/>
        <v/>
      </c>
    </row>
    <row r="2616" spans="1:11" x14ac:dyDescent="0.3">
      <c r="A2616" s="1">
        <v>50</v>
      </c>
      <c r="B2616" s="1">
        <v>48</v>
      </c>
      <c r="C2616" s="12">
        <f t="shared" si="360"/>
        <v>1.875</v>
      </c>
      <c r="D2616" s="12">
        <f t="shared" si="361"/>
        <v>1.7250000000000001</v>
      </c>
      <c r="E2616" s="12">
        <f t="shared" si="362"/>
        <v>11.033266318222221</v>
      </c>
      <c r="F2616" s="12">
        <f t="shared" si="363"/>
        <v>11.033266318222221</v>
      </c>
      <c r="G2616" s="12">
        <f t="shared" si="364"/>
        <v>14.450852266666667</v>
      </c>
      <c r="H2616" s="12">
        <f t="shared" si="365"/>
        <v>14.450852266666667</v>
      </c>
      <c r="I2616" s="1" t="str">
        <f t="shared" si="366"/>
        <v>No</v>
      </c>
      <c r="J2616" s="1" t="str">
        <f t="shared" si="367"/>
        <v>Si</v>
      </c>
      <c r="K2616" s="1" t="str">
        <f t="shared" si="368"/>
        <v/>
      </c>
    </row>
    <row r="2617" spans="1:11" x14ac:dyDescent="0.3">
      <c r="A2617" s="1">
        <v>50</v>
      </c>
      <c r="B2617" s="1">
        <v>49</v>
      </c>
      <c r="C2617" s="12">
        <f t="shared" si="360"/>
        <v>1.875</v>
      </c>
      <c r="D2617" s="12">
        <f t="shared" si="361"/>
        <v>1.7999999999999998</v>
      </c>
      <c r="E2617" s="12">
        <f t="shared" si="362"/>
        <v>11.030778225777777</v>
      </c>
      <c r="F2617" s="12">
        <f t="shared" si="363"/>
        <v>11.030778225777777</v>
      </c>
      <c r="G2617" s="12">
        <f t="shared" si="364"/>
        <v>14.447347911111111</v>
      </c>
      <c r="H2617" s="12">
        <f t="shared" si="365"/>
        <v>14.447347911111111</v>
      </c>
      <c r="I2617" s="1" t="str">
        <f t="shared" si="366"/>
        <v>No</v>
      </c>
      <c r="J2617" s="1" t="str">
        <f t="shared" si="367"/>
        <v>Si</v>
      </c>
      <c r="K2617" s="1" t="str">
        <f t="shared" si="368"/>
        <v/>
      </c>
    </row>
    <row r="2618" spans="1:11" x14ac:dyDescent="0.3">
      <c r="A2618" s="1">
        <v>50</v>
      </c>
      <c r="B2618" s="1">
        <v>50</v>
      </c>
      <c r="C2618" s="12">
        <f t="shared" si="360"/>
        <v>1.875</v>
      </c>
      <c r="D2618" s="12">
        <f t="shared" si="361"/>
        <v>1.875</v>
      </c>
      <c r="E2618" s="12">
        <f t="shared" si="362"/>
        <v>11.028290133333332</v>
      </c>
      <c r="F2618" s="12">
        <f t="shared" si="363"/>
        <v>11.028290133333332</v>
      </c>
      <c r="G2618" s="12">
        <f t="shared" si="364"/>
        <v>14.443843555555555</v>
      </c>
      <c r="H2618" s="12">
        <f t="shared" si="365"/>
        <v>14.443843555555555</v>
      </c>
      <c r="I2618" s="1" t="str">
        <f t="shared" si="366"/>
        <v>No</v>
      </c>
      <c r="J2618" s="1" t="str">
        <f t="shared" si="367"/>
        <v>Si</v>
      </c>
      <c r="K2618" s="1" t="str">
        <f t="shared" si="368"/>
        <v/>
      </c>
    </row>
  </sheetData>
  <mergeCells count="3">
    <mergeCell ref="A16:K16"/>
    <mergeCell ref="A1:K1"/>
    <mergeCell ref="A3:E3"/>
  </mergeCells>
  <conditionalFormatting sqref="B12">
    <cfRule type="expression" dxfId="41" priority="1">
      <formula>ISNUMBER(SEARCH("NO CUMPLE",B12))</formula>
    </cfRule>
    <cfRule type="expression" dxfId="40" priority="2">
      <formula>ISNUMBER(SEARCH("CUMPLE",B12))</formula>
    </cfRule>
    <cfRule type="expression" dxfId="39" priority="3">
      <formula>ISNUMBER(SEARCH("ADVERTENCIA",B12))</formula>
    </cfRule>
  </conditionalFormatting>
  <conditionalFormatting sqref="E18:H261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"/>
  <sheetViews>
    <sheetView showGridLines="0" topLeftCell="H1" workbookViewId="0">
      <selection sqref="A1:N1"/>
    </sheetView>
  </sheetViews>
  <sheetFormatPr baseColWidth="10" defaultColWidth="8.88671875" defaultRowHeight="14.4" x14ac:dyDescent="0.3"/>
  <cols>
    <col min="1" max="14" width="16" customWidth="1"/>
    <col min="15" max="15" width="14" customWidth="1"/>
  </cols>
  <sheetData>
    <row r="1" spans="1:14" ht="25.05" customHeight="1" x14ac:dyDescent="0.3">
      <c r="A1" s="16" t="s">
        <v>234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4" spans="1:14" x14ac:dyDescent="0.3">
      <c r="A4" s="3" t="s">
        <v>235</v>
      </c>
      <c r="B4" s="3" t="s">
        <v>236</v>
      </c>
      <c r="C4" s="3" t="s">
        <v>237</v>
      </c>
      <c r="D4" s="3" t="s">
        <v>238</v>
      </c>
      <c r="E4" s="3" t="s">
        <v>239</v>
      </c>
      <c r="F4" s="3" t="s">
        <v>240</v>
      </c>
      <c r="G4" s="3" t="s">
        <v>241</v>
      </c>
      <c r="H4" s="3" t="s">
        <v>242</v>
      </c>
      <c r="I4" s="3" t="s">
        <v>243</v>
      </c>
      <c r="J4" s="3" t="s">
        <v>244</v>
      </c>
      <c r="K4" s="3" t="s">
        <v>245</v>
      </c>
      <c r="L4" s="3" t="s">
        <v>246</v>
      </c>
      <c r="M4" s="3" t="s">
        <v>247</v>
      </c>
      <c r="N4" s="3" t="s">
        <v>248</v>
      </c>
    </row>
    <row r="5" spans="1:14" x14ac:dyDescent="0.3">
      <c r="A5" s="1" t="s">
        <v>249</v>
      </c>
      <c r="B5" s="12">
        <f>srv_p</f>
        <v>100.8723</v>
      </c>
      <c r="C5" s="12">
        <f>geo_w_zapata</f>
        <v>16.875</v>
      </c>
      <c r="D5" s="12">
        <f>geo_w_suelo</f>
        <v>37.96875</v>
      </c>
      <c r="E5" s="12">
        <f>B5+C5+D5</f>
        <v>155.71605</v>
      </c>
      <c r="F5" s="12">
        <f>srv_mx+srv_p*inp_yc</f>
        <v>-0.54669999999999996</v>
      </c>
      <c r="G5" s="12">
        <f>srv_my+srv_p*inp_xc</f>
        <v>0.1525</v>
      </c>
      <c r="H5" s="12">
        <f>IF(E5&lt;&gt;0,G5/E5,"")</f>
        <v>9.7934670189746015E-4</v>
      </c>
      <c r="I5" s="12">
        <f>IF(E5&lt;&gt;0,F5/E5,"")</f>
        <v>-3.5108776519825668E-3</v>
      </c>
      <c r="J5" s="1" t="str">
        <f>IF(ABS(H5)&lt;=inp_bx/6,"CUMPLE","NO CUMPLE")</f>
        <v>CUMPLE</v>
      </c>
      <c r="K5" s="1" t="str">
        <f>IF(ABS(I5)&lt;=inp_by/6,"CUMPLE","NO CUMPLE")</f>
        <v>CUMPLE</v>
      </c>
      <c r="L5" s="1">
        <f>H5</f>
        <v>9.7934670189746015E-4</v>
      </c>
      <c r="M5" s="1">
        <f>I5</f>
        <v>-3.5108776519825668E-3</v>
      </c>
      <c r="N5" s="1" t="str">
        <f>IF(AND(J5="CUMPLE",K5="CUMPLE"),"CUMPLE","FUERA DEL NUCLEO")</f>
        <v>CUMPLE</v>
      </c>
    </row>
    <row r="6" spans="1:14" x14ac:dyDescent="0.3">
      <c r="A6" s="1" t="s">
        <v>250</v>
      </c>
      <c r="B6" s="12">
        <f>ult_p</f>
        <v>149.13999999999999</v>
      </c>
      <c r="C6" s="12">
        <f>geo_w_zapata</f>
        <v>16.875</v>
      </c>
      <c r="D6" s="12">
        <f>geo_w_suelo</f>
        <v>37.96875</v>
      </c>
      <c r="E6" s="12">
        <f>B6+C6+D6</f>
        <v>203.98374999999999</v>
      </c>
      <c r="F6" s="12">
        <f>ult_mx+ult_p*inp_yc</f>
        <v>-0.77</v>
      </c>
      <c r="G6" s="12">
        <f>ult_my+ult_p*inp_xc</f>
        <v>0.22800000000000001</v>
      </c>
      <c r="H6" s="12">
        <f>IF(E6&lt;&gt;0,G6/E6,"")</f>
        <v>1.1177360941741685E-3</v>
      </c>
      <c r="I6" s="12">
        <f>IF(E6&lt;&gt;0,F6/E6,"")</f>
        <v>-3.7748104934829372E-3</v>
      </c>
      <c r="J6" s="1" t="str">
        <f>IF(ABS(H6)&lt;=inp_bx/6,"CUMPLE","NO CUMPLE")</f>
        <v>CUMPLE</v>
      </c>
      <c r="K6" s="1" t="str">
        <f>IF(ABS(I6)&lt;=inp_by/6,"CUMPLE","NO CUMPLE")</f>
        <v>CUMPLE</v>
      </c>
      <c r="L6" s="1">
        <f>H6</f>
        <v>1.1177360941741685E-3</v>
      </c>
      <c r="M6" s="1">
        <f>I6</f>
        <v>-3.7748104934829372E-3</v>
      </c>
      <c r="N6" s="1" t="str">
        <f>IF(AND(J6="CUMPLE",K6="CUMPLE"),"CUMPLE","FUERA DEL NUCLEO")</f>
        <v>CUMPLE</v>
      </c>
    </row>
    <row r="9" spans="1:14" ht="19.95" customHeight="1" x14ac:dyDescent="0.3">
      <c r="A9" s="14" t="s">
        <v>251</v>
      </c>
      <c r="B9" s="15"/>
      <c r="C9" s="15"/>
      <c r="D9" s="15"/>
      <c r="E9" s="15"/>
      <c r="F9" s="15"/>
      <c r="G9" s="15"/>
      <c r="H9" s="15"/>
    </row>
    <row r="10" spans="1:14" x14ac:dyDescent="0.3">
      <c r="A10" s="17" t="str">
        <f>IF(res_srv_nucleo&lt;&gt;"CUMPLE","La resultante de servicio esta fuera del nucleo central.","")</f>
        <v/>
      </c>
      <c r="B10" s="17"/>
      <c r="C10" s="17"/>
      <c r="D10" s="17"/>
      <c r="E10" s="17"/>
      <c r="F10" s="17"/>
      <c r="G10" s="17"/>
      <c r="H10" s="17"/>
    </row>
    <row r="11" spans="1:14" x14ac:dyDescent="0.3">
      <c r="A11" s="17" t="str">
        <f>IF(res_u_nucleo&lt;&gt;"CUMPLE","La resultante ultima esta fuera del nucleo central.","")</f>
        <v/>
      </c>
      <c r="B11" s="17"/>
      <c r="C11" s="17"/>
      <c r="D11" s="17"/>
      <c r="E11" s="17"/>
      <c r="F11" s="17"/>
      <c r="G11" s="17"/>
      <c r="H11" s="17"/>
    </row>
    <row r="12" spans="1:14" x14ac:dyDescent="0.3">
      <c r="A12" s="17" t="str">
        <f>IF(OR(srv_raw_p&lt;0,ult_raw_p&lt;0),"Las cargas verticales tienen signo negativo; verificar convencion SAP2000.","")</f>
        <v/>
      </c>
      <c r="B12" s="17"/>
      <c r="C12" s="17"/>
      <c r="D12" s="17"/>
      <c r="E12" s="17"/>
      <c r="F12" s="17"/>
      <c r="G12" s="17"/>
      <c r="H12" s="17"/>
    </row>
  </sheetData>
  <mergeCells count="5">
    <mergeCell ref="A9:H9"/>
    <mergeCell ref="A12:H12"/>
    <mergeCell ref="A10:H10"/>
    <mergeCell ref="A11:H11"/>
    <mergeCell ref="A1:N1"/>
  </mergeCells>
  <conditionalFormatting sqref="J5:N6">
    <cfRule type="expression" dxfId="38" priority="1">
      <formula>ISNUMBER(SEARCH("NO CUMPLE",J5))</formula>
    </cfRule>
    <cfRule type="expression" dxfId="37" priority="2">
      <formula>ISNUMBER(SEARCH("CUMPLE",J5))</formula>
    </cfRule>
    <cfRule type="expression" dxfId="36" priority="3">
      <formula>ISNUMBER(SEARCH("ADVERTENCIA",J5))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showGridLines="0" workbookViewId="0">
      <selection activeCell="D5" sqref="D5"/>
    </sheetView>
  </sheetViews>
  <sheetFormatPr baseColWidth="10" defaultColWidth="8.88671875" defaultRowHeight="14.4" x14ac:dyDescent="0.3"/>
  <cols>
    <col min="1" max="1" width="18" customWidth="1"/>
    <col min="2" max="3" width="10" customWidth="1"/>
    <col min="4" max="7" width="18" customWidth="1"/>
    <col min="8" max="8" width="40" customWidth="1"/>
    <col min="9" max="15" width="14" customWidth="1"/>
  </cols>
  <sheetData>
    <row r="1" spans="1:8" ht="25.05" customHeight="1" x14ac:dyDescent="0.3">
      <c r="A1" s="16" t="s">
        <v>252</v>
      </c>
      <c r="B1" s="15"/>
      <c r="C1" s="15"/>
      <c r="D1" s="15"/>
      <c r="E1" s="15"/>
      <c r="F1" s="15"/>
      <c r="G1" s="15"/>
      <c r="H1" s="15"/>
    </row>
    <row r="4" spans="1:8" x14ac:dyDescent="0.3">
      <c r="A4" s="3" t="s">
        <v>253</v>
      </c>
      <c r="B4" s="3" t="s">
        <v>254</v>
      </c>
      <c r="C4" s="3" t="s">
        <v>255</v>
      </c>
      <c r="D4" s="3" t="s">
        <v>256</v>
      </c>
      <c r="E4" s="3" t="s">
        <v>257</v>
      </c>
      <c r="F4" s="3" t="s">
        <v>29</v>
      </c>
      <c r="G4" s="3" t="s">
        <v>258</v>
      </c>
      <c r="H4" s="3" t="s">
        <v>171</v>
      </c>
    </row>
    <row r="5" spans="1:8" x14ac:dyDescent="0.3">
      <c r="A5" s="1" t="s">
        <v>259</v>
      </c>
      <c r="B5" s="1">
        <v>1</v>
      </c>
      <c r="C5" s="1">
        <v>1</v>
      </c>
      <c r="D5" s="12">
        <f>res_srv_p_tot/geo_area+B5*6*res_srv_my_tot/(inp_by*inp_bx^2)+C5*6*res_srv_mx_tot/(inp_bx*inp_by^2)</f>
        <v>11.028290133333332</v>
      </c>
      <c r="E5" s="1"/>
      <c r="F5" s="1" t="s">
        <v>46</v>
      </c>
      <c r="G5" s="1"/>
      <c r="H5" s="1" t="s">
        <v>260</v>
      </c>
    </row>
    <row r="6" spans="1:8" x14ac:dyDescent="0.3">
      <c r="A6" s="1" t="s">
        <v>261</v>
      </c>
      <c r="B6" s="1">
        <v>1</v>
      </c>
      <c r="C6" s="1">
        <v>-1</v>
      </c>
      <c r="D6" s="12">
        <f>res_srv_p_tot/geo_area+B6*6*res_srv_my_tot/(inp_by*inp_bx^2)+C6*6*res_srv_mx_tot/(inp_bx*inp_by^2)</f>
        <v>11.152694755555554</v>
      </c>
      <c r="E6" s="1"/>
      <c r="F6" s="1" t="s">
        <v>46</v>
      </c>
      <c r="G6" s="1"/>
      <c r="H6" s="1" t="s">
        <v>260</v>
      </c>
    </row>
    <row r="7" spans="1:8" x14ac:dyDescent="0.3">
      <c r="A7" s="1" t="s">
        <v>262</v>
      </c>
      <c r="B7" s="1">
        <v>-1</v>
      </c>
      <c r="C7" s="1">
        <v>1</v>
      </c>
      <c r="D7" s="12">
        <f>res_srv_p_tot/geo_area+B7*6*res_srv_my_tot/(inp_by*inp_bx^2)+C7*6*res_srv_mx_tot/(inp_bx*inp_by^2)</f>
        <v>10.99358791111111</v>
      </c>
      <c r="E7" s="1"/>
      <c r="F7" s="1" t="s">
        <v>46</v>
      </c>
      <c r="G7" s="1"/>
      <c r="H7" s="1" t="s">
        <v>260</v>
      </c>
    </row>
    <row r="8" spans="1:8" x14ac:dyDescent="0.3">
      <c r="A8" s="1" t="s">
        <v>263</v>
      </c>
      <c r="B8" s="1">
        <v>-1</v>
      </c>
      <c r="C8" s="1">
        <v>-1</v>
      </c>
      <c r="D8" s="12">
        <f>res_srv_p_tot/geo_area+B8*6*res_srv_my_tot/(inp_by*inp_bx^2)+C8*6*res_srv_mx_tot/(inp_bx*inp_by^2)</f>
        <v>11.117992533333332</v>
      </c>
      <c r="E8" s="1"/>
      <c r="F8" s="1" t="s">
        <v>46</v>
      </c>
      <c r="G8" s="1"/>
      <c r="H8" s="1" t="s">
        <v>260</v>
      </c>
    </row>
    <row r="9" spans="1:8" x14ac:dyDescent="0.3">
      <c r="A9" s="1"/>
      <c r="B9" s="1"/>
      <c r="C9" s="1"/>
      <c r="D9" s="12"/>
      <c r="E9" s="1"/>
      <c r="F9" s="1"/>
      <c r="G9" s="1"/>
      <c r="H9" s="1"/>
    </row>
    <row r="10" spans="1:8" x14ac:dyDescent="0.3">
      <c r="A10" s="1" t="s">
        <v>264</v>
      </c>
      <c r="B10" s="1"/>
      <c r="C10" s="1"/>
      <c r="D10" s="12">
        <f>MAX(D5:D8)</f>
        <v>11.152694755555554</v>
      </c>
      <c r="E10" s="1"/>
      <c r="F10" s="1" t="s">
        <v>46</v>
      </c>
      <c r="G10" s="1"/>
      <c r="H10" s="1"/>
    </row>
    <row r="11" spans="1:8" x14ac:dyDescent="0.3">
      <c r="A11" s="1" t="s">
        <v>265</v>
      </c>
      <c r="B11" s="1"/>
      <c r="C11" s="1"/>
      <c r="D11" s="12">
        <f>MIN(D5:D8)</f>
        <v>10.99358791111111</v>
      </c>
      <c r="E11" s="1"/>
      <c r="F11" s="1" t="s">
        <v>46</v>
      </c>
      <c r="G11" s="1"/>
      <c r="H11" s="1"/>
    </row>
    <row r="12" spans="1:8" x14ac:dyDescent="0.3">
      <c r="A12" s="1" t="s">
        <v>45</v>
      </c>
      <c r="B12" s="1"/>
      <c r="C12" s="1"/>
      <c r="D12" s="12">
        <f>inp_qadm</f>
        <v>8.5</v>
      </c>
      <c r="E12" s="1"/>
      <c r="F12" s="1" t="s">
        <v>46</v>
      </c>
      <c r="G12" s="1"/>
      <c r="H12" s="1"/>
    </row>
    <row r="13" spans="1:8" ht="26.4" x14ac:dyDescent="0.3">
      <c r="A13" s="1" t="s">
        <v>266</v>
      </c>
      <c r="B13" s="1"/>
      <c r="C13" s="1"/>
      <c r="D13" s="1" t="str">
        <f>IF(D10&lt;=D12,"CUMPLE","NO CUMPLE")</f>
        <v>NO CUMPLE</v>
      </c>
      <c r="E13" s="1"/>
      <c r="F13" s="1"/>
      <c r="G13" s="1"/>
      <c r="H13" s="1"/>
    </row>
    <row r="14" spans="1:8" ht="26.4" x14ac:dyDescent="0.3">
      <c r="A14" s="1" t="s">
        <v>267</v>
      </c>
      <c r="B14" s="1"/>
      <c r="C14" s="1"/>
      <c r="D14" s="1" t="str">
        <f>IF(D11&gt;=0,"CUMPLE","NO CUMPLE")</f>
        <v>CUMPLE</v>
      </c>
      <c r="E14" s="1"/>
      <c r="F14" s="1"/>
      <c r="G14" s="1"/>
      <c r="H14" s="1"/>
    </row>
    <row r="15" spans="1:8" ht="79.2" x14ac:dyDescent="0.3">
      <c r="A15" s="1" t="s">
        <v>268</v>
      </c>
      <c r="B15" s="1"/>
      <c r="C15" s="1"/>
      <c r="D15" s="1" t="str">
        <f>IF(D11&lt;0,"Existe levantamiento parcial del suelo. Se requiere aumentar dimensiones o analizar area efectiva comprimida.","")</f>
        <v/>
      </c>
      <c r="E15" s="1"/>
      <c r="F15" s="1"/>
      <c r="G15" s="1"/>
      <c r="H15" s="1"/>
    </row>
  </sheetData>
  <mergeCells count="1">
    <mergeCell ref="A1:H1"/>
  </mergeCells>
  <conditionalFormatting sqref="D13:D15">
    <cfRule type="expression" dxfId="35" priority="1">
      <formula>ISNUMBER(SEARCH("NO CUMPLE",D13))</formula>
    </cfRule>
    <cfRule type="expression" dxfId="34" priority="2">
      <formula>ISNUMBER(SEARCH("CUMPLE",D13))</formula>
    </cfRule>
    <cfRule type="expression" dxfId="33" priority="3">
      <formula>ISNUMBER(SEARCH("ADVERTENCIA",D13))</formula>
    </cfRule>
  </conditionalFormatting>
  <conditionalFormatting sqref="D14:D15">
    <cfRule type="expression" dxfId="32" priority="4">
      <formula>ISNUMBER(SEARCH("NO CUMPLE",D14))</formula>
    </cfRule>
    <cfRule type="expression" dxfId="31" priority="5">
      <formula>ISNUMBER(SEARCH("CUMPLE",D14))</formula>
    </cfRule>
    <cfRule type="expression" dxfId="30" priority="6">
      <formula>ISNUMBER(SEARCH("ADVERTENCIA",D14))</formula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showGridLines="0" workbookViewId="0">
      <selection activeCell="D12" sqref="D12"/>
    </sheetView>
  </sheetViews>
  <sheetFormatPr baseColWidth="10" defaultColWidth="8.88671875" defaultRowHeight="14.4" x14ac:dyDescent="0.3"/>
  <cols>
    <col min="1" max="1" width="18" customWidth="1"/>
    <col min="2" max="3" width="10" customWidth="1"/>
    <col min="4" max="7" width="18" customWidth="1"/>
    <col min="8" max="8" width="40" customWidth="1"/>
    <col min="9" max="15" width="14" customWidth="1"/>
  </cols>
  <sheetData>
    <row r="1" spans="1:8" ht="25.05" customHeight="1" x14ac:dyDescent="0.3">
      <c r="A1" s="16" t="s">
        <v>269</v>
      </c>
      <c r="B1" s="15"/>
      <c r="C1" s="15"/>
      <c r="D1" s="15"/>
      <c r="E1" s="15"/>
      <c r="F1" s="15"/>
      <c r="G1" s="15"/>
      <c r="H1" s="15"/>
    </row>
    <row r="4" spans="1:8" x14ac:dyDescent="0.3">
      <c r="A4" s="3" t="s">
        <v>253</v>
      </c>
      <c r="B4" s="3" t="s">
        <v>254</v>
      </c>
      <c r="C4" s="3" t="s">
        <v>255</v>
      </c>
      <c r="D4" s="3" t="s">
        <v>256</v>
      </c>
      <c r="E4" s="3" t="s">
        <v>257</v>
      </c>
      <c r="F4" s="3" t="s">
        <v>29</v>
      </c>
      <c r="G4" s="3" t="s">
        <v>258</v>
      </c>
      <c r="H4" s="3" t="s">
        <v>171</v>
      </c>
    </row>
    <row r="5" spans="1:8" x14ac:dyDescent="0.3">
      <c r="A5" s="1" t="s">
        <v>259</v>
      </c>
      <c r="B5" s="1">
        <v>1</v>
      </c>
      <c r="C5" s="1">
        <v>1</v>
      </c>
      <c r="D5" s="12">
        <f>res_u_p_tot/geo_area+B5*6*res_u_my_tot/(inp_by*inp_bx^2)+C5*6*res_u_mx_tot/(inp_bx*inp_by^2)</f>
        <v>14.443843555555555</v>
      </c>
      <c r="E5" s="1"/>
      <c r="F5" s="1" t="s">
        <v>46</v>
      </c>
      <c r="G5" s="1"/>
      <c r="H5" s="1" t="s">
        <v>260</v>
      </c>
    </row>
    <row r="6" spans="1:8" x14ac:dyDescent="0.3">
      <c r="A6" s="1" t="s">
        <v>261</v>
      </c>
      <c r="B6" s="1">
        <v>1</v>
      </c>
      <c r="C6" s="1">
        <v>-1</v>
      </c>
      <c r="D6" s="12">
        <f>res_u_p_tot/geo_area+B6*6*res_u_my_tot/(inp_by*inp_bx^2)+C6*6*res_u_mx_tot/(inp_bx*inp_by^2)</f>
        <v>14.619061333333333</v>
      </c>
      <c r="E6" s="1"/>
      <c r="F6" s="1" t="s">
        <v>46</v>
      </c>
      <c r="G6" s="1"/>
      <c r="H6" s="1" t="s">
        <v>260</v>
      </c>
    </row>
    <row r="7" spans="1:8" x14ac:dyDescent="0.3">
      <c r="A7" s="1" t="s">
        <v>262</v>
      </c>
      <c r="B7" s="1">
        <v>-1</v>
      </c>
      <c r="C7" s="1">
        <v>1</v>
      </c>
      <c r="D7" s="12">
        <f>res_u_p_tot/geo_area+B7*6*res_u_my_tot/(inp_by*inp_bx^2)+C7*6*res_u_mx_tot/(inp_bx*inp_by^2)</f>
        <v>14.391960888888887</v>
      </c>
      <c r="E7" s="1"/>
      <c r="F7" s="1" t="s">
        <v>46</v>
      </c>
      <c r="G7" s="1"/>
      <c r="H7" s="1" t="s">
        <v>260</v>
      </c>
    </row>
    <row r="8" spans="1:8" x14ac:dyDescent="0.3">
      <c r="A8" s="1" t="s">
        <v>263</v>
      </c>
      <c r="B8" s="1">
        <v>-1</v>
      </c>
      <c r="C8" s="1">
        <v>-1</v>
      </c>
      <c r="D8" s="12">
        <f>res_u_p_tot/geo_area+B8*6*res_u_my_tot/(inp_by*inp_bx^2)+C8*6*res_u_mx_tot/(inp_bx*inp_by^2)</f>
        <v>14.567178666666665</v>
      </c>
      <c r="E8" s="1"/>
      <c r="F8" s="1" t="s">
        <v>46</v>
      </c>
      <c r="G8" s="1"/>
      <c r="H8" s="1" t="s">
        <v>260</v>
      </c>
    </row>
    <row r="9" spans="1:8" x14ac:dyDescent="0.3">
      <c r="A9" s="1"/>
      <c r="B9" s="1"/>
      <c r="C9" s="1"/>
      <c r="D9" s="12"/>
      <c r="E9" s="1"/>
      <c r="F9" s="1"/>
      <c r="G9" s="1"/>
      <c r="H9" s="1"/>
    </row>
    <row r="10" spans="1:8" x14ac:dyDescent="0.3">
      <c r="A10" s="1" t="s">
        <v>264</v>
      </c>
      <c r="B10" s="1"/>
      <c r="C10" s="1"/>
      <c r="D10" s="12">
        <f>MAX(D5:D8)</f>
        <v>14.619061333333333</v>
      </c>
      <c r="E10" s="1"/>
      <c r="F10" s="1" t="s">
        <v>46</v>
      </c>
      <c r="G10" s="1"/>
      <c r="H10" s="1"/>
    </row>
    <row r="11" spans="1:8" x14ac:dyDescent="0.3">
      <c r="A11" s="1" t="s">
        <v>265</v>
      </c>
      <c r="B11" s="1"/>
      <c r="C11" s="1"/>
      <c r="D11" s="12">
        <f>MIN(D5:D8)</f>
        <v>14.391960888888887</v>
      </c>
      <c r="E11" s="1"/>
      <c r="F11" s="1" t="s">
        <v>46</v>
      </c>
      <c r="G11" s="1"/>
      <c r="H11" s="1"/>
    </row>
    <row r="12" spans="1:8" ht="79.2" x14ac:dyDescent="0.3">
      <c r="A12" s="1" t="s">
        <v>270</v>
      </c>
      <c r="B12" s="1"/>
      <c r="C12" s="1"/>
      <c r="D12" s="12" t="s">
        <v>271</v>
      </c>
      <c r="E12" s="1"/>
      <c r="F12" s="1"/>
      <c r="G12" s="1"/>
      <c r="H12" s="1"/>
    </row>
    <row r="13" spans="1:8" ht="26.4" x14ac:dyDescent="0.3">
      <c r="A13" s="1" t="s">
        <v>272</v>
      </c>
      <c r="B13" s="1"/>
      <c r="C13" s="1"/>
      <c r="D13" s="1" t="str">
        <f>IF(D11&gt;=0,"CUMPLE","ADVERTENCIA: LEVANTAMIENTO")</f>
        <v>CUMPLE</v>
      </c>
      <c r="E13" s="1"/>
      <c r="F13" s="1"/>
      <c r="G13" s="1"/>
      <c r="H13" s="1"/>
    </row>
    <row r="14" spans="1:8" x14ac:dyDescent="0.3">
      <c r="A14" s="1" t="s">
        <v>268</v>
      </c>
      <c r="B14" s="1"/>
      <c r="C14" s="1"/>
      <c r="D14" s="1" t="str">
        <f>IF(D11&lt;0,"Existe levantamiento en estado ultimo; revisar area comprimida y estabilidad.","")</f>
        <v/>
      </c>
      <c r="E14" s="1"/>
      <c r="F14" s="1"/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</sheetData>
  <mergeCells count="1">
    <mergeCell ref="A1:H1"/>
  </mergeCells>
  <conditionalFormatting sqref="D13:D15">
    <cfRule type="expression" dxfId="29" priority="1">
      <formula>ISNUMBER(SEARCH("NO CUMPLE",D13))</formula>
    </cfRule>
    <cfRule type="expression" dxfId="28" priority="2">
      <formula>ISNUMBER(SEARCH("CUMPLE",D13))</formula>
    </cfRule>
    <cfRule type="expression" dxfId="27" priority="3">
      <formula>ISNUMBER(SEARCH("ADVERTENCIA",D13))</formula>
    </cfRule>
  </conditionalFormatting>
  <conditionalFormatting sqref="D14:D15">
    <cfRule type="expression" dxfId="26" priority="4">
      <formula>ISNUMBER(SEARCH("NO CUMPLE",D14))</formula>
    </cfRule>
    <cfRule type="expression" dxfId="25" priority="5">
      <formula>ISNUMBER(SEARCH("CUMPLE",D14))</formula>
    </cfRule>
    <cfRule type="expression" dxfId="24" priority="6">
      <formula>ISNUMBER(SEARCH("ADVERTENCIA",D14))</formula>
    </cfRule>
  </conditionalFormatting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4"/>
  <sheetViews>
    <sheetView showGridLines="0" topLeftCell="A34" workbookViewId="0">
      <selection sqref="A1:L1"/>
    </sheetView>
  </sheetViews>
  <sheetFormatPr baseColWidth="10" defaultColWidth="8.88671875" defaultRowHeight="14.4" x14ac:dyDescent="0.3"/>
  <cols>
    <col min="1" max="12" width="15" customWidth="1"/>
    <col min="13" max="15" width="14" customWidth="1"/>
  </cols>
  <sheetData>
    <row r="1" spans="1:12" ht="25.05" customHeight="1" x14ac:dyDescent="0.3">
      <c r="A1" s="16" t="s">
        <v>273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12" ht="19.95" customHeight="1" x14ac:dyDescent="0.3">
      <c r="A3" s="14" t="s">
        <v>274</v>
      </c>
      <c r="B3" s="15"/>
      <c r="C3" s="15"/>
      <c r="D3" s="15"/>
      <c r="E3" s="15"/>
      <c r="F3" s="15"/>
    </row>
    <row r="4" spans="1:12" ht="26.4" x14ac:dyDescent="0.3">
      <c r="A4" s="1" t="s">
        <v>275</v>
      </c>
      <c r="B4" s="11">
        <f>MAX(J14:J64)</f>
        <v>62.105389349999989</v>
      </c>
      <c r="C4" s="1" t="s">
        <v>190</v>
      </c>
      <c r="D4" s="1" t="s">
        <v>276</v>
      </c>
    </row>
    <row r="5" spans="1:12" ht="26.4" x14ac:dyDescent="0.3">
      <c r="A5" s="1" t="s">
        <v>277</v>
      </c>
      <c r="B5" s="11">
        <f>ABS(MIN(J14:J64))</f>
        <v>0.22790879999999694</v>
      </c>
      <c r="C5" s="1" t="s">
        <v>190</v>
      </c>
      <c r="D5" s="1" t="s">
        <v>276</v>
      </c>
    </row>
    <row r="6" spans="1:12" ht="26.4" x14ac:dyDescent="0.3">
      <c r="A6" s="1" t="s">
        <v>278</v>
      </c>
      <c r="B6" s="11">
        <f>MAX(ABS(MIN(I14:I64)),ABS(MAX(I14:I64)))</f>
        <v>65.711486719999982</v>
      </c>
      <c r="C6" s="1" t="s">
        <v>183</v>
      </c>
      <c r="D6" s="1" t="s">
        <v>276</v>
      </c>
    </row>
    <row r="7" spans="1:12" ht="26.4" x14ac:dyDescent="0.3">
      <c r="A7" s="1" t="s">
        <v>279</v>
      </c>
      <c r="B7" s="11">
        <f>IFERROR(INDEX($J$14:$J$64,MATCH(inp_xc-inp_cx/2,$B$14:$B$64,1)),0)</f>
        <v>54.044281631999986</v>
      </c>
      <c r="C7" s="1" t="s">
        <v>190</v>
      </c>
      <c r="D7" s="1" t="s">
        <v>276</v>
      </c>
    </row>
    <row r="8" spans="1:12" ht="26.4" x14ac:dyDescent="0.3">
      <c r="A8" s="1" t="s">
        <v>280</v>
      </c>
      <c r="B8" s="11">
        <f>IFERROR(INDEX($J$14:$J$64,MATCH(inp_xc+inp_cx/2,$B$14:$B$64,1)),0)</f>
        <v>58.344599681999995</v>
      </c>
      <c r="C8" s="1" t="s">
        <v>190</v>
      </c>
      <c r="D8" s="1" t="s">
        <v>276</v>
      </c>
    </row>
    <row r="9" spans="1:12" ht="26.4" x14ac:dyDescent="0.3">
      <c r="A9" s="1" t="s">
        <v>281</v>
      </c>
      <c r="B9" s="11">
        <f>MAX(B4,B5)/inp_by</f>
        <v>16.561437159999997</v>
      </c>
      <c r="C9" s="1" t="s">
        <v>282</v>
      </c>
      <c r="D9" s="1" t="s">
        <v>276</v>
      </c>
    </row>
    <row r="13" spans="1:12" x14ac:dyDescent="0.3">
      <c r="A13" s="3" t="s">
        <v>224</v>
      </c>
      <c r="B13" s="3" t="s">
        <v>226</v>
      </c>
      <c r="C13" s="3" t="s">
        <v>283</v>
      </c>
      <c r="D13" s="3" t="s">
        <v>284</v>
      </c>
      <c r="E13" s="3" t="s">
        <v>285</v>
      </c>
      <c r="F13" s="3" t="s">
        <v>286</v>
      </c>
      <c r="G13" s="3" t="s">
        <v>287</v>
      </c>
      <c r="H13" s="3" t="s">
        <v>288</v>
      </c>
      <c r="I13" s="3" t="s">
        <v>289</v>
      </c>
      <c r="J13" s="3" t="s">
        <v>290</v>
      </c>
      <c r="K13" s="3" t="s">
        <v>291</v>
      </c>
      <c r="L13" s="3" t="s">
        <v>292</v>
      </c>
    </row>
    <row r="14" spans="1:12" x14ac:dyDescent="0.3">
      <c r="A14" s="1">
        <v>0</v>
      </c>
      <c r="B14" s="12">
        <f t="shared" ref="B14:B45" si="0">-inp_bx/2+A14*inp_bx/inp_n_div_x</f>
        <v>-1.875</v>
      </c>
      <c r="C14" s="12">
        <f t="shared" ref="C14:C45" si="1">res_u_p_tot/geo_area+res_u_my_tot/geo_iy*B14</f>
        <v>14.479569777777776</v>
      </c>
      <c r="D14" s="12">
        <f t="shared" ref="D14:D45" si="2">MAX(0,C14)</f>
        <v>14.479569777777776</v>
      </c>
      <c r="E14" s="12">
        <f t="shared" ref="E14:E45" si="3">inp_by*D14</f>
        <v>54.298386666666659</v>
      </c>
      <c r="F14" s="12">
        <f t="shared" ref="F14:F45" si="4">geo_w_total/inp_bx</f>
        <v>14.625</v>
      </c>
      <c r="G14" s="12">
        <f t="shared" ref="G14:G45" si="5">E14-F14</f>
        <v>39.673386666666659</v>
      </c>
      <c r="H14" s="12">
        <f>0</f>
        <v>0</v>
      </c>
      <c r="I14" s="12">
        <f>0</f>
        <v>0</v>
      </c>
      <c r="J14" s="12">
        <f>0</f>
        <v>0</v>
      </c>
      <c r="K14" s="1" t="str">
        <f t="shared" ref="K14:K45" si="6">IF(AND(B14&gt;=inp_xc-inp_cx/2,B14&lt;=inp_xc+inp_cx/2),"Si","No")</f>
        <v>No</v>
      </c>
      <c r="L14" s="1" t="str">
        <f t="shared" ref="L14:L45" si="7">IF(D14=0,"Presion corregida por levantamiento","")</f>
        <v/>
      </c>
    </row>
    <row r="15" spans="1:12" x14ac:dyDescent="0.3">
      <c r="A15" s="1">
        <v>1</v>
      </c>
      <c r="B15" s="12">
        <f t="shared" si="0"/>
        <v>-1.8</v>
      </c>
      <c r="C15" s="12">
        <f t="shared" si="1"/>
        <v>14.48060743111111</v>
      </c>
      <c r="D15" s="12">
        <f t="shared" si="2"/>
        <v>14.48060743111111</v>
      </c>
      <c r="E15" s="12">
        <f t="shared" si="3"/>
        <v>54.302277866666664</v>
      </c>
      <c r="F15" s="12">
        <f t="shared" si="4"/>
        <v>14.625</v>
      </c>
      <c r="G15" s="12">
        <f t="shared" si="5"/>
        <v>39.677277866666664</v>
      </c>
      <c r="H15" s="12">
        <f t="shared" ref="H15:H46" si="8">ult_p*MAX(0,MIN(B15,inp_xc+inp_cx/2)-MAX(B14,inp_xc-inp_cx/2))/inp_cx</f>
        <v>0</v>
      </c>
      <c r="I15" s="12">
        <f t="shared" ref="I15:I46" si="9">I14+((G14+G15)/2)*(B15-B14)-H15</f>
        <v>2.9756499199999977</v>
      </c>
      <c r="J15" s="12">
        <f t="shared" ref="J15:J46" si="10">J14+((I14+I15)/2)*(B15-B14)</f>
        <v>0.11158687199999985</v>
      </c>
      <c r="K15" s="1" t="str">
        <f t="shared" si="6"/>
        <v>No</v>
      </c>
      <c r="L15" s="1" t="str">
        <f t="shared" si="7"/>
        <v/>
      </c>
    </row>
    <row r="16" spans="1:12" x14ac:dyDescent="0.3">
      <c r="A16" s="1">
        <v>2</v>
      </c>
      <c r="B16" s="12">
        <f t="shared" si="0"/>
        <v>-1.7250000000000001</v>
      </c>
      <c r="C16" s="12">
        <f t="shared" si="1"/>
        <v>14.481645084444443</v>
      </c>
      <c r="D16" s="12">
        <f t="shared" si="2"/>
        <v>14.481645084444443</v>
      </c>
      <c r="E16" s="12">
        <f t="shared" si="3"/>
        <v>54.306169066666662</v>
      </c>
      <c r="F16" s="12">
        <f t="shared" si="4"/>
        <v>14.625</v>
      </c>
      <c r="G16" s="12">
        <f t="shared" si="5"/>
        <v>39.681169066666662</v>
      </c>
      <c r="H16" s="12">
        <f t="shared" si="8"/>
        <v>0</v>
      </c>
      <c r="I16" s="12">
        <f t="shared" si="9"/>
        <v>5.9515916799999955</v>
      </c>
      <c r="J16" s="12">
        <f t="shared" si="10"/>
        <v>0.44635843199999936</v>
      </c>
      <c r="K16" s="1" t="str">
        <f t="shared" si="6"/>
        <v>No</v>
      </c>
      <c r="L16" s="1" t="str">
        <f t="shared" si="7"/>
        <v/>
      </c>
    </row>
    <row r="17" spans="1:12" x14ac:dyDescent="0.3">
      <c r="A17" s="1">
        <v>3</v>
      </c>
      <c r="B17" s="12">
        <f t="shared" si="0"/>
        <v>-1.65</v>
      </c>
      <c r="C17" s="12">
        <f t="shared" si="1"/>
        <v>14.482682737777777</v>
      </c>
      <c r="D17" s="12">
        <f t="shared" si="2"/>
        <v>14.482682737777777</v>
      </c>
      <c r="E17" s="12">
        <f t="shared" si="3"/>
        <v>54.310060266666667</v>
      </c>
      <c r="F17" s="12">
        <f t="shared" si="4"/>
        <v>14.625</v>
      </c>
      <c r="G17" s="12">
        <f t="shared" si="5"/>
        <v>39.685060266666667</v>
      </c>
      <c r="H17" s="12">
        <f t="shared" si="8"/>
        <v>0</v>
      </c>
      <c r="I17" s="12">
        <f t="shared" si="9"/>
        <v>8.9278252800000022</v>
      </c>
      <c r="J17" s="12">
        <f t="shared" si="10"/>
        <v>1.0043365680000007</v>
      </c>
      <c r="K17" s="1" t="str">
        <f t="shared" si="6"/>
        <v>No</v>
      </c>
      <c r="L17" s="1" t="str">
        <f t="shared" si="7"/>
        <v/>
      </c>
    </row>
    <row r="18" spans="1:12" x14ac:dyDescent="0.3">
      <c r="A18" s="1">
        <v>4</v>
      </c>
      <c r="B18" s="12">
        <f t="shared" si="0"/>
        <v>-1.575</v>
      </c>
      <c r="C18" s="12">
        <f t="shared" si="1"/>
        <v>14.48372039111111</v>
      </c>
      <c r="D18" s="12">
        <f t="shared" si="2"/>
        <v>14.48372039111111</v>
      </c>
      <c r="E18" s="12">
        <f t="shared" si="3"/>
        <v>54.313951466666659</v>
      </c>
      <c r="F18" s="12">
        <f t="shared" si="4"/>
        <v>14.625</v>
      </c>
      <c r="G18" s="12">
        <f t="shared" si="5"/>
        <v>39.688951466666659</v>
      </c>
      <c r="H18" s="12">
        <f t="shared" si="8"/>
        <v>0</v>
      </c>
      <c r="I18" s="12">
        <f t="shared" si="9"/>
        <v>11.90435072</v>
      </c>
      <c r="J18" s="12">
        <f t="shared" si="10"/>
        <v>1.7855431680000002</v>
      </c>
      <c r="K18" s="1" t="str">
        <f t="shared" si="6"/>
        <v>No</v>
      </c>
      <c r="L18" s="1" t="str">
        <f t="shared" si="7"/>
        <v/>
      </c>
    </row>
    <row r="19" spans="1:12" x14ac:dyDescent="0.3">
      <c r="A19" s="1">
        <v>5</v>
      </c>
      <c r="B19" s="12">
        <f t="shared" si="0"/>
        <v>-1.5</v>
      </c>
      <c r="C19" s="12">
        <f t="shared" si="1"/>
        <v>14.484758044444444</v>
      </c>
      <c r="D19" s="12">
        <f t="shared" si="2"/>
        <v>14.484758044444444</v>
      </c>
      <c r="E19" s="12">
        <f t="shared" si="3"/>
        <v>54.317842666666664</v>
      </c>
      <c r="F19" s="12">
        <f t="shared" si="4"/>
        <v>14.625</v>
      </c>
      <c r="G19" s="12">
        <f t="shared" si="5"/>
        <v>39.692842666666664</v>
      </c>
      <c r="H19" s="12">
        <f t="shared" si="8"/>
        <v>0</v>
      </c>
      <c r="I19" s="12">
        <f t="shared" si="9"/>
        <v>14.881167999999999</v>
      </c>
      <c r="J19" s="12">
        <f t="shared" si="10"/>
        <v>2.7900001199999993</v>
      </c>
      <c r="K19" s="1" t="str">
        <f t="shared" si="6"/>
        <v>No</v>
      </c>
      <c r="L19" s="1" t="str">
        <f t="shared" si="7"/>
        <v/>
      </c>
    </row>
    <row r="20" spans="1:12" x14ac:dyDescent="0.3">
      <c r="A20" s="1">
        <v>6</v>
      </c>
      <c r="B20" s="12">
        <f t="shared" si="0"/>
        <v>-1.425</v>
      </c>
      <c r="C20" s="12">
        <f t="shared" si="1"/>
        <v>14.485795697777776</v>
      </c>
      <c r="D20" s="12">
        <f t="shared" si="2"/>
        <v>14.485795697777776</v>
      </c>
      <c r="E20" s="12">
        <f t="shared" si="3"/>
        <v>54.321733866666662</v>
      </c>
      <c r="F20" s="12">
        <f t="shared" si="4"/>
        <v>14.625</v>
      </c>
      <c r="G20" s="12">
        <f t="shared" si="5"/>
        <v>39.696733866666662</v>
      </c>
      <c r="H20" s="12">
        <f t="shared" si="8"/>
        <v>0</v>
      </c>
      <c r="I20" s="12">
        <f t="shared" si="9"/>
        <v>17.858277119999997</v>
      </c>
      <c r="J20" s="12">
        <f t="shared" si="10"/>
        <v>4.0177293119999984</v>
      </c>
      <c r="K20" s="1" t="str">
        <f t="shared" si="6"/>
        <v>No</v>
      </c>
      <c r="L20" s="1" t="str">
        <f t="shared" si="7"/>
        <v/>
      </c>
    </row>
    <row r="21" spans="1:12" x14ac:dyDescent="0.3">
      <c r="A21" s="1">
        <v>7</v>
      </c>
      <c r="B21" s="12">
        <f t="shared" si="0"/>
        <v>-1.35</v>
      </c>
      <c r="C21" s="12">
        <f t="shared" si="1"/>
        <v>14.486833351111111</v>
      </c>
      <c r="D21" s="12">
        <f t="shared" si="2"/>
        <v>14.486833351111111</v>
      </c>
      <c r="E21" s="12">
        <f t="shared" si="3"/>
        <v>54.325625066666667</v>
      </c>
      <c r="F21" s="12">
        <f t="shared" si="4"/>
        <v>14.625</v>
      </c>
      <c r="G21" s="12">
        <f t="shared" si="5"/>
        <v>39.700625066666667</v>
      </c>
      <c r="H21" s="12">
        <f t="shared" si="8"/>
        <v>0</v>
      </c>
      <c r="I21" s="12">
        <f t="shared" si="9"/>
        <v>20.835678079999994</v>
      </c>
      <c r="J21" s="12">
        <f t="shared" si="10"/>
        <v>5.4687526319999975</v>
      </c>
      <c r="K21" s="1" t="str">
        <f t="shared" si="6"/>
        <v>No</v>
      </c>
      <c r="L21" s="1" t="str">
        <f t="shared" si="7"/>
        <v/>
      </c>
    </row>
    <row r="22" spans="1:12" x14ac:dyDescent="0.3">
      <c r="A22" s="1">
        <v>8</v>
      </c>
      <c r="B22" s="12">
        <f t="shared" si="0"/>
        <v>-1.2749999999999999</v>
      </c>
      <c r="C22" s="12">
        <f t="shared" si="1"/>
        <v>14.487871004444443</v>
      </c>
      <c r="D22" s="12">
        <f t="shared" si="2"/>
        <v>14.487871004444443</v>
      </c>
      <c r="E22" s="12">
        <f t="shared" si="3"/>
        <v>54.329516266666658</v>
      </c>
      <c r="F22" s="12">
        <f t="shared" si="4"/>
        <v>14.625</v>
      </c>
      <c r="G22" s="12">
        <f t="shared" si="5"/>
        <v>39.704516266666658</v>
      </c>
      <c r="H22" s="12">
        <f t="shared" si="8"/>
        <v>0</v>
      </c>
      <c r="I22" s="12">
        <f t="shared" si="9"/>
        <v>23.813370880000001</v>
      </c>
      <c r="J22" s="12">
        <f t="shared" si="10"/>
        <v>7.1430919680000011</v>
      </c>
      <c r="K22" s="1" t="str">
        <f t="shared" si="6"/>
        <v>No</v>
      </c>
      <c r="L22" s="1" t="str">
        <f t="shared" si="7"/>
        <v/>
      </c>
    </row>
    <row r="23" spans="1:12" x14ac:dyDescent="0.3">
      <c r="A23" s="1">
        <v>9</v>
      </c>
      <c r="B23" s="12">
        <f t="shared" si="0"/>
        <v>-1.2</v>
      </c>
      <c r="C23" s="12">
        <f t="shared" si="1"/>
        <v>14.488908657777776</v>
      </c>
      <c r="D23" s="12">
        <f t="shared" si="2"/>
        <v>14.488908657777776</v>
      </c>
      <c r="E23" s="12">
        <f t="shared" si="3"/>
        <v>54.333407466666657</v>
      </c>
      <c r="F23" s="12">
        <f t="shared" si="4"/>
        <v>14.625</v>
      </c>
      <c r="G23" s="12">
        <f t="shared" si="5"/>
        <v>39.708407466666657</v>
      </c>
      <c r="H23" s="12">
        <f t="shared" si="8"/>
        <v>0</v>
      </c>
      <c r="I23" s="12">
        <f t="shared" si="9"/>
        <v>26.79135552</v>
      </c>
      <c r="J23" s="12">
        <f t="shared" si="10"/>
        <v>9.0407692080000004</v>
      </c>
      <c r="K23" s="1" t="str">
        <f t="shared" si="6"/>
        <v>No</v>
      </c>
      <c r="L23" s="1" t="str">
        <f t="shared" si="7"/>
        <v/>
      </c>
    </row>
    <row r="24" spans="1:12" x14ac:dyDescent="0.3">
      <c r="A24" s="1">
        <v>10</v>
      </c>
      <c r="B24" s="12">
        <f t="shared" si="0"/>
        <v>-1.125</v>
      </c>
      <c r="C24" s="12">
        <f t="shared" si="1"/>
        <v>14.48994631111111</v>
      </c>
      <c r="D24" s="12">
        <f t="shared" si="2"/>
        <v>14.48994631111111</v>
      </c>
      <c r="E24" s="12">
        <f t="shared" si="3"/>
        <v>54.337298666666662</v>
      </c>
      <c r="F24" s="12">
        <f t="shared" si="4"/>
        <v>14.625</v>
      </c>
      <c r="G24" s="12">
        <f t="shared" si="5"/>
        <v>39.712298666666662</v>
      </c>
      <c r="H24" s="12">
        <f t="shared" si="8"/>
        <v>0</v>
      </c>
      <c r="I24" s="12">
        <f t="shared" si="9"/>
        <v>29.769631999999998</v>
      </c>
      <c r="J24" s="12">
        <f t="shared" si="10"/>
        <v>11.161806239999999</v>
      </c>
      <c r="K24" s="1" t="str">
        <f t="shared" si="6"/>
        <v>No</v>
      </c>
      <c r="L24" s="1" t="str">
        <f t="shared" si="7"/>
        <v/>
      </c>
    </row>
    <row r="25" spans="1:12" x14ac:dyDescent="0.3">
      <c r="A25" s="1">
        <v>11</v>
      </c>
      <c r="B25" s="12">
        <f t="shared" si="0"/>
        <v>-1.05</v>
      </c>
      <c r="C25" s="12">
        <f t="shared" si="1"/>
        <v>14.490983964444442</v>
      </c>
      <c r="D25" s="12">
        <f t="shared" si="2"/>
        <v>14.490983964444442</v>
      </c>
      <c r="E25" s="12">
        <f t="shared" si="3"/>
        <v>54.34118986666666</v>
      </c>
      <c r="F25" s="12">
        <f t="shared" si="4"/>
        <v>14.625</v>
      </c>
      <c r="G25" s="12">
        <f t="shared" si="5"/>
        <v>39.71618986666666</v>
      </c>
      <c r="H25" s="12">
        <f t="shared" si="8"/>
        <v>0</v>
      </c>
      <c r="I25" s="12">
        <f t="shared" si="9"/>
        <v>32.748200319999995</v>
      </c>
      <c r="J25" s="12">
        <f t="shared" si="10"/>
        <v>13.506224951999997</v>
      </c>
      <c r="K25" s="1" t="str">
        <f t="shared" si="6"/>
        <v>No</v>
      </c>
      <c r="L25" s="1" t="str">
        <f t="shared" si="7"/>
        <v/>
      </c>
    </row>
    <row r="26" spans="1:12" x14ac:dyDescent="0.3">
      <c r="A26" s="1">
        <v>12</v>
      </c>
      <c r="B26" s="12">
        <f t="shared" si="0"/>
        <v>-0.97499999999999998</v>
      </c>
      <c r="C26" s="12">
        <f t="shared" si="1"/>
        <v>14.492021617777777</v>
      </c>
      <c r="D26" s="12">
        <f t="shared" si="2"/>
        <v>14.492021617777777</v>
      </c>
      <c r="E26" s="12">
        <f t="shared" si="3"/>
        <v>54.345081066666665</v>
      </c>
      <c r="F26" s="12">
        <f t="shared" si="4"/>
        <v>14.625</v>
      </c>
      <c r="G26" s="12">
        <f t="shared" si="5"/>
        <v>39.720081066666665</v>
      </c>
      <c r="H26" s="12">
        <f t="shared" si="8"/>
        <v>0</v>
      </c>
      <c r="I26" s="12">
        <f t="shared" si="9"/>
        <v>35.727060479999999</v>
      </c>
      <c r="J26" s="12">
        <f t="shared" si="10"/>
        <v>16.074047231999998</v>
      </c>
      <c r="K26" s="1" t="str">
        <f t="shared" si="6"/>
        <v>No</v>
      </c>
      <c r="L26" s="1" t="str">
        <f t="shared" si="7"/>
        <v/>
      </c>
    </row>
    <row r="27" spans="1:12" x14ac:dyDescent="0.3">
      <c r="A27" s="1">
        <v>13</v>
      </c>
      <c r="B27" s="12">
        <f t="shared" si="0"/>
        <v>-0.9</v>
      </c>
      <c r="C27" s="12">
        <f t="shared" si="1"/>
        <v>14.493059271111109</v>
      </c>
      <c r="D27" s="12">
        <f t="shared" si="2"/>
        <v>14.493059271111109</v>
      </c>
      <c r="E27" s="12">
        <f t="shared" si="3"/>
        <v>54.348972266666657</v>
      </c>
      <c r="F27" s="12">
        <f t="shared" si="4"/>
        <v>14.625</v>
      </c>
      <c r="G27" s="12">
        <f t="shared" si="5"/>
        <v>39.723972266666657</v>
      </c>
      <c r="H27" s="12">
        <f t="shared" si="8"/>
        <v>0</v>
      </c>
      <c r="I27" s="12">
        <f t="shared" si="9"/>
        <v>38.706212479999998</v>
      </c>
      <c r="J27" s="12">
        <f t="shared" si="10"/>
        <v>18.865294967999997</v>
      </c>
      <c r="K27" s="1" t="str">
        <f t="shared" si="6"/>
        <v>No</v>
      </c>
      <c r="L27" s="1" t="str">
        <f t="shared" si="7"/>
        <v/>
      </c>
    </row>
    <row r="28" spans="1:12" x14ac:dyDescent="0.3">
      <c r="A28" s="1">
        <v>14</v>
      </c>
      <c r="B28" s="12">
        <f t="shared" si="0"/>
        <v>-0.82499999999999996</v>
      </c>
      <c r="C28" s="12">
        <f t="shared" si="1"/>
        <v>14.494096924444444</v>
      </c>
      <c r="D28" s="12">
        <f t="shared" si="2"/>
        <v>14.494096924444444</v>
      </c>
      <c r="E28" s="12">
        <f t="shared" si="3"/>
        <v>54.352863466666662</v>
      </c>
      <c r="F28" s="12">
        <f t="shared" si="4"/>
        <v>14.625</v>
      </c>
      <c r="G28" s="12">
        <f t="shared" si="5"/>
        <v>39.727863466666662</v>
      </c>
      <c r="H28" s="12">
        <f t="shared" si="8"/>
        <v>0</v>
      </c>
      <c r="I28" s="12">
        <f t="shared" si="9"/>
        <v>41.68565632</v>
      </c>
      <c r="J28" s="12">
        <f t="shared" si="10"/>
        <v>21.879990048</v>
      </c>
      <c r="K28" s="1" t="str">
        <f t="shared" si="6"/>
        <v>No</v>
      </c>
      <c r="L28" s="1" t="str">
        <f t="shared" si="7"/>
        <v/>
      </c>
    </row>
    <row r="29" spans="1:12" x14ac:dyDescent="0.3">
      <c r="A29" s="1">
        <v>15</v>
      </c>
      <c r="B29" s="12">
        <f t="shared" si="0"/>
        <v>-0.75</v>
      </c>
      <c r="C29" s="12">
        <f t="shared" si="1"/>
        <v>14.495134577777776</v>
      </c>
      <c r="D29" s="12">
        <f t="shared" si="2"/>
        <v>14.495134577777776</v>
      </c>
      <c r="E29" s="12">
        <f t="shared" si="3"/>
        <v>54.35675466666666</v>
      </c>
      <c r="F29" s="12">
        <f t="shared" si="4"/>
        <v>14.625</v>
      </c>
      <c r="G29" s="12">
        <f t="shared" si="5"/>
        <v>39.73175466666666</v>
      </c>
      <c r="H29" s="12">
        <f t="shared" si="8"/>
        <v>0</v>
      </c>
      <c r="I29" s="12">
        <f t="shared" si="9"/>
        <v>44.665391999999997</v>
      </c>
      <c r="J29" s="12">
        <f t="shared" si="10"/>
        <v>25.118154359999998</v>
      </c>
      <c r="K29" s="1" t="str">
        <f t="shared" si="6"/>
        <v>No</v>
      </c>
      <c r="L29" s="1" t="str">
        <f t="shared" si="7"/>
        <v/>
      </c>
    </row>
    <row r="30" spans="1:12" x14ac:dyDescent="0.3">
      <c r="A30" s="1">
        <v>16</v>
      </c>
      <c r="B30" s="12">
        <f t="shared" si="0"/>
        <v>-0.67500000000000004</v>
      </c>
      <c r="C30" s="12">
        <f t="shared" si="1"/>
        <v>14.49617223111111</v>
      </c>
      <c r="D30" s="12">
        <f t="shared" si="2"/>
        <v>14.49617223111111</v>
      </c>
      <c r="E30" s="12">
        <f t="shared" si="3"/>
        <v>54.360645866666665</v>
      </c>
      <c r="F30" s="12">
        <f t="shared" si="4"/>
        <v>14.625</v>
      </c>
      <c r="G30" s="12">
        <f t="shared" si="5"/>
        <v>39.735645866666665</v>
      </c>
      <c r="H30" s="12">
        <f t="shared" si="8"/>
        <v>0</v>
      </c>
      <c r="I30" s="12">
        <f t="shared" si="9"/>
        <v>47.645419519999997</v>
      </c>
      <c r="J30" s="12">
        <f t="shared" si="10"/>
        <v>28.579809791999995</v>
      </c>
      <c r="K30" s="1" t="str">
        <f t="shared" si="6"/>
        <v>No</v>
      </c>
      <c r="L30" s="1" t="str">
        <f t="shared" si="7"/>
        <v/>
      </c>
    </row>
    <row r="31" spans="1:12" x14ac:dyDescent="0.3">
      <c r="A31" s="1">
        <v>17</v>
      </c>
      <c r="B31" s="12">
        <f t="shared" si="0"/>
        <v>-0.60000000000000009</v>
      </c>
      <c r="C31" s="12">
        <f t="shared" si="1"/>
        <v>14.497209884444443</v>
      </c>
      <c r="D31" s="12">
        <f t="shared" si="2"/>
        <v>14.497209884444443</v>
      </c>
      <c r="E31" s="12">
        <f t="shared" si="3"/>
        <v>54.364537066666664</v>
      </c>
      <c r="F31" s="12">
        <f t="shared" si="4"/>
        <v>14.625</v>
      </c>
      <c r="G31" s="12">
        <f t="shared" si="5"/>
        <v>39.739537066666664</v>
      </c>
      <c r="H31" s="12">
        <f t="shared" si="8"/>
        <v>0</v>
      </c>
      <c r="I31" s="12">
        <f t="shared" si="9"/>
        <v>50.625738879999993</v>
      </c>
      <c r="J31" s="12">
        <f t="shared" si="10"/>
        <v>32.26497823199999</v>
      </c>
      <c r="K31" s="1" t="str">
        <f t="shared" si="6"/>
        <v>No</v>
      </c>
      <c r="L31" s="1" t="str">
        <f t="shared" si="7"/>
        <v/>
      </c>
    </row>
    <row r="32" spans="1:12" x14ac:dyDescent="0.3">
      <c r="A32" s="1">
        <v>18</v>
      </c>
      <c r="B32" s="12">
        <f t="shared" si="0"/>
        <v>-0.52499999999999991</v>
      </c>
      <c r="C32" s="12">
        <f t="shared" si="1"/>
        <v>14.498247537777777</v>
      </c>
      <c r="D32" s="12">
        <f t="shared" si="2"/>
        <v>14.498247537777777</v>
      </c>
      <c r="E32" s="12">
        <f t="shared" si="3"/>
        <v>54.368428266666662</v>
      </c>
      <c r="F32" s="12">
        <f t="shared" si="4"/>
        <v>14.625</v>
      </c>
      <c r="G32" s="12">
        <f t="shared" si="5"/>
        <v>39.743428266666662</v>
      </c>
      <c r="H32" s="12">
        <f t="shared" si="8"/>
        <v>0</v>
      </c>
      <c r="I32" s="12">
        <f t="shared" si="9"/>
        <v>53.606350079999999</v>
      </c>
      <c r="J32" s="12">
        <f t="shared" si="10"/>
        <v>36.173681567999999</v>
      </c>
      <c r="K32" s="1" t="str">
        <f t="shared" si="6"/>
        <v>No</v>
      </c>
      <c r="L32" s="1" t="str">
        <f t="shared" si="7"/>
        <v/>
      </c>
    </row>
    <row r="33" spans="1:12" x14ac:dyDescent="0.3">
      <c r="A33" s="1">
        <v>19</v>
      </c>
      <c r="B33" s="12">
        <f t="shared" si="0"/>
        <v>-0.44999999999999996</v>
      </c>
      <c r="C33" s="12">
        <f t="shared" si="1"/>
        <v>14.49928519111111</v>
      </c>
      <c r="D33" s="12">
        <f t="shared" si="2"/>
        <v>14.49928519111111</v>
      </c>
      <c r="E33" s="12">
        <f t="shared" si="3"/>
        <v>54.37231946666666</v>
      </c>
      <c r="F33" s="12">
        <f t="shared" si="4"/>
        <v>14.625</v>
      </c>
      <c r="G33" s="12">
        <f t="shared" si="5"/>
        <v>39.74731946666666</v>
      </c>
      <c r="H33" s="12">
        <f t="shared" si="8"/>
        <v>0</v>
      </c>
      <c r="I33" s="12">
        <f t="shared" si="9"/>
        <v>56.58725312</v>
      </c>
      <c r="J33" s="12">
        <f t="shared" si="10"/>
        <v>40.305941687999997</v>
      </c>
      <c r="K33" s="1" t="str">
        <f t="shared" si="6"/>
        <v>No</v>
      </c>
      <c r="L33" s="1" t="str">
        <f t="shared" si="7"/>
        <v/>
      </c>
    </row>
    <row r="34" spans="1:12" x14ac:dyDescent="0.3">
      <c r="A34" s="1">
        <v>20</v>
      </c>
      <c r="B34" s="12">
        <f t="shared" si="0"/>
        <v>-0.375</v>
      </c>
      <c r="C34" s="12">
        <f t="shared" si="1"/>
        <v>14.500322844444444</v>
      </c>
      <c r="D34" s="12">
        <f t="shared" si="2"/>
        <v>14.500322844444444</v>
      </c>
      <c r="E34" s="12">
        <f t="shared" si="3"/>
        <v>54.376210666666665</v>
      </c>
      <c r="F34" s="12">
        <f t="shared" si="4"/>
        <v>14.625</v>
      </c>
      <c r="G34" s="12">
        <f t="shared" si="5"/>
        <v>39.751210666666665</v>
      </c>
      <c r="H34" s="12">
        <f t="shared" si="8"/>
        <v>0</v>
      </c>
      <c r="I34" s="12">
        <f t="shared" si="9"/>
        <v>59.568447999999997</v>
      </c>
      <c r="J34" s="12">
        <f t="shared" si="10"/>
        <v>44.661780479999997</v>
      </c>
      <c r="K34" s="1" t="str">
        <f t="shared" si="6"/>
        <v>No</v>
      </c>
      <c r="L34" s="1" t="str">
        <f t="shared" si="7"/>
        <v/>
      </c>
    </row>
    <row r="35" spans="1:12" x14ac:dyDescent="0.3">
      <c r="A35" s="1">
        <v>21</v>
      </c>
      <c r="B35" s="12">
        <f t="shared" si="0"/>
        <v>-0.30000000000000004</v>
      </c>
      <c r="C35" s="12">
        <f t="shared" si="1"/>
        <v>14.501360497777776</v>
      </c>
      <c r="D35" s="12">
        <f t="shared" si="2"/>
        <v>14.501360497777776</v>
      </c>
      <c r="E35" s="12">
        <f t="shared" si="3"/>
        <v>54.380101866666664</v>
      </c>
      <c r="F35" s="12">
        <f t="shared" si="4"/>
        <v>14.625</v>
      </c>
      <c r="G35" s="12">
        <f t="shared" si="5"/>
        <v>39.755101866666664</v>
      </c>
      <c r="H35" s="12">
        <f t="shared" si="8"/>
        <v>0</v>
      </c>
      <c r="I35" s="12">
        <f t="shared" si="9"/>
        <v>62.549934719999996</v>
      </c>
      <c r="J35" s="12">
        <f t="shared" si="10"/>
        <v>49.241219831999992</v>
      </c>
      <c r="K35" s="1" t="str">
        <f t="shared" si="6"/>
        <v>No</v>
      </c>
      <c r="L35" s="1" t="str">
        <f t="shared" si="7"/>
        <v/>
      </c>
    </row>
    <row r="36" spans="1:12" x14ac:dyDescent="0.3">
      <c r="A36" s="1">
        <v>22</v>
      </c>
      <c r="B36" s="12">
        <f t="shared" si="0"/>
        <v>-0.22500000000000009</v>
      </c>
      <c r="C36" s="12">
        <f t="shared" si="1"/>
        <v>14.502398151111111</v>
      </c>
      <c r="D36" s="12">
        <f t="shared" si="2"/>
        <v>14.502398151111111</v>
      </c>
      <c r="E36" s="12">
        <f t="shared" si="3"/>
        <v>54.383993066666662</v>
      </c>
      <c r="F36" s="12">
        <f t="shared" si="4"/>
        <v>14.625</v>
      </c>
      <c r="G36" s="12">
        <f t="shared" si="5"/>
        <v>39.758993066666662</v>
      </c>
      <c r="H36" s="12">
        <f t="shared" si="8"/>
        <v>0</v>
      </c>
      <c r="I36" s="12">
        <f t="shared" si="9"/>
        <v>65.531713279999991</v>
      </c>
      <c r="J36" s="12">
        <f t="shared" si="10"/>
        <v>54.044281631999986</v>
      </c>
      <c r="K36" s="1" t="str">
        <f t="shared" si="6"/>
        <v>No</v>
      </c>
      <c r="L36" s="1" t="str">
        <f t="shared" si="7"/>
        <v/>
      </c>
    </row>
    <row r="37" spans="1:12" x14ac:dyDescent="0.3">
      <c r="A37" s="1">
        <v>23</v>
      </c>
      <c r="B37" s="12">
        <f t="shared" si="0"/>
        <v>-0.14999999999999991</v>
      </c>
      <c r="C37" s="12">
        <f t="shared" si="1"/>
        <v>14.503435804444443</v>
      </c>
      <c r="D37" s="12">
        <f t="shared" si="2"/>
        <v>14.503435804444443</v>
      </c>
      <c r="E37" s="12">
        <f t="shared" si="3"/>
        <v>54.38788426666666</v>
      </c>
      <c r="F37" s="12">
        <f t="shared" si="4"/>
        <v>14.625</v>
      </c>
      <c r="G37" s="12">
        <f t="shared" si="5"/>
        <v>39.76288426666666</v>
      </c>
      <c r="H37" s="12">
        <f t="shared" si="8"/>
        <v>18.642500000000034</v>
      </c>
      <c r="I37" s="12">
        <f t="shared" si="9"/>
        <v>49.871283679999969</v>
      </c>
      <c r="J37" s="12">
        <f t="shared" si="10"/>
        <v>58.371894017999992</v>
      </c>
      <c r="K37" s="1" t="str">
        <f t="shared" si="6"/>
        <v>Si</v>
      </c>
      <c r="L37" s="1" t="str">
        <f t="shared" si="7"/>
        <v/>
      </c>
    </row>
    <row r="38" spans="1:12" x14ac:dyDescent="0.3">
      <c r="A38" s="1">
        <v>24</v>
      </c>
      <c r="B38" s="12">
        <f t="shared" si="0"/>
        <v>-7.4999999999999956E-2</v>
      </c>
      <c r="C38" s="12">
        <f t="shared" si="1"/>
        <v>14.504473457777777</v>
      </c>
      <c r="D38" s="12">
        <f t="shared" si="2"/>
        <v>14.504473457777777</v>
      </c>
      <c r="E38" s="12">
        <f t="shared" si="3"/>
        <v>54.391775466666665</v>
      </c>
      <c r="F38" s="12">
        <f t="shared" si="4"/>
        <v>14.625</v>
      </c>
      <c r="G38" s="12">
        <f t="shared" si="5"/>
        <v>39.766775466666665</v>
      </c>
      <c r="H38" s="12">
        <f t="shared" si="8"/>
        <v>27.96374999999998</v>
      </c>
      <c r="I38" s="12">
        <f t="shared" si="9"/>
        <v>24.88989591999999</v>
      </c>
      <c r="J38" s="12">
        <f t="shared" si="10"/>
        <v>61.175438252999989</v>
      </c>
      <c r="K38" s="1" t="str">
        <f t="shared" si="6"/>
        <v>Si</v>
      </c>
      <c r="L38" s="1" t="str">
        <f t="shared" si="7"/>
        <v/>
      </c>
    </row>
    <row r="39" spans="1:12" x14ac:dyDescent="0.3">
      <c r="A39" s="1">
        <v>25</v>
      </c>
      <c r="B39" s="12">
        <f t="shared" si="0"/>
        <v>0</v>
      </c>
      <c r="C39" s="12">
        <f t="shared" si="1"/>
        <v>14.50551111111111</v>
      </c>
      <c r="D39" s="12">
        <f t="shared" si="2"/>
        <v>14.50551111111111</v>
      </c>
      <c r="E39" s="12">
        <f t="shared" si="3"/>
        <v>54.395666666666664</v>
      </c>
      <c r="F39" s="12">
        <f t="shared" si="4"/>
        <v>14.625</v>
      </c>
      <c r="G39" s="12">
        <f t="shared" si="5"/>
        <v>39.770666666666664</v>
      </c>
      <c r="H39" s="12">
        <f t="shared" si="8"/>
        <v>27.96374999999998</v>
      </c>
      <c r="I39" s="12">
        <f t="shared" si="9"/>
        <v>-9.1199999999989956E-2</v>
      </c>
      <c r="J39" s="12">
        <f t="shared" si="10"/>
        <v>62.105389349999989</v>
      </c>
      <c r="K39" s="1" t="str">
        <f t="shared" si="6"/>
        <v>Si</v>
      </c>
      <c r="L39" s="1" t="str">
        <f t="shared" si="7"/>
        <v/>
      </c>
    </row>
    <row r="40" spans="1:12" x14ac:dyDescent="0.3">
      <c r="A40" s="1">
        <v>26</v>
      </c>
      <c r="B40" s="12">
        <f t="shared" si="0"/>
        <v>7.4999999999999956E-2</v>
      </c>
      <c r="C40" s="12">
        <f t="shared" si="1"/>
        <v>14.506548764444442</v>
      </c>
      <c r="D40" s="12">
        <f t="shared" si="2"/>
        <v>14.506548764444442</v>
      </c>
      <c r="E40" s="12">
        <f t="shared" si="3"/>
        <v>54.399557866666662</v>
      </c>
      <c r="F40" s="12">
        <f t="shared" si="4"/>
        <v>14.625</v>
      </c>
      <c r="G40" s="12">
        <f t="shared" si="5"/>
        <v>39.774557866666662</v>
      </c>
      <c r="H40" s="12">
        <f t="shared" si="8"/>
        <v>27.96374999999998</v>
      </c>
      <c r="I40" s="12">
        <f t="shared" si="9"/>
        <v>-25.072004079999971</v>
      </c>
      <c r="J40" s="12">
        <f t="shared" si="10"/>
        <v>61.161769196999991</v>
      </c>
      <c r="K40" s="1" t="str">
        <f t="shared" si="6"/>
        <v>Si</v>
      </c>
      <c r="L40" s="1" t="str">
        <f t="shared" si="7"/>
        <v/>
      </c>
    </row>
    <row r="41" spans="1:12" x14ac:dyDescent="0.3">
      <c r="A41" s="1">
        <v>27</v>
      </c>
      <c r="B41" s="12">
        <f t="shared" si="0"/>
        <v>0.14999999999999991</v>
      </c>
      <c r="C41" s="12">
        <f t="shared" si="1"/>
        <v>14.507586417777777</v>
      </c>
      <c r="D41" s="12">
        <f t="shared" si="2"/>
        <v>14.507586417777777</v>
      </c>
      <c r="E41" s="12">
        <f t="shared" si="3"/>
        <v>54.40344906666666</v>
      </c>
      <c r="F41" s="12">
        <f t="shared" si="4"/>
        <v>14.625</v>
      </c>
      <c r="G41" s="12">
        <f t="shared" si="5"/>
        <v>39.77844906666666</v>
      </c>
      <c r="H41" s="12">
        <f t="shared" si="8"/>
        <v>27.96374999999998</v>
      </c>
      <c r="I41" s="12">
        <f t="shared" si="9"/>
        <v>-50.052516319999953</v>
      </c>
      <c r="J41" s="12">
        <f t="shared" si="10"/>
        <v>58.344599681999995</v>
      </c>
      <c r="K41" s="1" t="str">
        <f t="shared" si="6"/>
        <v>Si</v>
      </c>
      <c r="L41" s="1" t="str">
        <f t="shared" si="7"/>
        <v/>
      </c>
    </row>
    <row r="42" spans="1:12" x14ac:dyDescent="0.3">
      <c r="A42" s="1">
        <v>28</v>
      </c>
      <c r="B42" s="12">
        <f t="shared" si="0"/>
        <v>0.22500000000000009</v>
      </c>
      <c r="C42" s="12">
        <f t="shared" si="1"/>
        <v>14.508624071111109</v>
      </c>
      <c r="D42" s="12">
        <f t="shared" si="2"/>
        <v>14.508624071111109</v>
      </c>
      <c r="E42" s="12">
        <f t="shared" si="3"/>
        <v>54.407340266666658</v>
      </c>
      <c r="F42" s="12">
        <f t="shared" si="4"/>
        <v>14.625</v>
      </c>
      <c r="G42" s="12">
        <f t="shared" si="5"/>
        <v>39.782340266666658</v>
      </c>
      <c r="H42" s="12">
        <f t="shared" si="8"/>
        <v>18.642500000000034</v>
      </c>
      <c r="I42" s="12">
        <f t="shared" si="9"/>
        <v>-65.711486719999982</v>
      </c>
      <c r="J42" s="12">
        <f t="shared" si="10"/>
        <v>54.003449567999986</v>
      </c>
      <c r="K42" s="1" t="str">
        <f t="shared" si="6"/>
        <v>No</v>
      </c>
      <c r="L42" s="1" t="str">
        <f t="shared" si="7"/>
        <v/>
      </c>
    </row>
    <row r="43" spans="1:12" x14ac:dyDescent="0.3">
      <c r="A43" s="1">
        <v>29</v>
      </c>
      <c r="B43" s="12">
        <f t="shared" si="0"/>
        <v>0.29999999999999982</v>
      </c>
      <c r="C43" s="12">
        <f t="shared" si="1"/>
        <v>14.509661724444443</v>
      </c>
      <c r="D43" s="12">
        <f t="shared" si="2"/>
        <v>14.509661724444443</v>
      </c>
      <c r="E43" s="12">
        <f t="shared" si="3"/>
        <v>54.411231466666663</v>
      </c>
      <c r="F43" s="12">
        <f t="shared" si="4"/>
        <v>14.625</v>
      </c>
      <c r="G43" s="12">
        <f t="shared" si="5"/>
        <v>39.786231466666663</v>
      </c>
      <c r="H43" s="12">
        <f t="shared" si="8"/>
        <v>0</v>
      </c>
      <c r="I43" s="12">
        <f t="shared" si="9"/>
        <v>-62.727665279999997</v>
      </c>
      <c r="J43" s="12">
        <f t="shared" si="10"/>
        <v>49.186981368000005</v>
      </c>
      <c r="K43" s="1" t="str">
        <f t="shared" si="6"/>
        <v>No</v>
      </c>
      <c r="L43" s="1" t="str">
        <f t="shared" si="7"/>
        <v/>
      </c>
    </row>
    <row r="44" spans="1:12" x14ac:dyDescent="0.3">
      <c r="A44" s="1">
        <v>30</v>
      </c>
      <c r="B44" s="12">
        <f t="shared" si="0"/>
        <v>0.375</v>
      </c>
      <c r="C44" s="12">
        <f t="shared" si="1"/>
        <v>14.510699377777776</v>
      </c>
      <c r="D44" s="12">
        <f t="shared" si="2"/>
        <v>14.510699377777776</v>
      </c>
      <c r="E44" s="12">
        <f t="shared" si="3"/>
        <v>54.415122666666662</v>
      </c>
      <c r="F44" s="12">
        <f t="shared" si="4"/>
        <v>14.625</v>
      </c>
      <c r="G44" s="12">
        <f t="shared" si="5"/>
        <v>39.790122666666662</v>
      </c>
      <c r="H44" s="12">
        <f t="shared" si="8"/>
        <v>0</v>
      </c>
      <c r="I44" s="12">
        <f t="shared" si="9"/>
        <v>-59.743551999999987</v>
      </c>
      <c r="J44" s="12">
        <f t="shared" si="10"/>
        <v>44.594310719999996</v>
      </c>
      <c r="K44" s="1" t="str">
        <f t="shared" si="6"/>
        <v>No</v>
      </c>
      <c r="L44" s="1" t="str">
        <f t="shared" si="7"/>
        <v/>
      </c>
    </row>
    <row r="45" spans="1:12" x14ac:dyDescent="0.3">
      <c r="A45" s="1">
        <v>31</v>
      </c>
      <c r="B45" s="12">
        <f t="shared" si="0"/>
        <v>0.45000000000000018</v>
      </c>
      <c r="C45" s="12">
        <f t="shared" si="1"/>
        <v>14.51173703111111</v>
      </c>
      <c r="D45" s="12">
        <f t="shared" si="2"/>
        <v>14.51173703111111</v>
      </c>
      <c r="E45" s="12">
        <f t="shared" si="3"/>
        <v>54.41901386666666</v>
      </c>
      <c r="F45" s="12">
        <f t="shared" si="4"/>
        <v>14.625</v>
      </c>
      <c r="G45" s="12">
        <f t="shared" si="5"/>
        <v>39.79401386666666</v>
      </c>
      <c r="H45" s="12">
        <f t="shared" si="8"/>
        <v>0</v>
      </c>
      <c r="I45" s="12">
        <f t="shared" si="9"/>
        <v>-56.759146879999982</v>
      </c>
      <c r="J45" s="12">
        <f t="shared" si="10"/>
        <v>40.225459511999986</v>
      </c>
      <c r="K45" s="1" t="str">
        <f t="shared" si="6"/>
        <v>No</v>
      </c>
      <c r="L45" s="1" t="str">
        <f t="shared" si="7"/>
        <v/>
      </c>
    </row>
    <row r="46" spans="1:12" x14ac:dyDescent="0.3">
      <c r="A46" s="1">
        <v>32</v>
      </c>
      <c r="B46" s="12">
        <f t="shared" ref="B46:B64" si="11">-inp_bx/2+A46*inp_bx/inp_n_div_x</f>
        <v>0.52499999999999991</v>
      </c>
      <c r="C46" s="12">
        <f t="shared" ref="C46:C64" si="12">res_u_p_tot/geo_area+res_u_my_tot/geo_iy*B46</f>
        <v>14.512774684444443</v>
      </c>
      <c r="D46" s="12">
        <f t="shared" ref="D46:D64" si="13">MAX(0,C46)</f>
        <v>14.512774684444443</v>
      </c>
      <c r="E46" s="12">
        <f t="shared" ref="E46:E64" si="14">inp_by*D46</f>
        <v>54.422905066666658</v>
      </c>
      <c r="F46" s="12">
        <f t="shared" ref="F46:F64" si="15">geo_w_total/inp_bx</f>
        <v>14.625</v>
      </c>
      <c r="G46" s="12">
        <f t="shared" ref="G46:G64" si="16">E46-F46</f>
        <v>39.797905066666658</v>
      </c>
      <c r="H46" s="12">
        <f t="shared" si="8"/>
        <v>0</v>
      </c>
      <c r="I46" s="12">
        <f t="shared" si="9"/>
        <v>-53.774449919999995</v>
      </c>
      <c r="J46" s="12">
        <f t="shared" si="10"/>
        <v>36.080449632000004</v>
      </c>
      <c r="K46" s="1" t="str">
        <f t="shared" ref="K46:K64" si="17">IF(AND(B46&gt;=inp_xc-inp_cx/2,B46&lt;=inp_xc+inp_cx/2),"Si","No")</f>
        <v>No</v>
      </c>
      <c r="L46" s="1" t="str">
        <f t="shared" ref="L46:L64" si="18">IF(D46=0,"Presion corregida por levantamiento","")</f>
        <v/>
      </c>
    </row>
    <row r="47" spans="1:12" x14ac:dyDescent="0.3">
      <c r="A47" s="1">
        <v>33</v>
      </c>
      <c r="B47" s="12">
        <f t="shared" si="11"/>
        <v>0.60000000000000009</v>
      </c>
      <c r="C47" s="12">
        <f t="shared" si="12"/>
        <v>14.513812337777777</v>
      </c>
      <c r="D47" s="12">
        <f t="shared" si="13"/>
        <v>14.513812337777777</v>
      </c>
      <c r="E47" s="12">
        <f t="shared" si="14"/>
        <v>54.426796266666663</v>
      </c>
      <c r="F47" s="12">
        <f t="shared" si="15"/>
        <v>14.625</v>
      </c>
      <c r="G47" s="12">
        <f t="shared" si="16"/>
        <v>39.801796266666663</v>
      </c>
      <c r="H47" s="12">
        <f t="shared" ref="H47:H64" si="19">ult_p*MAX(0,MIN(B47,inp_xc+inp_cx/2)-MAX(B46,inp_xc-inp_cx/2))/inp_cx</f>
        <v>0</v>
      </c>
      <c r="I47" s="12">
        <f t="shared" ref="I47:I64" si="20">I46+((G46+G47)/2)*(B47-B46)-H47</f>
        <v>-50.789461119999991</v>
      </c>
      <c r="J47" s="12">
        <f t="shared" ref="J47:J64" si="21">J46+((I46+I47)/2)*(B47-B46)</f>
        <v>32.159302967999992</v>
      </c>
      <c r="K47" s="1" t="str">
        <f t="shared" si="17"/>
        <v>No</v>
      </c>
      <c r="L47" s="1" t="str">
        <f t="shared" si="18"/>
        <v/>
      </c>
    </row>
    <row r="48" spans="1:12" x14ac:dyDescent="0.3">
      <c r="A48" s="1">
        <v>34</v>
      </c>
      <c r="B48" s="12">
        <f t="shared" si="11"/>
        <v>0.67499999999999982</v>
      </c>
      <c r="C48" s="12">
        <f t="shared" si="12"/>
        <v>14.51484999111111</v>
      </c>
      <c r="D48" s="12">
        <f t="shared" si="13"/>
        <v>14.51484999111111</v>
      </c>
      <c r="E48" s="12">
        <f t="shared" si="14"/>
        <v>54.430687466666662</v>
      </c>
      <c r="F48" s="12">
        <f t="shared" si="15"/>
        <v>14.625</v>
      </c>
      <c r="G48" s="12">
        <f t="shared" si="16"/>
        <v>39.805687466666662</v>
      </c>
      <c r="H48" s="12">
        <f t="shared" si="19"/>
        <v>0</v>
      </c>
      <c r="I48" s="12">
        <f t="shared" si="20"/>
        <v>-47.804180479999999</v>
      </c>
      <c r="J48" s="12">
        <f t="shared" si="21"/>
        <v>28.462041408000005</v>
      </c>
      <c r="K48" s="1" t="str">
        <f t="shared" si="17"/>
        <v>No</v>
      </c>
      <c r="L48" s="1" t="str">
        <f t="shared" si="18"/>
        <v/>
      </c>
    </row>
    <row r="49" spans="1:12" x14ac:dyDescent="0.3">
      <c r="A49" s="1">
        <v>35</v>
      </c>
      <c r="B49" s="12">
        <f t="shared" si="11"/>
        <v>0.75</v>
      </c>
      <c r="C49" s="12">
        <f t="shared" si="12"/>
        <v>14.515887644444444</v>
      </c>
      <c r="D49" s="12">
        <f t="shared" si="13"/>
        <v>14.515887644444444</v>
      </c>
      <c r="E49" s="12">
        <f t="shared" si="14"/>
        <v>54.434578666666667</v>
      </c>
      <c r="F49" s="12">
        <f t="shared" si="15"/>
        <v>14.625</v>
      </c>
      <c r="G49" s="12">
        <f t="shared" si="16"/>
        <v>39.809578666666667</v>
      </c>
      <c r="H49" s="12">
        <f t="shared" si="19"/>
        <v>0</v>
      </c>
      <c r="I49" s="12">
        <f t="shared" si="20"/>
        <v>-44.81860799999999</v>
      </c>
      <c r="J49" s="12">
        <f t="shared" si="21"/>
        <v>24.988686839999996</v>
      </c>
      <c r="K49" s="1" t="str">
        <f t="shared" si="17"/>
        <v>No</v>
      </c>
      <c r="L49" s="1" t="str">
        <f t="shared" si="18"/>
        <v/>
      </c>
    </row>
    <row r="50" spans="1:12" x14ac:dyDescent="0.3">
      <c r="A50" s="1">
        <v>36</v>
      </c>
      <c r="B50" s="12">
        <f t="shared" si="11"/>
        <v>0.82500000000000018</v>
      </c>
      <c r="C50" s="12">
        <f t="shared" si="12"/>
        <v>14.516925297777776</v>
      </c>
      <c r="D50" s="12">
        <f t="shared" si="13"/>
        <v>14.516925297777776</v>
      </c>
      <c r="E50" s="12">
        <f t="shared" si="14"/>
        <v>54.438469866666658</v>
      </c>
      <c r="F50" s="12">
        <f t="shared" si="15"/>
        <v>14.625</v>
      </c>
      <c r="G50" s="12">
        <f t="shared" si="16"/>
        <v>39.813469866666658</v>
      </c>
      <c r="H50" s="12">
        <f t="shared" si="19"/>
        <v>0</v>
      </c>
      <c r="I50" s="12">
        <f t="shared" si="20"/>
        <v>-41.832743679999986</v>
      </c>
      <c r="J50" s="12">
        <f t="shared" si="21"/>
        <v>21.73926115199999</v>
      </c>
      <c r="K50" s="1" t="str">
        <f t="shared" si="17"/>
        <v>No</v>
      </c>
      <c r="L50" s="1" t="str">
        <f t="shared" si="18"/>
        <v/>
      </c>
    </row>
    <row r="51" spans="1:12" x14ac:dyDescent="0.3">
      <c r="A51" s="1">
        <v>37</v>
      </c>
      <c r="B51" s="12">
        <f t="shared" si="11"/>
        <v>0.89999999999999991</v>
      </c>
      <c r="C51" s="12">
        <f t="shared" si="12"/>
        <v>14.517962951111111</v>
      </c>
      <c r="D51" s="12">
        <f t="shared" si="13"/>
        <v>14.517962951111111</v>
      </c>
      <c r="E51" s="12">
        <f t="shared" si="14"/>
        <v>54.442361066666663</v>
      </c>
      <c r="F51" s="12">
        <f t="shared" si="15"/>
        <v>14.625</v>
      </c>
      <c r="G51" s="12">
        <f t="shared" si="16"/>
        <v>39.817361066666663</v>
      </c>
      <c r="H51" s="12">
        <f t="shared" si="19"/>
        <v>0</v>
      </c>
      <c r="I51" s="12">
        <f t="shared" si="20"/>
        <v>-38.84658752</v>
      </c>
      <c r="J51" s="12">
        <f t="shared" si="21"/>
        <v>18.713786232</v>
      </c>
      <c r="K51" s="1" t="str">
        <f t="shared" si="17"/>
        <v>No</v>
      </c>
      <c r="L51" s="1" t="str">
        <f t="shared" si="18"/>
        <v/>
      </c>
    </row>
    <row r="52" spans="1:12" x14ac:dyDescent="0.3">
      <c r="A52" s="1">
        <v>38</v>
      </c>
      <c r="B52" s="12">
        <f t="shared" si="11"/>
        <v>0.97500000000000009</v>
      </c>
      <c r="C52" s="12">
        <f t="shared" si="12"/>
        <v>14.519000604444443</v>
      </c>
      <c r="D52" s="12">
        <f t="shared" si="13"/>
        <v>14.519000604444443</v>
      </c>
      <c r="E52" s="12">
        <f t="shared" si="14"/>
        <v>54.446252266666662</v>
      </c>
      <c r="F52" s="12">
        <f t="shared" si="15"/>
        <v>14.625</v>
      </c>
      <c r="G52" s="12">
        <f t="shared" si="16"/>
        <v>39.821252266666662</v>
      </c>
      <c r="H52" s="12">
        <f t="shared" si="19"/>
        <v>0</v>
      </c>
      <c r="I52" s="12">
        <f t="shared" si="20"/>
        <v>-35.86013951999999</v>
      </c>
      <c r="J52" s="12">
        <f t="shared" si="21"/>
        <v>15.912283967999993</v>
      </c>
      <c r="K52" s="1" t="str">
        <f t="shared" si="17"/>
        <v>No</v>
      </c>
      <c r="L52" s="1" t="str">
        <f t="shared" si="18"/>
        <v/>
      </c>
    </row>
    <row r="53" spans="1:12" x14ac:dyDescent="0.3">
      <c r="A53" s="1">
        <v>39</v>
      </c>
      <c r="B53" s="12">
        <f t="shared" si="11"/>
        <v>1.0499999999999998</v>
      </c>
      <c r="C53" s="12">
        <f t="shared" si="12"/>
        <v>14.520038257777777</v>
      </c>
      <c r="D53" s="12">
        <f t="shared" si="13"/>
        <v>14.520038257777777</v>
      </c>
      <c r="E53" s="12">
        <f t="shared" si="14"/>
        <v>54.450143466666667</v>
      </c>
      <c r="F53" s="12">
        <f t="shared" si="15"/>
        <v>14.625</v>
      </c>
      <c r="G53" s="12">
        <f t="shared" si="16"/>
        <v>39.825143466666667</v>
      </c>
      <c r="H53" s="12">
        <f t="shared" si="19"/>
        <v>0</v>
      </c>
      <c r="I53" s="12">
        <f t="shared" si="20"/>
        <v>-32.873399679999999</v>
      </c>
      <c r="J53" s="12">
        <f t="shared" si="21"/>
        <v>13.334776248000002</v>
      </c>
      <c r="K53" s="1" t="str">
        <f t="shared" si="17"/>
        <v>No</v>
      </c>
      <c r="L53" s="1" t="str">
        <f t="shared" si="18"/>
        <v/>
      </c>
    </row>
    <row r="54" spans="1:12" x14ac:dyDescent="0.3">
      <c r="A54" s="1">
        <v>40</v>
      </c>
      <c r="B54" s="12">
        <f t="shared" si="11"/>
        <v>1.125</v>
      </c>
      <c r="C54" s="12">
        <f t="shared" si="12"/>
        <v>14.52107591111111</v>
      </c>
      <c r="D54" s="12">
        <f t="shared" si="13"/>
        <v>14.52107591111111</v>
      </c>
      <c r="E54" s="12">
        <f t="shared" si="14"/>
        <v>54.454034666666665</v>
      </c>
      <c r="F54" s="12">
        <f t="shared" si="15"/>
        <v>14.625</v>
      </c>
      <c r="G54" s="12">
        <f t="shared" si="16"/>
        <v>39.829034666666665</v>
      </c>
      <c r="H54" s="12">
        <f t="shared" si="19"/>
        <v>0</v>
      </c>
      <c r="I54" s="12">
        <f t="shared" si="20"/>
        <v>-29.88636799999999</v>
      </c>
      <c r="J54" s="12">
        <f t="shared" si="21"/>
        <v>10.981284959999996</v>
      </c>
      <c r="K54" s="1" t="str">
        <f t="shared" si="17"/>
        <v>No</v>
      </c>
      <c r="L54" s="1" t="str">
        <f t="shared" si="18"/>
        <v/>
      </c>
    </row>
    <row r="55" spans="1:12" x14ac:dyDescent="0.3">
      <c r="A55" s="1">
        <v>41</v>
      </c>
      <c r="B55" s="12">
        <f t="shared" si="11"/>
        <v>1.2000000000000002</v>
      </c>
      <c r="C55" s="12">
        <f t="shared" si="12"/>
        <v>14.522113564444444</v>
      </c>
      <c r="D55" s="12">
        <f t="shared" si="13"/>
        <v>14.522113564444444</v>
      </c>
      <c r="E55" s="12">
        <f t="shared" si="14"/>
        <v>54.457925866666663</v>
      </c>
      <c r="F55" s="12">
        <f t="shared" si="15"/>
        <v>14.625</v>
      </c>
      <c r="G55" s="12">
        <f t="shared" si="16"/>
        <v>39.832925866666663</v>
      </c>
      <c r="H55" s="12">
        <f t="shared" si="19"/>
        <v>0</v>
      </c>
      <c r="I55" s="12">
        <f t="shared" si="20"/>
        <v>-26.899044479999983</v>
      </c>
      <c r="J55" s="12">
        <f t="shared" si="21"/>
        <v>8.8518319919999922</v>
      </c>
      <c r="K55" s="1" t="str">
        <f t="shared" si="17"/>
        <v>No</v>
      </c>
      <c r="L55" s="1" t="str">
        <f t="shared" si="18"/>
        <v/>
      </c>
    </row>
    <row r="56" spans="1:12" x14ac:dyDescent="0.3">
      <c r="A56" s="1">
        <v>42</v>
      </c>
      <c r="B56" s="12">
        <f t="shared" si="11"/>
        <v>1.2749999999999999</v>
      </c>
      <c r="C56" s="12">
        <f t="shared" si="12"/>
        <v>14.523151217777777</v>
      </c>
      <c r="D56" s="12">
        <f t="shared" si="13"/>
        <v>14.523151217777777</v>
      </c>
      <c r="E56" s="12">
        <f t="shared" si="14"/>
        <v>54.461817066666661</v>
      </c>
      <c r="F56" s="12">
        <f t="shared" si="15"/>
        <v>14.625</v>
      </c>
      <c r="G56" s="12">
        <f t="shared" si="16"/>
        <v>39.836817066666661</v>
      </c>
      <c r="H56" s="12">
        <f t="shared" si="19"/>
        <v>0</v>
      </c>
      <c r="I56" s="12">
        <f t="shared" si="20"/>
        <v>-23.911429119999994</v>
      </c>
      <c r="J56" s="12">
        <f t="shared" si="21"/>
        <v>6.9464392319999995</v>
      </c>
      <c r="K56" s="1" t="str">
        <f t="shared" si="17"/>
        <v>No</v>
      </c>
      <c r="L56" s="1" t="str">
        <f t="shared" si="18"/>
        <v/>
      </c>
    </row>
    <row r="57" spans="1:12" x14ac:dyDescent="0.3">
      <c r="A57" s="1">
        <v>43</v>
      </c>
      <c r="B57" s="12">
        <f t="shared" si="11"/>
        <v>1.35</v>
      </c>
      <c r="C57" s="12">
        <f t="shared" si="12"/>
        <v>14.524188871111109</v>
      </c>
      <c r="D57" s="12">
        <f t="shared" si="13"/>
        <v>14.524188871111109</v>
      </c>
      <c r="E57" s="12">
        <f t="shared" si="14"/>
        <v>54.46570826666666</v>
      </c>
      <c r="F57" s="12">
        <f t="shared" si="15"/>
        <v>14.625</v>
      </c>
      <c r="G57" s="12">
        <f t="shared" si="16"/>
        <v>39.84070826666666</v>
      </c>
      <c r="H57" s="12">
        <f t="shared" si="19"/>
        <v>0</v>
      </c>
      <c r="I57" s="12">
        <f t="shared" si="20"/>
        <v>-20.923521919999988</v>
      </c>
      <c r="J57" s="12">
        <f t="shared" si="21"/>
        <v>5.2651285679999962</v>
      </c>
      <c r="K57" s="1" t="str">
        <f t="shared" si="17"/>
        <v>No</v>
      </c>
      <c r="L57" s="1" t="str">
        <f t="shared" si="18"/>
        <v/>
      </c>
    </row>
    <row r="58" spans="1:12" x14ac:dyDescent="0.3">
      <c r="A58" s="1">
        <v>44</v>
      </c>
      <c r="B58" s="12">
        <f t="shared" si="11"/>
        <v>1.4249999999999998</v>
      </c>
      <c r="C58" s="12">
        <f t="shared" si="12"/>
        <v>14.525226524444443</v>
      </c>
      <c r="D58" s="12">
        <f t="shared" si="13"/>
        <v>14.525226524444443</v>
      </c>
      <c r="E58" s="12">
        <f t="shared" si="14"/>
        <v>54.469599466666665</v>
      </c>
      <c r="F58" s="12">
        <f t="shared" si="15"/>
        <v>14.625</v>
      </c>
      <c r="G58" s="12">
        <f t="shared" si="16"/>
        <v>39.844599466666665</v>
      </c>
      <c r="H58" s="12">
        <f t="shared" si="19"/>
        <v>0</v>
      </c>
      <c r="I58" s="12">
        <f t="shared" si="20"/>
        <v>-17.935322879999998</v>
      </c>
      <c r="J58" s="12">
        <f t="shared" si="21"/>
        <v>3.8079218880000019</v>
      </c>
      <c r="K58" s="1" t="str">
        <f t="shared" si="17"/>
        <v>No</v>
      </c>
      <c r="L58" s="1" t="str">
        <f t="shared" si="18"/>
        <v/>
      </c>
    </row>
    <row r="59" spans="1:12" x14ac:dyDescent="0.3">
      <c r="A59" s="1">
        <v>45</v>
      </c>
      <c r="B59" s="12">
        <f t="shared" si="11"/>
        <v>1.5</v>
      </c>
      <c r="C59" s="12">
        <f t="shared" si="12"/>
        <v>14.526264177777776</v>
      </c>
      <c r="D59" s="12">
        <f t="shared" si="13"/>
        <v>14.526264177777776</v>
      </c>
      <c r="E59" s="12">
        <f t="shared" si="14"/>
        <v>54.473490666666663</v>
      </c>
      <c r="F59" s="12">
        <f t="shared" si="15"/>
        <v>14.625</v>
      </c>
      <c r="G59" s="12">
        <f t="shared" si="16"/>
        <v>39.848490666666663</v>
      </c>
      <c r="H59" s="12">
        <f t="shared" si="19"/>
        <v>0</v>
      </c>
      <c r="I59" s="12">
        <f t="shared" si="20"/>
        <v>-14.94683199999999</v>
      </c>
      <c r="J59" s="12">
        <f t="shared" si="21"/>
        <v>2.5748410799999997</v>
      </c>
      <c r="K59" s="1" t="str">
        <f t="shared" si="17"/>
        <v>No</v>
      </c>
      <c r="L59" s="1" t="str">
        <f t="shared" si="18"/>
        <v/>
      </c>
    </row>
    <row r="60" spans="1:12" x14ac:dyDescent="0.3">
      <c r="A60" s="1">
        <v>46</v>
      </c>
      <c r="B60" s="12">
        <f t="shared" si="11"/>
        <v>1.5750000000000002</v>
      </c>
      <c r="C60" s="12">
        <f t="shared" si="12"/>
        <v>14.52730183111111</v>
      </c>
      <c r="D60" s="12">
        <f t="shared" si="13"/>
        <v>14.52730183111111</v>
      </c>
      <c r="E60" s="12">
        <f t="shared" si="14"/>
        <v>54.477381866666661</v>
      </c>
      <c r="F60" s="12">
        <f t="shared" si="15"/>
        <v>14.625</v>
      </c>
      <c r="G60" s="12">
        <f t="shared" si="16"/>
        <v>39.852381866666661</v>
      </c>
      <c r="H60" s="12">
        <f t="shared" si="19"/>
        <v>0</v>
      </c>
      <c r="I60" s="12">
        <f t="shared" si="20"/>
        <v>-11.958049279999983</v>
      </c>
      <c r="J60" s="12">
        <f t="shared" si="21"/>
        <v>1.5659080319999983</v>
      </c>
      <c r="K60" s="1" t="str">
        <f t="shared" si="17"/>
        <v>No</v>
      </c>
      <c r="L60" s="1" t="str">
        <f t="shared" si="18"/>
        <v/>
      </c>
    </row>
    <row r="61" spans="1:12" x14ac:dyDescent="0.3">
      <c r="A61" s="1">
        <v>47</v>
      </c>
      <c r="B61" s="12">
        <f t="shared" si="11"/>
        <v>1.65</v>
      </c>
      <c r="C61" s="12">
        <f t="shared" si="12"/>
        <v>14.528339484444443</v>
      </c>
      <c r="D61" s="12">
        <f t="shared" si="13"/>
        <v>14.528339484444443</v>
      </c>
      <c r="E61" s="12">
        <f t="shared" si="14"/>
        <v>54.48127306666666</v>
      </c>
      <c r="F61" s="12">
        <f t="shared" si="15"/>
        <v>14.625</v>
      </c>
      <c r="G61" s="12">
        <f t="shared" si="16"/>
        <v>39.85627306666666</v>
      </c>
      <c r="H61" s="12">
        <f t="shared" si="19"/>
        <v>0</v>
      </c>
      <c r="I61" s="12">
        <f t="shared" si="20"/>
        <v>-8.968974719999995</v>
      </c>
      <c r="J61" s="12">
        <f t="shared" si="21"/>
        <v>0.78114463200000195</v>
      </c>
      <c r="K61" s="1" t="str">
        <f t="shared" si="17"/>
        <v>No</v>
      </c>
      <c r="L61" s="1" t="str">
        <f t="shared" si="18"/>
        <v/>
      </c>
    </row>
    <row r="62" spans="1:12" x14ac:dyDescent="0.3">
      <c r="A62" s="1">
        <v>48</v>
      </c>
      <c r="B62" s="12">
        <f t="shared" si="11"/>
        <v>1.7250000000000001</v>
      </c>
      <c r="C62" s="12">
        <f t="shared" si="12"/>
        <v>14.529377137777777</v>
      </c>
      <c r="D62" s="12">
        <f t="shared" si="13"/>
        <v>14.529377137777777</v>
      </c>
      <c r="E62" s="12">
        <f t="shared" si="14"/>
        <v>54.485164266666665</v>
      </c>
      <c r="F62" s="12">
        <f t="shared" si="15"/>
        <v>14.625</v>
      </c>
      <c r="G62" s="12">
        <f t="shared" si="16"/>
        <v>39.860164266666665</v>
      </c>
      <c r="H62" s="12">
        <f t="shared" si="19"/>
        <v>0</v>
      </c>
      <c r="I62" s="12">
        <f t="shared" si="20"/>
        <v>-5.9796083199999881</v>
      </c>
      <c r="J62" s="12">
        <f t="shared" si="21"/>
        <v>0.22057276800000125</v>
      </c>
      <c r="K62" s="1" t="str">
        <f t="shared" si="17"/>
        <v>No</v>
      </c>
      <c r="L62" s="1" t="str">
        <f t="shared" si="18"/>
        <v/>
      </c>
    </row>
    <row r="63" spans="1:12" x14ac:dyDescent="0.3">
      <c r="A63" s="1">
        <v>49</v>
      </c>
      <c r="B63" s="12">
        <f t="shared" si="11"/>
        <v>1.7999999999999998</v>
      </c>
      <c r="C63" s="12">
        <f t="shared" si="12"/>
        <v>14.530414791111109</v>
      </c>
      <c r="D63" s="12">
        <f t="shared" si="13"/>
        <v>14.530414791111109</v>
      </c>
      <c r="E63" s="12">
        <f t="shared" si="14"/>
        <v>54.489055466666663</v>
      </c>
      <c r="F63" s="12">
        <f t="shared" si="15"/>
        <v>14.625</v>
      </c>
      <c r="G63" s="12">
        <f t="shared" si="16"/>
        <v>39.864055466666663</v>
      </c>
      <c r="H63" s="12">
        <f t="shared" si="19"/>
        <v>0</v>
      </c>
      <c r="I63" s="12">
        <f t="shared" si="20"/>
        <v>-2.989950079999999</v>
      </c>
      <c r="J63" s="12">
        <f t="shared" si="21"/>
        <v>-0.11578567199999701</v>
      </c>
      <c r="K63" s="1" t="str">
        <f t="shared" si="17"/>
        <v>No</v>
      </c>
      <c r="L63" s="1" t="str">
        <f t="shared" si="18"/>
        <v/>
      </c>
    </row>
    <row r="64" spans="1:12" x14ac:dyDescent="0.3">
      <c r="A64" s="1">
        <v>50</v>
      </c>
      <c r="B64" s="12">
        <f t="shared" si="11"/>
        <v>1.875</v>
      </c>
      <c r="C64" s="12">
        <f t="shared" si="12"/>
        <v>14.531452444444444</v>
      </c>
      <c r="D64" s="12">
        <f t="shared" si="13"/>
        <v>14.531452444444444</v>
      </c>
      <c r="E64" s="12">
        <f t="shared" si="14"/>
        <v>54.492946666666661</v>
      </c>
      <c r="F64" s="12">
        <f t="shared" si="15"/>
        <v>14.625</v>
      </c>
      <c r="G64" s="12">
        <f t="shared" si="16"/>
        <v>39.867946666666661</v>
      </c>
      <c r="H64" s="12">
        <f t="shared" si="19"/>
        <v>0</v>
      </c>
      <c r="I64" s="12">
        <f t="shared" si="20"/>
        <v>7.9936057773011271E-15</v>
      </c>
      <c r="J64" s="12">
        <f t="shared" si="21"/>
        <v>-0.22790879999999694</v>
      </c>
      <c r="K64" s="1" t="str">
        <f t="shared" si="17"/>
        <v>No</v>
      </c>
      <c r="L64" s="1" t="str">
        <f t="shared" si="18"/>
        <v/>
      </c>
    </row>
  </sheetData>
  <mergeCells count="2">
    <mergeCell ref="A3:F3"/>
    <mergeCell ref="A1:L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4"/>
  <sheetViews>
    <sheetView showGridLines="0" topLeftCell="A37" workbookViewId="0">
      <selection sqref="A1:L1"/>
    </sheetView>
  </sheetViews>
  <sheetFormatPr baseColWidth="10" defaultColWidth="8.88671875" defaultRowHeight="14.4" x14ac:dyDescent="0.3"/>
  <cols>
    <col min="1" max="12" width="15" customWidth="1"/>
    <col min="13" max="15" width="14" customWidth="1"/>
  </cols>
  <sheetData>
    <row r="1" spans="1:12" ht="25.05" customHeight="1" x14ac:dyDescent="0.3">
      <c r="A1" s="16" t="s">
        <v>293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12" ht="19.95" customHeight="1" x14ac:dyDescent="0.3">
      <c r="A3" s="14" t="s">
        <v>274</v>
      </c>
      <c r="B3" s="15"/>
      <c r="C3" s="15"/>
      <c r="D3" s="15"/>
      <c r="E3" s="15"/>
      <c r="F3" s="15"/>
    </row>
    <row r="4" spans="1:12" ht="26.4" x14ac:dyDescent="0.3">
      <c r="A4" s="1" t="s">
        <v>275</v>
      </c>
      <c r="B4" s="11">
        <f>MAX(J14:J64)</f>
        <v>62.604189749999996</v>
      </c>
      <c r="C4" s="1" t="s">
        <v>190</v>
      </c>
      <c r="D4" s="1" t="s">
        <v>276</v>
      </c>
    </row>
    <row r="5" spans="1:12" ht="26.4" x14ac:dyDescent="0.3">
      <c r="A5" s="1" t="s">
        <v>277</v>
      </c>
      <c r="B5" s="11">
        <f>ABS(MIN(J14:J64))</f>
        <v>0</v>
      </c>
      <c r="C5" s="1" t="s">
        <v>190</v>
      </c>
      <c r="D5" s="1" t="s">
        <v>276</v>
      </c>
    </row>
    <row r="6" spans="1:12" ht="26.4" x14ac:dyDescent="0.3">
      <c r="A6" s="1" t="s">
        <v>278</v>
      </c>
      <c r="B6" s="11">
        <f>MAX(ABS(MIN(I14:I64)),ABS(MAX(I14:I64)))</f>
        <v>65.925164800000005</v>
      </c>
      <c r="C6" s="1" t="s">
        <v>183</v>
      </c>
      <c r="D6" s="1" t="s">
        <v>276</v>
      </c>
    </row>
    <row r="7" spans="1:12" ht="26.4" x14ac:dyDescent="0.3">
      <c r="A7" s="1" t="s">
        <v>294</v>
      </c>
      <c r="B7" s="11">
        <f>IFERROR(INDEX($J$14:$J$64,MATCH(inp_yc-inp_cy/2,$B$14:$B$64,1)),0)</f>
        <v>54.453717119999993</v>
      </c>
      <c r="C7" s="1" t="s">
        <v>190</v>
      </c>
      <c r="D7" s="1" t="s">
        <v>276</v>
      </c>
    </row>
    <row r="8" spans="1:12" ht="26.4" x14ac:dyDescent="0.3">
      <c r="A8" s="1" t="s">
        <v>295</v>
      </c>
      <c r="B8" s="11">
        <f>IFERROR(INDEX($J$14:$J$64,MATCH(inp_yc+inp_cy/2,$B$14:$B$64,1)),0)</f>
        <v>58.903136369999999</v>
      </c>
      <c r="C8" s="1" t="s">
        <v>190</v>
      </c>
      <c r="D8" s="1" t="s">
        <v>276</v>
      </c>
    </row>
    <row r="9" spans="1:12" ht="26.4" x14ac:dyDescent="0.3">
      <c r="A9" s="1" t="s">
        <v>281</v>
      </c>
      <c r="B9" s="11">
        <f>MAX(B4,B5)/inp_bx</f>
        <v>16.6944506</v>
      </c>
      <c r="C9" s="1" t="s">
        <v>282</v>
      </c>
      <c r="D9" s="1" t="s">
        <v>276</v>
      </c>
    </row>
    <row r="13" spans="1:12" x14ac:dyDescent="0.3">
      <c r="A13" s="3" t="s">
        <v>224</v>
      </c>
      <c r="B13" s="3" t="s">
        <v>227</v>
      </c>
      <c r="C13" s="3" t="s">
        <v>283</v>
      </c>
      <c r="D13" s="3" t="s">
        <v>284</v>
      </c>
      <c r="E13" s="3" t="s">
        <v>285</v>
      </c>
      <c r="F13" s="3" t="s">
        <v>286</v>
      </c>
      <c r="G13" s="3" t="s">
        <v>287</v>
      </c>
      <c r="H13" s="3" t="s">
        <v>288</v>
      </c>
      <c r="I13" s="3" t="s">
        <v>296</v>
      </c>
      <c r="J13" s="3" t="s">
        <v>297</v>
      </c>
      <c r="K13" s="3" t="s">
        <v>291</v>
      </c>
      <c r="L13" s="3" t="s">
        <v>292</v>
      </c>
    </row>
    <row r="14" spans="1:12" x14ac:dyDescent="0.3">
      <c r="A14" s="1">
        <v>0</v>
      </c>
      <c r="B14" s="12">
        <f t="shared" ref="B14:B45" si="0">-inp_by/2+A14*inp_by/inp_n_div_y</f>
        <v>-1.875</v>
      </c>
      <c r="C14" s="12">
        <f t="shared" ref="C14:C45" si="1">res_u_p_tot/geo_area+res_u_mx_tot/geo_ix*B14</f>
        <v>14.593119999999999</v>
      </c>
      <c r="D14" s="12">
        <f t="shared" ref="D14:D45" si="2">MAX(0,C14)</f>
        <v>14.593119999999999</v>
      </c>
      <c r="E14" s="12">
        <f t="shared" ref="E14:E45" si="3">inp_bx*D14</f>
        <v>54.724199999999996</v>
      </c>
      <c r="F14" s="12">
        <f t="shared" ref="F14:F45" si="4">geo_w_total/inp_by</f>
        <v>14.625</v>
      </c>
      <c r="G14" s="12">
        <f t="shared" ref="G14:G45" si="5">E14-F14</f>
        <v>40.099199999999996</v>
      </c>
      <c r="H14" s="12">
        <f>0</f>
        <v>0</v>
      </c>
      <c r="I14" s="12">
        <f>0</f>
        <v>0</v>
      </c>
      <c r="J14" s="12">
        <f>0</f>
        <v>0</v>
      </c>
      <c r="K14" s="1" t="str">
        <f t="shared" ref="K14:K45" si="6">IF(AND(B14&gt;=inp_yc-inp_cy/2,B14&lt;=inp_yc+inp_cy/2),"Si","No")</f>
        <v>No</v>
      </c>
      <c r="L14" s="1" t="str">
        <f t="shared" ref="L14:L45" si="7">IF(D14=0,"Presion corregida por levantamiento","")</f>
        <v/>
      </c>
    </row>
    <row r="15" spans="1:12" x14ac:dyDescent="0.3">
      <c r="A15" s="1">
        <v>1</v>
      </c>
      <c r="B15" s="12">
        <f t="shared" si="0"/>
        <v>-1.8</v>
      </c>
      <c r="C15" s="12">
        <f t="shared" si="1"/>
        <v>14.589615644444443</v>
      </c>
      <c r="D15" s="12">
        <f t="shared" si="2"/>
        <v>14.589615644444443</v>
      </c>
      <c r="E15" s="12">
        <f t="shared" si="3"/>
        <v>54.711058666666659</v>
      </c>
      <c r="F15" s="12">
        <f t="shared" si="4"/>
        <v>14.625</v>
      </c>
      <c r="G15" s="12">
        <f t="shared" si="5"/>
        <v>40.086058666666659</v>
      </c>
      <c r="H15" s="12">
        <f t="shared" ref="H15:H46" si="8">ult_p*MAX(0,MIN(B15,inp_yc+inp_cy/2)-MAX(B14,inp_yc-inp_cy/2))/inp_cy</f>
        <v>0</v>
      </c>
      <c r="I15" s="12">
        <f t="shared" ref="I15:I46" si="9">I14+((G14+G15)/2)*(B15-B14)-H15</f>
        <v>3.0069471999999977</v>
      </c>
      <c r="J15" s="12">
        <f t="shared" ref="J15:J46" si="10">J14+((I14+I15)/2)*(B15-B14)</f>
        <v>0.11276051999999985</v>
      </c>
      <c r="K15" s="1" t="str">
        <f t="shared" si="6"/>
        <v>No</v>
      </c>
      <c r="L15" s="1" t="str">
        <f t="shared" si="7"/>
        <v/>
      </c>
    </row>
    <row r="16" spans="1:12" x14ac:dyDescent="0.3">
      <c r="A16" s="1">
        <v>2</v>
      </c>
      <c r="B16" s="12">
        <f t="shared" si="0"/>
        <v>-1.7250000000000001</v>
      </c>
      <c r="C16" s="12">
        <f t="shared" si="1"/>
        <v>14.586111288888887</v>
      </c>
      <c r="D16" s="12">
        <f t="shared" si="2"/>
        <v>14.586111288888887</v>
      </c>
      <c r="E16" s="12">
        <f t="shared" si="3"/>
        <v>54.697917333333322</v>
      </c>
      <c r="F16" s="12">
        <f t="shared" si="4"/>
        <v>14.625</v>
      </c>
      <c r="G16" s="12">
        <f t="shared" si="5"/>
        <v>40.072917333333322</v>
      </c>
      <c r="H16" s="12">
        <f t="shared" si="8"/>
        <v>0</v>
      </c>
      <c r="I16" s="12">
        <f t="shared" si="9"/>
        <v>6.0129087999999946</v>
      </c>
      <c r="J16" s="12">
        <f t="shared" si="10"/>
        <v>0.45100511999999937</v>
      </c>
      <c r="K16" s="1" t="str">
        <f t="shared" si="6"/>
        <v>No</v>
      </c>
      <c r="L16" s="1" t="str">
        <f t="shared" si="7"/>
        <v/>
      </c>
    </row>
    <row r="17" spans="1:12" x14ac:dyDescent="0.3">
      <c r="A17" s="1">
        <v>3</v>
      </c>
      <c r="B17" s="12">
        <f t="shared" si="0"/>
        <v>-1.65</v>
      </c>
      <c r="C17" s="12">
        <f t="shared" si="1"/>
        <v>14.582606933333333</v>
      </c>
      <c r="D17" s="12">
        <f t="shared" si="2"/>
        <v>14.582606933333333</v>
      </c>
      <c r="E17" s="12">
        <f t="shared" si="3"/>
        <v>54.684775999999999</v>
      </c>
      <c r="F17" s="12">
        <f t="shared" si="4"/>
        <v>14.625</v>
      </c>
      <c r="G17" s="12">
        <f t="shared" si="5"/>
        <v>40.059775999999999</v>
      </c>
      <c r="H17" s="12">
        <f t="shared" si="8"/>
        <v>0</v>
      </c>
      <c r="I17" s="12">
        <f t="shared" si="9"/>
        <v>9.0178848000000009</v>
      </c>
      <c r="J17" s="12">
        <f t="shared" si="10"/>
        <v>1.0146598800000004</v>
      </c>
      <c r="K17" s="1" t="str">
        <f t="shared" si="6"/>
        <v>No</v>
      </c>
      <c r="L17" s="1" t="str">
        <f t="shared" si="7"/>
        <v/>
      </c>
    </row>
    <row r="18" spans="1:12" x14ac:dyDescent="0.3">
      <c r="A18" s="1">
        <v>4</v>
      </c>
      <c r="B18" s="12">
        <f t="shared" si="0"/>
        <v>-1.575</v>
      </c>
      <c r="C18" s="12">
        <f t="shared" si="1"/>
        <v>14.579102577777777</v>
      </c>
      <c r="D18" s="12">
        <f t="shared" si="2"/>
        <v>14.579102577777777</v>
      </c>
      <c r="E18" s="12">
        <f t="shared" si="3"/>
        <v>54.671634666666662</v>
      </c>
      <c r="F18" s="12">
        <f t="shared" si="4"/>
        <v>14.625</v>
      </c>
      <c r="G18" s="12">
        <f t="shared" si="5"/>
        <v>40.046634666666662</v>
      </c>
      <c r="H18" s="12">
        <f t="shared" si="8"/>
        <v>0</v>
      </c>
      <c r="I18" s="12">
        <f t="shared" si="9"/>
        <v>12.021875199999998</v>
      </c>
      <c r="J18" s="12">
        <f t="shared" si="10"/>
        <v>1.80365088</v>
      </c>
      <c r="K18" s="1" t="str">
        <f t="shared" si="6"/>
        <v>No</v>
      </c>
      <c r="L18" s="1" t="str">
        <f t="shared" si="7"/>
        <v/>
      </c>
    </row>
    <row r="19" spans="1:12" x14ac:dyDescent="0.3">
      <c r="A19" s="1">
        <v>5</v>
      </c>
      <c r="B19" s="12">
        <f t="shared" si="0"/>
        <v>-1.5</v>
      </c>
      <c r="C19" s="12">
        <f t="shared" si="1"/>
        <v>14.57559822222222</v>
      </c>
      <c r="D19" s="12">
        <f t="shared" si="2"/>
        <v>14.57559822222222</v>
      </c>
      <c r="E19" s="12">
        <f t="shared" si="3"/>
        <v>54.658493333333325</v>
      </c>
      <c r="F19" s="12">
        <f t="shared" si="4"/>
        <v>14.625</v>
      </c>
      <c r="G19" s="12">
        <f t="shared" si="5"/>
        <v>40.033493333333325</v>
      </c>
      <c r="H19" s="12">
        <f t="shared" si="8"/>
        <v>0</v>
      </c>
      <c r="I19" s="12">
        <f t="shared" si="9"/>
        <v>15.024879999999996</v>
      </c>
      <c r="J19" s="12">
        <f t="shared" si="10"/>
        <v>2.8179041999999992</v>
      </c>
      <c r="K19" s="1" t="str">
        <f t="shared" si="6"/>
        <v>No</v>
      </c>
      <c r="L19" s="1" t="str">
        <f t="shared" si="7"/>
        <v/>
      </c>
    </row>
    <row r="20" spans="1:12" x14ac:dyDescent="0.3">
      <c r="A20" s="1">
        <v>6</v>
      </c>
      <c r="B20" s="12">
        <f t="shared" si="0"/>
        <v>-1.425</v>
      </c>
      <c r="C20" s="12">
        <f t="shared" si="1"/>
        <v>14.572093866666666</v>
      </c>
      <c r="D20" s="12">
        <f t="shared" si="2"/>
        <v>14.572093866666666</v>
      </c>
      <c r="E20" s="12">
        <f t="shared" si="3"/>
        <v>54.645351999999995</v>
      </c>
      <c r="F20" s="12">
        <f t="shared" si="4"/>
        <v>14.625</v>
      </c>
      <c r="G20" s="12">
        <f t="shared" si="5"/>
        <v>40.020351999999995</v>
      </c>
      <c r="H20" s="12">
        <f t="shared" si="8"/>
        <v>0</v>
      </c>
      <c r="I20" s="12">
        <f t="shared" si="9"/>
        <v>18.026899199999995</v>
      </c>
      <c r="J20" s="12">
        <f t="shared" si="10"/>
        <v>4.0573459199999977</v>
      </c>
      <c r="K20" s="1" t="str">
        <f t="shared" si="6"/>
        <v>No</v>
      </c>
      <c r="L20" s="1" t="str">
        <f t="shared" si="7"/>
        <v/>
      </c>
    </row>
    <row r="21" spans="1:12" x14ac:dyDescent="0.3">
      <c r="A21" s="1">
        <v>7</v>
      </c>
      <c r="B21" s="12">
        <f t="shared" si="0"/>
        <v>-1.35</v>
      </c>
      <c r="C21" s="12">
        <f t="shared" si="1"/>
        <v>14.56858951111111</v>
      </c>
      <c r="D21" s="12">
        <f t="shared" si="2"/>
        <v>14.56858951111111</v>
      </c>
      <c r="E21" s="12">
        <f t="shared" si="3"/>
        <v>54.632210666666666</v>
      </c>
      <c r="F21" s="12">
        <f t="shared" si="4"/>
        <v>14.625</v>
      </c>
      <c r="G21" s="12">
        <f t="shared" si="5"/>
        <v>40.007210666666666</v>
      </c>
      <c r="H21" s="12">
        <f t="shared" si="8"/>
        <v>0</v>
      </c>
      <c r="I21" s="12">
        <f t="shared" si="9"/>
        <v>21.027932799999995</v>
      </c>
      <c r="J21" s="12">
        <f t="shared" si="10"/>
        <v>5.5219021199999965</v>
      </c>
      <c r="K21" s="1" t="str">
        <f t="shared" si="6"/>
        <v>No</v>
      </c>
      <c r="L21" s="1" t="str">
        <f t="shared" si="7"/>
        <v/>
      </c>
    </row>
    <row r="22" spans="1:12" x14ac:dyDescent="0.3">
      <c r="A22" s="1">
        <v>8</v>
      </c>
      <c r="B22" s="12">
        <f t="shared" si="0"/>
        <v>-1.2749999999999999</v>
      </c>
      <c r="C22" s="12">
        <f t="shared" si="1"/>
        <v>14.565085155555554</v>
      </c>
      <c r="D22" s="12">
        <f t="shared" si="2"/>
        <v>14.565085155555554</v>
      </c>
      <c r="E22" s="12">
        <f t="shared" si="3"/>
        <v>54.619069333333329</v>
      </c>
      <c r="F22" s="12">
        <f t="shared" si="4"/>
        <v>14.625</v>
      </c>
      <c r="G22" s="12">
        <f t="shared" si="5"/>
        <v>39.994069333333329</v>
      </c>
      <c r="H22" s="12">
        <f t="shared" si="8"/>
        <v>0</v>
      </c>
      <c r="I22" s="12">
        <f t="shared" si="9"/>
        <v>24.027980800000002</v>
      </c>
      <c r="J22" s="12">
        <f t="shared" si="10"/>
        <v>7.2114988800000006</v>
      </c>
      <c r="K22" s="1" t="str">
        <f t="shared" si="6"/>
        <v>No</v>
      </c>
      <c r="L22" s="1" t="str">
        <f t="shared" si="7"/>
        <v/>
      </c>
    </row>
    <row r="23" spans="1:12" x14ac:dyDescent="0.3">
      <c r="A23" s="1">
        <v>9</v>
      </c>
      <c r="B23" s="12">
        <f t="shared" si="0"/>
        <v>-1.2</v>
      </c>
      <c r="C23" s="12">
        <f t="shared" si="1"/>
        <v>14.561580799999998</v>
      </c>
      <c r="D23" s="12">
        <f t="shared" si="2"/>
        <v>14.561580799999998</v>
      </c>
      <c r="E23" s="12">
        <f t="shared" si="3"/>
        <v>54.605927999999992</v>
      </c>
      <c r="F23" s="12">
        <f t="shared" si="4"/>
        <v>14.625</v>
      </c>
      <c r="G23" s="12">
        <f t="shared" si="5"/>
        <v>39.980927999999992</v>
      </c>
      <c r="H23" s="12">
        <f t="shared" si="8"/>
        <v>0</v>
      </c>
      <c r="I23" s="12">
        <f t="shared" si="9"/>
        <v>27.027043200000001</v>
      </c>
      <c r="J23" s="12">
        <f t="shared" si="10"/>
        <v>9.1260622799999993</v>
      </c>
      <c r="K23" s="1" t="str">
        <f t="shared" si="6"/>
        <v>No</v>
      </c>
      <c r="L23" s="1" t="str">
        <f t="shared" si="7"/>
        <v/>
      </c>
    </row>
    <row r="24" spans="1:12" x14ac:dyDescent="0.3">
      <c r="A24" s="1">
        <v>10</v>
      </c>
      <c r="B24" s="12">
        <f t="shared" si="0"/>
        <v>-1.125</v>
      </c>
      <c r="C24" s="12">
        <f t="shared" si="1"/>
        <v>14.558076444444444</v>
      </c>
      <c r="D24" s="12">
        <f t="shared" si="2"/>
        <v>14.558076444444444</v>
      </c>
      <c r="E24" s="12">
        <f t="shared" si="3"/>
        <v>54.592786666666662</v>
      </c>
      <c r="F24" s="12">
        <f t="shared" si="4"/>
        <v>14.625</v>
      </c>
      <c r="G24" s="12">
        <f t="shared" si="5"/>
        <v>39.967786666666662</v>
      </c>
      <c r="H24" s="12">
        <f t="shared" si="8"/>
        <v>0</v>
      </c>
      <c r="I24" s="12">
        <f t="shared" si="9"/>
        <v>30.025120000000001</v>
      </c>
      <c r="J24" s="12">
        <f t="shared" si="10"/>
        <v>11.265518399999998</v>
      </c>
      <c r="K24" s="1" t="str">
        <f t="shared" si="6"/>
        <v>No</v>
      </c>
      <c r="L24" s="1" t="str">
        <f t="shared" si="7"/>
        <v/>
      </c>
    </row>
    <row r="25" spans="1:12" x14ac:dyDescent="0.3">
      <c r="A25" s="1">
        <v>11</v>
      </c>
      <c r="B25" s="12">
        <f t="shared" si="0"/>
        <v>-1.05</v>
      </c>
      <c r="C25" s="12">
        <f t="shared" si="1"/>
        <v>14.554572088888888</v>
      </c>
      <c r="D25" s="12">
        <f t="shared" si="2"/>
        <v>14.554572088888888</v>
      </c>
      <c r="E25" s="12">
        <f t="shared" si="3"/>
        <v>54.579645333333332</v>
      </c>
      <c r="F25" s="12">
        <f t="shared" si="4"/>
        <v>14.625</v>
      </c>
      <c r="G25" s="12">
        <f t="shared" si="5"/>
        <v>39.954645333333332</v>
      </c>
      <c r="H25" s="12">
        <f t="shared" si="8"/>
        <v>0</v>
      </c>
      <c r="I25" s="12">
        <f t="shared" si="9"/>
        <v>33.022211200000001</v>
      </c>
      <c r="J25" s="12">
        <f t="shared" si="10"/>
        <v>13.629793319999997</v>
      </c>
      <c r="K25" s="1" t="str">
        <f t="shared" si="6"/>
        <v>No</v>
      </c>
      <c r="L25" s="1" t="str">
        <f t="shared" si="7"/>
        <v/>
      </c>
    </row>
    <row r="26" spans="1:12" x14ac:dyDescent="0.3">
      <c r="A26" s="1">
        <v>12</v>
      </c>
      <c r="B26" s="12">
        <f t="shared" si="0"/>
        <v>-0.97499999999999998</v>
      </c>
      <c r="C26" s="12">
        <f t="shared" si="1"/>
        <v>14.551067733333332</v>
      </c>
      <c r="D26" s="12">
        <f t="shared" si="2"/>
        <v>14.551067733333332</v>
      </c>
      <c r="E26" s="12">
        <f t="shared" si="3"/>
        <v>54.566503999999995</v>
      </c>
      <c r="F26" s="12">
        <f t="shared" si="4"/>
        <v>14.625</v>
      </c>
      <c r="G26" s="12">
        <f t="shared" si="5"/>
        <v>39.941503999999995</v>
      </c>
      <c r="H26" s="12">
        <f t="shared" si="8"/>
        <v>0</v>
      </c>
      <c r="I26" s="12">
        <f t="shared" si="9"/>
        <v>36.018316800000001</v>
      </c>
      <c r="J26" s="12">
        <f t="shared" si="10"/>
        <v>16.21881312</v>
      </c>
      <c r="K26" s="1" t="str">
        <f t="shared" si="6"/>
        <v>No</v>
      </c>
      <c r="L26" s="1" t="str">
        <f t="shared" si="7"/>
        <v/>
      </c>
    </row>
    <row r="27" spans="1:12" x14ac:dyDescent="0.3">
      <c r="A27" s="1">
        <v>13</v>
      </c>
      <c r="B27" s="12">
        <f t="shared" si="0"/>
        <v>-0.9</v>
      </c>
      <c r="C27" s="12">
        <f t="shared" si="1"/>
        <v>14.547563377777777</v>
      </c>
      <c r="D27" s="12">
        <f t="shared" si="2"/>
        <v>14.547563377777777</v>
      </c>
      <c r="E27" s="12">
        <f t="shared" si="3"/>
        <v>54.553362666666665</v>
      </c>
      <c r="F27" s="12">
        <f t="shared" si="4"/>
        <v>14.625</v>
      </c>
      <c r="G27" s="12">
        <f t="shared" si="5"/>
        <v>39.928362666666665</v>
      </c>
      <c r="H27" s="12">
        <f t="shared" si="8"/>
        <v>0</v>
      </c>
      <c r="I27" s="12">
        <f t="shared" si="9"/>
        <v>39.013436800000001</v>
      </c>
      <c r="J27" s="12">
        <f t="shared" si="10"/>
        <v>19.03250388</v>
      </c>
      <c r="K27" s="1" t="str">
        <f t="shared" si="6"/>
        <v>No</v>
      </c>
      <c r="L27" s="1" t="str">
        <f t="shared" si="7"/>
        <v/>
      </c>
    </row>
    <row r="28" spans="1:12" x14ac:dyDescent="0.3">
      <c r="A28" s="1">
        <v>14</v>
      </c>
      <c r="B28" s="12">
        <f t="shared" si="0"/>
        <v>-0.82499999999999996</v>
      </c>
      <c r="C28" s="12">
        <f t="shared" si="1"/>
        <v>14.544059022222221</v>
      </c>
      <c r="D28" s="12">
        <f t="shared" si="2"/>
        <v>14.544059022222221</v>
      </c>
      <c r="E28" s="12">
        <f t="shared" si="3"/>
        <v>54.540221333333328</v>
      </c>
      <c r="F28" s="12">
        <f t="shared" si="4"/>
        <v>14.625</v>
      </c>
      <c r="G28" s="12">
        <f t="shared" si="5"/>
        <v>39.915221333333328</v>
      </c>
      <c r="H28" s="12">
        <f t="shared" si="8"/>
        <v>0</v>
      </c>
      <c r="I28" s="12">
        <f t="shared" si="9"/>
        <v>42.007571200000001</v>
      </c>
      <c r="J28" s="12">
        <f t="shared" si="10"/>
        <v>22.070791680000003</v>
      </c>
      <c r="K28" s="1" t="str">
        <f t="shared" si="6"/>
        <v>No</v>
      </c>
      <c r="L28" s="1" t="str">
        <f t="shared" si="7"/>
        <v/>
      </c>
    </row>
    <row r="29" spans="1:12" x14ac:dyDescent="0.3">
      <c r="A29" s="1">
        <v>15</v>
      </c>
      <c r="B29" s="12">
        <f t="shared" si="0"/>
        <v>-0.75</v>
      </c>
      <c r="C29" s="12">
        <f t="shared" si="1"/>
        <v>14.540554666666665</v>
      </c>
      <c r="D29" s="12">
        <f t="shared" si="2"/>
        <v>14.540554666666665</v>
      </c>
      <c r="E29" s="12">
        <f t="shared" si="3"/>
        <v>54.527079999999998</v>
      </c>
      <c r="F29" s="12">
        <f t="shared" si="4"/>
        <v>14.625</v>
      </c>
      <c r="G29" s="12">
        <f t="shared" si="5"/>
        <v>39.902079999999998</v>
      </c>
      <c r="H29" s="12">
        <f t="shared" si="8"/>
        <v>0</v>
      </c>
      <c r="I29" s="12">
        <f t="shared" si="9"/>
        <v>45.000720000000001</v>
      </c>
      <c r="J29" s="12">
        <f t="shared" si="10"/>
        <v>25.333602599999999</v>
      </c>
      <c r="K29" s="1" t="str">
        <f t="shared" si="6"/>
        <v>No</v>
      </c>
      <c r="L29" s="1" t="str">
        <f t="shared" si="7"/>
        <v/>
      </c>
    </row>
    <row r="30" spans="1:12" x14ac:dyDescent="0.3">
      <c r="A30" s="1">
        <v>16</v>
      </c>
      <c r="B30" s="12">
        <f t="shared" si="0"/>
        <v>-0.67500000000000004</v>
      </c>
      <c r="C30" s="12">
        <f t="shared" si="1"/>
        <v>14.537050311111109</v>
      </c>
      <c r="D30" s="12">
        <f t="shared" si="2"/>
        <v>14.537050311111109</v>
      </c>
      <c r="E30" s="12">
        <f t="shared" si="3"/>
        <v>54.513938666666661</v>
      </c>
      <c r="F30" s="12">
        <f t="shared" si="4"/>
        <v>14.625</v>
      </c>
      <c r="G30" s="12">
        <f t="shared" si="5"/>
        <v>39.888938666666661</v>
      </c>
      <c r="H30" s="12">
        <f t="shared" si="8"/>
        <v>0</v>
      </c>
      <c r="I30" s="12">
        <f t="shared" si="9"/>
        <v>47.992883200000001</v>
      </c>
      <c r="J30" s="12">
        <f t="shared" si="10"/>
        <v>28.820862719999997</v>
      </c>
      <c r="K30" s="1" t="str">
        <f t="shared" si="6"/>
        <v>No</v>
      </c>
      <c r="L30" s="1" t="str">
        <f t="shared" si="7"/>
        <v/>
      </c>
    </row>
    <row r="31" spans="1:12" x14ac:dyDescent="0.3">
      <c r="A31" s="1">
        <v>17</v>
      </c>
      <c r="B31" s="12">
        <f t="shared" si="0"/>
        <v>-0.60000000000000009</v>
      </c>
      <c r="C31" s="12">
        <f t="shared" si="1"/>
        <v>14.533545955555555</v>
      </c>
      <c r="D31" s="12">
        <f t="shared" si="2"/>
        <v>14.533545955555555</v>
      </c>
      <c r="E31" s="12">
        <f t="shared" si="3"/>
        <v>54.500797333333331</v>
      </c>
      <c r="F31" s="12">
        <f t="shared" si="4"/>
        <v>14.625</v>
      </c>
      <c r="G31" s="12">
        <f t="shared" si="5"/>
        <v>39.875797333333331</v>
      </c>
      <c r="H31" s="12">
        <f t="shared" si="8"/>
        <v>0</v>
      </c>
      <c r="I31" s="12">
        <f t="shared" si="9"/>
        <v>50.984060800000002</v>
      </c>
      <c r="J31" s="12">
        <f t="shared" si="10"/>
        <v>32.532498119999993</v>
      </c>
      <c r="K31" s="1" t="str">
        <f t="shared" si="6"/>
        <v>No</v>
      </c>
      <c r="L31" s="1" t="str">
        <f t="shared" si="7"/>
        <v/>
      </c>
    </row>
    <row r="32" spans="1:12" x14ac:dyDescent="0.3">
      <c r="A32" s="1">
        <v>18</v>
      </c>
      <c r="B32" s="12">
        <f t="shared" si="0"/>
        <v>-0.52499999999999991</v>
      </c>
      <c r="C32" s="12">
        <f t="shared" si="1"/>
        <v>14.530041599999999</v>
      </c>
      <c r="D32" s="12">
        <f t="shared" si="2"/>
        <v>14.530041599999999</v>
      </c>
      <c r="E32" s="12">
        <f t="shared" si="3"/>
        <v>54.487655999999994</v>
      </c>
      <c r="F32" s="12">
        <f t="shared" si="4"/>
        <v>14.625</v>
      </c>
      <c r="G32" s="12">
        <f t="shared" si="5"/>
        <v>39.862655999999994</v>
      </c>
      <c r="H32" s="12">
        <f t="shared" si="8"/>
        <v>0</v>
      </c>
      <c r="I32" s="12">
        <f t="shared" si="9"/>
        <v>53.974252800000009</v>
      </c>
      <c r="J32" s="12">
        <f t="shared" si="10"/>
        <v>36.468434880000004</v>
      </c>
      <c r="K32" s="1" t="str">
        <f t="shared" si="6"/>
        <v>No</v>
      </c>
      <c r="L32" s="1" t="str">
        <f t="shared" si="7"/>
        <v/>
      </c>
    </row>
    <row r="33" spans="1:12" x14ac:dyDescent="0.3">
      <c r="A33" s="1">
        <v>19</v>
      </c>
      <c r="B33" s="12">
        <f t="shared" si="0"/>
        <v>-0.44999999999999996</v>
      </c>
      <c r="C33" s="12">
        <f t="shared" si="1"/>
        <v>14.526537244444443</v>
      </c>
      <c r="D33" s="12">
        <f t="shared" si="2"/>
        <v>14.526537244444443</v>
      </c>
      <c r="E33" s="12">
        <f t="shared" si="3"/>
        <v>54.474514666666657</v>
      </c>
      <c r="F33" s="12">
        <f t="shared" si="4"/>
        <v>14.625</v>
      </c>
      <c r="G33" s="12">
        <f t="shared" si="5"/>
        <v>39.849514666666657</v>
      </c>
      <c r="H33" s="12">
        <f t="shared" si="8"/>
        <v>0</v>
      </c>
      <c r="I33" s="12">
        <f t="shared" si="9"/>
        <v>56.96345920000001</v>
      </c>
      <c r="J33" s="12">
        <f t="shared" si="10"/>
        <v>40.628599080000001</v>
      </c>
      <c r="K33" s="1" t="str">
        <f t="shared" si="6"/>
        <v>No</v>
      </c>
      <c r="L33" s="1" t="str">
        <f t="shared" si="7"/>
        <v/>
      </c>
    </row>
    <row r="34" spans="1:12" x14ac:dyDescent="0.3">
      <c r="A34" s="1">
        <v>20</v>
      </c>
      <c r="B34" s="12">
        <f t="shared" si="0"/>
        <v>-0.375</v>
      </c>
      <c r="C34" s="12">
        <f t="shared" si="1"/>
        <v>14.523032888888888</v>
      </c>
      <c r="D34" s="12">
        <f t="shared" si="2"/>
        <v>14.523032888888888</v>
      </c>
      <c r="E34" s="12">
        <f t="shared" si="3"/>
        <v>54.461373333333334</v>
      </c>
      <c r="F34" s="12">
        <f t="shared" si="4"/>
        <v>14.625</v>
      </c>
      <c r="G34" s="12">
        <f t="shared" si="5"/>
        <v>39.836373333333334</v>
      </c>
      <c r="H34" s="12">
        <f t="shared" si="8"/>
        <v>0</v>
      </c>
      <c r="I34" s="12">
        <f t="shared" si="9"/>
        <v>59.95168000000001</v>
      </c>
      <c r="J34" s="12">
        <f t="shared" si="10"/>
        <v>45.012916799999999</v>
      </c>
      <c r="K34" s="1" t="str">
        <f t="shared" si="6"/>
        <v>No</v>
      </c>
      <c r="L34" s="1" t="str">
        <f t="shared" si="7"/>
        <v/>
      </c>
    </row>
    <row r="35" spans="1:12" x14ac:dyDescent="0.3">
      <c r="A35" s="1">
        <v>21</v>
      </c>
      <c r="B35" s="12">
        <f t="shared" si="0"/>
        <v>-0.30000000000000004</v>
      </c>
      <c r="C35" s="12">
        <f t="shared" si="1"/>
        <v>14.519528533333332</v>
      </c>
      <c r="D35" s="12">
        <f t="shared" si="2"/>
        <v>14.519528533333332</v>
      </c>
      <c r="E35" s="12">
        <f t="shared" si="3"/>
        <v>54.448231999999997</v>
      </c>
      <c r="F35" s="12">
        <f t="shared" si="4"/>
        <v>14.625</v>
      </c>
      <c r="G35" s="12">
        <f t="shared" si="5"/>
        <v>39.823231999999997</v>
      </c>
      <c r="H35" s="12">
        <f t="shared" si="8"/>
        <v>0</v>
      </c>
      <c r="I35" s="12">
        <f t="shared" si="9"/>
        <v>62.938915200000011</v>
      </c>
      <c r="J35" s="12">
        <f t="shared" si="10"/>
        <v>49.621314119999994</v>
      </c>
      <c r="K35" s="1" t="str">
        <f t="shared" si="6"/>
        <v>No</v>
      </c>
      <c r="L35" s="1" t="str">
        <f t="shared" si="7"/>
        <v/>
      </c>
    </row>
    <row r="36" spans="1:12" x14ac:dyDescent="0.3">
      <c r="A36" s="1">
        <v>22</v>
      </c>
      <c r="B36" s="12">
        <f t="shared" si="0"/>
        <v>-0.22500000000000009</v>
      </c>
      <c r="C36" s="12">
        <f t="shared" si="1"/>
        <v>14.516024177777776</v>
      </c>
      <c r="D36" s="12">
        <f t="shared" si="2"/>
        <v>14.516024177777776</v>
      </c>
      <c r="E36" s="12">
        <f t="shared" si="3"/>
        <v>54.43509066666666</v>
      </c>
      <c r="F36" s="12">
        <f t="shared" si="4"/>
        <v>14.625</v>
      </c>
      <c r="G36" s="12">
        <f t="shared" si="5"/>
        <v>39.81009066666666</v>
      </c>
      <c r="H36" s="12">
        <f t="shared" si="8"/>
        <v>0</v>
      </c>
      <c r="I36" s="12">
        <f t="shared" si="9"/>
        <v>65.925164800000005</v>
      </c>
      <c r="J36" s="12">
        <f t="shared" si="10"/>
        <v>54.453717119999993</v>
      </c>
      <c r="K36" s="1" t="str">
        <f t="shared" si="6"/>
        <v>No</v>
      </c>
      <c r="L36" s="1" t="str">
        <f t="shared" si="7"/>
        <v/>
      </c>
    </row>
    <row r="37" spans="1:12" x14ac:dyDescent="0.3">
      <c r="A37" s="1">
        <v>23</v>
      </c>
      <c r="B37" s="12">
        <f t="shared" si="0"/>
        <v>-0.14999999999999991</v>
      </c>
      <c r="C37" s="12">
        <f t="shared" si="1"/>
        <v>14.51251982222222</v>
      </c>
      <c r="D37" s="12">
        <f t="shared" si="2"/>
        <v>14.51251982222222</v>
      </c>
      <c r="E37" s="12">
        <f t="shared" si="3"/>
        <v>54.421949333333323</v>
      </c>
      <c r="F37" s="12">
        <f t="shared" si="4"/>
        <v>14.625</v>
      </c>
      <c r="G37" s="12">
        <f t="shared" si="5"/>
        <v>39.796949333333323</v>
      </c>
      <c r="H37" s="12">
        <f t="shared" si="8"/>
        <v>18.642500000000034</v>
      </c>
      <c r="I37" s="12">
        <f t="shared" si="9"/>
        <v>50.267928799999972</v>
      </c>
      <c r="J37" s="12">
        <f t="shared" si="10"/>
        <v>58.810958130000003</v>
      </c>
      <c r="K37" s="1" t="str">
        <f t="shared" si="6"/>
        <v>Si</v>
      </c>
      <c r="L37" s="1" t="str">
        <f t="shared" si="7"/>
        <v/>
      </c>
    </row>
    <row r="38" spans="1:12" x14ac:dyDescent="0.3">
      <c r="A38" s="1">
        <v>24</v>
      </c>
      <c r="B38" s="12">
        <f t="shared" si="0"/>
        <v>-7.4999999999999956E-2</v>
      </c>
      <c r="C38" s="12">
        <f t="shared" si="1"/>
        <v>14.509015466666666</v>
      </c>
      <c r="D38" s="12">
        <f t="shared" si="2"/>
        <v>14.509015466666666</v>
      </c>
      <c r="E38" s="12">
        <f t="shared" si="3"/>
        <v>54.408808000000001</v>
      </c>
      <c r="F38" s="12">
        <f t="shared" si="4"/>
        <v>14.625</v>
      </c>
      <c r="G38" s="12">
        <f t="shared" si="5"/>
        <v>39.783808000000001</v>
      </c>
      <c r="H38" s="12">
        <f t="shared" si="8"/>
        <v>27.96374999999998</v>
      </c>
      <c r="I38" s="12">
        <f t="shared" si="9"/>
        <v>25.288457199999993</v>
      </c>
      <c r="J38" s="12">
        <f t="shared" si="10"/>
        <v>61.644322604999999</v>
      </c>
      <c r="K38" s="1" t="str">
        <f t="shared" si="6"/>
        <v>Si</v>
      </c>
      <c r="L38" s="1" t="str">
        <f t="shared" si="7"/>
        <v/>
      </c>
    </row>
    <row r="39" spans="1:12" x14ac:dyDescent="0.3">
      <c r="A39" s="1">
        <v>25</v>
      </c>
      <c r="B39" s="12">
        <f t="shared" si="0"/>
        <v>0</v>
      </c>
      <c r="C39" s="12">
        <f t="shared" si="1"/>
        <v>14.50551111111111</v>
      </c>
      <c r="D39" s="12">
        <f t="shared" si="2"/>
        <v>14.50551111111111</v>
      </c>
      <c r="E39" s="12">
        <f t="shared" si="3"/>
        <v>54.395666666666664</v>
      </c>
      <c r="F39" s="12">
        <f t="shared" si="4"/>
        <v>14.625</v>
      </c>
      <c r="G39" s="12">
        <f t="shared" si="5"/>
        <v>39.770666666666664</v>
      </c>
      <c r="H39" s="12">
        <f t="shared" si="8"/>
        <v>27.96374999999998</v>
      </c>
      <c r="I39" s="12">
        <f t="shared" si="9"/>
        <v>0.30800000000001049</v>
      </c>
      <c r="J39" s="12">
        <f t="shared" si="10"/>
        <v>62.604189749999996</v>
      </c>
      <c r="K39" s="1" t="str">
        <f t="shared" si="6"/>
        <v>Si</v>
      </c>
      <c r="L39" s="1" t="str">
        <f t="shared" si="7"/>
        <v/>
      </c>
    </row>
    <row r="40" spans="1:12" x14ac:dyDescent="0.3">
      <c r="A40" s="1">
        <v>26</v>
      </c>
      <c r="B40" s="12">
        <f t="shared" si="0"/>
        <v>7.4999999999999956E-2</v>
      </c>
      <c r="C40" s="12">
        <f t="shared" si="1"/>
        <v>14.502006755555554</v>
      </c>
      <c r="D40" s="12">
        <f t="shared" si="2"/>
        <v>14.502006755555554</v>
      </c>
      <c r="E40" s="12">
        <f t="shared" si="3"/>
        <v>54.382525333333327</v>
      </c>
      <c r="F40" s="12">
        <f t="shared" si="4"/>
        <v>14.625</v>
      </c>
      <c r="G40" s="12">
        <f t="shared" si="5"/>
        <v>39.757525333333327</v>
      </c>
      <c r="H40" s="12">
        <f t="shared" si="8"/>
        <v>27.96374999999998</v>
      </c>
      <c r="I40" s="12">
        <f t="shared" si="9"/>
        <v>-24.673442799999972</v>
      </c>
      <c r="J40" s="12">
        <f t="shared" si="10"/>
        <v>61.690485644999995</v>
      </c>
      <c r="K40" s="1" t="str">
        <f t="shared" si="6"/>
        <v>Si</v>
      </c>
      <c r="L40" s="1" t="str">
        <f t="shared" si="7"/>
        <v/>
      </c>
    </row>
    <row r="41" spans="1:12" x14ac:dyDescent="0.3">
      <c r="A41" s="1">
        <v>27</v>
      </c>
      <c r="B41" s="12">
        <f t="shared" si="0"/>
        <v>0.14999999999999991</v>
      </c>
      <c r="C41" s="12">
        <f t="shared" si="1"/>
        <v>14.4985024</v>
      </c>
      <c r="D41" s="12">
        <f t="shared" si="2"/>
        <v>14.4985024</v>
      </c>
      <c r="E41" s="12">
        <f t="shared" si="3"/>
        <v>54.369383999999997</v>
      </c>
      <c r="F41" s="12">
        <f t="shared" si="4"/>
        <v>14.625</v>
      </c>
      <c r="G41" s="12">
        <f t="shared" si="5"/>
        <v>39.744383999999997</v>
      </c>
      <c r="H41" s="12">
        <f t="shared" si="8"/>
        <v>27.96374999999998</v>
      </c>
      <c r="I41" s="12">
        <f t="shared" si="9"/>
        <v>-49.65587119999995</v>
      </c>
      <c r="J41" s="12">
        <f t="shared" si="10"/>
        <v>58.903136369999999</v>
      </c>
      <c r="K41" s="1" t="str">
        <f t="shared" si="6"/>
        <v>Si</v>
      </c>
      <c r="L41" s="1" t="str">
        <f t="shared" si="7"/>
        <v/>
      </c>
    </row>
    <row r="42" spans="1:12" x14ac:dyDescent="0.3">
      <c r="A42" s="1">
        <v>28</v>
      </c>
      <c r="B42" s="12">
        <f t="shared" si="0"/>
        <v>0.22500000000000009</v>
      </c>
      <c r="C42" s="12">
        <f t="shared" si="1"/>
        <v>14.494998044444444</v>
      </c>
      <c r="D42" s="12">
        <f t="shared" si="2"/>
        <v>14.494998044444444</v>
      </c>
      <c r="E42" s="12">
        <f t="shared" si="3"/>
        <v>54.35624266666666</v>
      </c>
      <c r="F42" s="12">
        <f t="shared" si="4"/>
        <v>14.625</v>
      </c>
      <c r="G42" s="12">
        <f t="shared" si="5"/>
        <v>39.73124266666666</v>
      </c>
      <c r="H42" s="12">
        <f t="shared" si="8"/>
        <v>18.642500000000034</v>
      </c>
      <c r="I42" s="12">
        <f t="shared" si="9"/>
        <v>-65.318035199999969</v>
      </c>
      <c r="J42" s="12">
        <f t="shared" si="10"/>
        <v>54.591614879999995</v>
      </c>
      <c r="K42" s="1" t="str">
        <f t="shared" si="6"/>
        <v>No</v>
      </c>
      <c r="L42" s="1" t="str">
        <f t="shared" si="7"/>
        <v/>
      </c>
    </row>
    <row r="43" spans="1:12" x14ac:dyDescent="0.3">
      <c r="A43" s="1">
        <v>29</v>
      </c>
      <c r="B43" s="12">
        <f t="shared" si="0"/>
        <v>0.29999999999999982</v>
      </c>
      <c r="C43" s="12">
        <f t="shared" si="1"/>
        <v>14.491493688888887</v>
      </c>
      <c r="D43" s="12">
        <f t="shared" si="2"/>
        <v>14.491493688888887</v>
      </c>
      <c r="E43" s="12">
        <f t="shared" si="3"/>
        <v>54.34310133333333</v>
      </c>
      <c r="F43" s="12">
        <f t="shared" si="4"/>
        <v>14.625</v>
      </c>
      <c r="G43" s="12">
        <f t="shared" si="5"/>
        <v>39.71810133333333</v>
      </c>
      <c r="H43" s="12">
        <f t="shared" si="8"/>
        <v>0</v>
      </c>
      <c r="I43" s="12">
        <f t="shared" si="9"/>
        <v>-62.338684799999982</v>
      </c>
      <c r="J43" s="12">
        <f t="shared" si="10"/>
        <v>49.804487880000011</v>
      </c>
      <c r="K43" s="1" t="str">
        <f t="shared" si="6"/>
        <v>No</v>
      </c>
      <c r="L43" s="1" t="str">
        <f t="shared" si="7"/>
        <v/>
      </c>
    </row>
    <row r="44" spans="1:12" x14ac:dyDescent="0.3">
      <c r="A44" s="1">
        <v>30</v>
      </c>
      <c r="B44" s="12">
        <f t="shared" si="0"/>
        <v>0.375</v>
      </c>
      <c r="C44" s="12">
        <f t="shared" si="1"/>
        <v>14.487989333333331</v>
      </c>
      <c r="D44" s="12">
        <f t="shared" si="2"/>
        <v>14.487989333333331</v>
      </c>
      <c r="E44" s="12">
        <f t="shared" si="3"/>
        <v>54.329959999999993</v>
      </c>
      <c r="F44" s="12">
        <f t="shared" si="4"/>
        <v>14.625</v>
      </c>
      <c r="G44" s="12">
        <f t="shared" si="5"/>
        <v>39.704959999999993</v>
      </c>
      <c r="H44" s="12">
        <f t="shared" si="8"/>
        <v>0</v>
      </c>
      <c r="I44" s="12">
        <f t="shared" si="9"/>
        <v>-59.360319999999973</v>
      </c>
      <c r="J44" s="12">
        <f t="shared" si="10"/>
        <v>45.240775200000002</v>
      </c>
      <c r="K44" s="1" t="str">
        <f t="shared" si="6"/>
        <v>No</v>
      </c>
      <c r="L44" s="1" t="str">
        <f t="shared" si="7"/>
        <v/>
      </c>
    </row>
    <row r="45" spans="1:12" x14ac:dyDescent="0.3">
      <c r="A45" s="1">
        <v>31</v>
      </c>
      <c r="B45" s="12">
        <f t="shared" si="0"/>
        <v>0.45000000000000018</v>
      </c>
      <c r="C45" s="12">
        <f t="shared" si="1"/>
        <v>14.484484977777777</v>
      </c>
      <c r="D45" s="12">
        <f t="shared" si="2"/>
        <v>14.484484977777777</v>
      </c>
      <c r="E45" s="12">
        <f t="shared" si="3"/>
        <v>54.316818666666663</v>
      </c>
      <c r="F45" s="12">
        <f t="shared" si="4"/>
        <v>14.625</v>
      </c>
      <c r="G45" s="12">
        <f t="shared" si="5"/>
        <v>39.691818666666663</v>
      </c>
      <c r="H45" s="12">
        <f t="shared" si="8"/>
        <v>0</v>
      </c>
      <c r="I45" s="12">
        <f t="shared" si="9"/>
        <v>-56.382940799999965</v>
      </c>
      <c r="J45" s="12">
        <f t="shared" si="10"/>
        <v>40.900402919999991</v>
      </c>
      <c r="K45" s="1" t="str">
        <f t="shared" si="6"/>
        <v>No</v>
      </c>
      <c r="L45" s="1" t="str">
        <f t="shared" si="7"/>
        <v/>
      </c>
    </row>
    <row r="46" spans="1:12" x14ac:dyDescent="0.3">
      <c r="A46" s="1">
        <v>32</v>
      </c>
      <c r="B46" s="12">
        <f t="shared" ref="B46:B64" si="11">-inp_by/2+A46*inp_by/inp_n_div_y</f>
        <v>0.52499999999999991</v>
      </c>
      <c r="C46" s="12">
        <f t="shared" ref="C46:C64" si="12">res_u_p_tot/geo_area+res_u_mx_tot/geo_ix*B46</f>
        <v>14.480980622222221</v>
      </c>
      <c r="D46" s="12">
        <f t="shared" ref="D46:D64" si="13">MAX(0,C46)</f>
        <v>14.480980622222221</v>
      </c>
      <c r="E46" s="12">
        <f t="shared" ref="E46:E64" si="14">inp_bx*D46</f>
        <v>54.303677333333326</v>
      </c>
      <c r="F46" s="12">
        <f t="shared" ref="F46:F64" si="15">geo_w_total/inp_by</f>
        <v>14.625</v>
      </c>
      <c r="G46" s="12">
        <f t="shared" ref="G46:G64" si="16">E46-F46</f>
        <v>39.678677333333326</v>
      </c>
      <c r="H46" s="12">
        <f t="shared" si="8"/>
        <v>0</v>
      </c>
      <c r="I46" s="12">
        <f t="shared" si="9"/>
        <v>-53.406547199999977</v>
      </c>
      <c r="J46" s="12">
        <f t="shared" si="10"/>
        <v>36.783297120000007</v>
      </c>
      <c r="K46" s="1" t="str">
        <f t="shared" ref="K46:K64" si="17">IF(AND(B46&gt;=inp_yc-inp_cy/2,B46&lt;=inp_yc+inp_cy/2),"Si","No")</f>
        <v>No</v>
      </c>
      <c r="L46" s="1" t="str">
        <f t="shared" ref="L46:L64" si="18">IF(D46=0,"Presion corregida por levantamiento","")</f>
        <v/>
      </c>
    </row>
    <row r="47" spans="1:12" x14ac:dyDescent="0.3">
      <c r="A47" s="1">
        <v>33</v>
      </c>
      <c r="B47" s="12">
        <f t="shared" si="11"/>
        <v>0.60000000000000009</v>
      </c>
      <c r="C47" s="12">
        <f t="shared" si="12"/>
        <v>14.477476266666665</v>
      </c>
      <c r="D47" s="12">
        <f t="shared" si="13"/>
        <v>14.477476266666665</v>
      </c>
      <c r="E47" s="12">
        <f t="shared" si="14"/>
        <v>54.290535999999996</v>
      </c>
      <c r="F47" s="12">
        <f t="shared" si="15"/>
        <v>14.625</v>
      </c>
      <c r="G47" s="12">
        <f t="shared" si="16"/>
        <v>39.665535999999996</v>
      </c>
      <c r="H47" s="12">
        <f t="shared" ref="H47:H64" si="19">ult_p*MAX(0,MIN(B47,inp_yc+inp_cy/2)-MAX(B46,inp_yc-inp_cy/2))/inp_cy</f>
        <v>0</v>
      </c>
      <c r="I47" s="12">
        <f t="shared" ref="I47:I64" si="20">I46+((G46+G47)/2)*(B47-B46)-H47</f>
        <v>-50.431139199999969</v>
      </c>
      <c r="J47" s="12">
        <f t="shared" ref="J47:J64" si="21">J46+((I46+I47)/2)*(B47-B46)</f>
        <v>32.889383879999997</v>
      </c>
      <c r="K47" s="1" t="str">
        <f t="shared" si="17"/>
        <v>No</v>
      </c>
      <c r="L47" s="1" t="str">
        <f t="shared" si="18"/>
        <v/>
      </c>
    </row>
    <row r="48" spans="1:12" x14ac:dyDescent="0.3">
      <c r="A48" s="1">
        <v>34</v>
      </c>
      <c r="B48" s="12">
        <f t="shared" si="11"/>
        <v>0.67499999999999982</v>
      </c>
      <c r="C48" s="12">
        <f t="shared" si="12"/>
        <v>14.473971911111111</v>
      </c>
      <c r="D48" s="12">
        <f t="shared" si="13"/>
        <v>14.473971911111111</v>
      </c>
      <c r="E48" s="12">
        <f t="shared" si="14"/>
        <v>54.277394666666666</v>
      </c>
      <c r="F48" s="12">
        <f t="shared" si="15"/>
        <v>14.625</v>
      </c>
      <c r="G48" s="12">
        <f t="shared" si="16"/>
        <v>39.652394666666666</v>
      </c>
      <c r="H48" s="12">
        <f t="shared" si="19"/>
        <v>0</v>
      </c>
      <c r="I48" s="12">
        <f t="shared" si="20"/>
        <v>-47.456716799999981</v>
      </c>
      <c r="J48" s="12">
        <f t="shared" si="21"/>
        <v>29.21858928000001</v>
      </c>
      <c r="K48" s="1" t="str">
        <f t="shared" si="17"/>
        <v>No</v>
      </c>
      <c r="L48" s="1" t="str">
        <f t="shared" si="18"/>
        <v/>
      </c>
    </row>
    <row r="49" spans="1:12" x14ac:dyDescent="0.3">
      <c r="A49" s="1">
        <v>35</v>
      </c>
      <c r="B49" s="12">
        <f t="shared" si="11"/>
        <v>0.75</v>
      </c>
      <c r="C49" s="12">
        <f t="shared" si="12"/>
        <v>14.470467555555555</v>
      </c>
      <c r="D49" s="12">
        <f t="shared" si="13"/>
        <v>14.470467555555555</v>
      </c>
      <c r="E49" s="12">
        <f t="shared" si="14"/>
        <v>54.264253333333329</v>
      </c>
      <c r="F49" s="12">
        <f t="shared" si="15"/>
        <v>14.625</v>
      </c>
      <c r="G49" s="12">
        <f t="shared" si="16"/>
        <v>39.639253333333329</v>
      </c>
      <c r="H49" s="12">
        <f t="shared" si="19"/>
        <v>0</v>
      </c>
      <c r="I49" s="12">
        <f t="shared" si="20"/>
        <v>-44.483279999999972</v>
      </c>
      <c r="J49" s="12">
        <f t="shared" si="21"/>
        <v>25.770839400000003</v>
      </c>
      <c r="K49" s="1" t="str">
        <f t="shared" si="17"/>
        <v>No</v>
      </c>
      <c r="L49" s="1" t="str">
        <f t="shared" si="18"/>
        <v/>
      </c>
    </row>
    <row r="50" spans="1:12" x14ac:dyDescent="0.3">
      <c r="A50" s="1">
        <v>36</v>
      </c>
      <c r="B50" s="12">
        <f t="shared" si="11"/>
        <v>0.82500000000000018</v>
      </c>
      <c r="C50" s="12">
        <f t="shared" si="12"/>
        <v>14.466963199999999</v>
      </c>
      <c r="D50" s="12">
        <f t="shared" si="13"/>
        <v>14.466963199999999</v>
      </c>
      <c r="E50" s="12">
        <f t="shared" si="14"/>
        <v>54.251111999999992</v>
      </c>
      <c r="F50" s="12">
        <f t="shared" si="15"/>
        <v>14.625</v>
      </c>
      <c r="G50" s="12">
        <f t="shared" si="16"/>
        <v>39.626111999999992</v>
      </c>
      <c r="H50" s="12">
        <f t="shared" si="19"/>
        <v>0</v>
      </c>
      <c r="I50" s="12">
        <f t="shared" si="20"/>
        <v>-41.510828799999963</v>
      </c>
      <c r="J50" s="12">
        <f t="shared" si="21"/>
        <v>22.546060319999999</v>
      </c>
      <c r="K50" s="1" t="str">
        <f t="shared" si="17"/>
        <v>No</v>
      </c>
      <c r="L50" s="1" t="str">
        <f t="shared" si="18"/>
        <v/>
      </c>
    </row>
    <row r="51" spans="1:12" x14ac:dyDescent="0.3">
      <c r="A51" s="1">
        <v>37</v>
      </c>
      <c r="B51" s="12">
        <f t="shared" si="11"/>
        <v>0.89999999999999991</v>
      </c>
      <c r="C51" s="12">
        <f t="shared" si="12"/>
        <v>14.463458844444443</v>
      </c>
      <c r="D51" s="12">
        <f t="shared" si="13"/>
        <v>14.463458844444443</v>
      </c>
      <c r="E51" s="12">
        <f t="shared" si="14"/>
        <v>54.237970666666662</v>
      </c>
      <c r="F51" s="12">
        <f t="shared" si="15"/>
        <v>14.625</v>
      </c>
      <c r="G51" s="12">
        <f t="shared" si="16"/>
        <v>39.612970666666662</v>
      </c>
      <c r="H51" s="12">
        <f t="shared" si="19"/>
        <v>0</v>
      </c>
      <c r="I51" s="12">
        <f t="shared" si="20"/>
        <v>-38.539363199999976</v>
      </c>
      <c r="J51" s="12">
        <f t="shared" si="21"/>
        <v>19.544178120000012</v>
      </c>
      <c r="K51" s="1" t="str">
        <f t="shared" si="17"/>
        <v>No</v>
      </c>
      <c r="L51" s="1" t="str">
        <f t="shared" si="18"/>
        <v/>
      </c>
    </row>
    <row r="52" spans="1:12" x14ac:dyDescent="0.3">
      <c r="A52" s="1">
        <v>38</v>
      </c>
      <c r="B52" s="12">
        <f t="shared" si="11"/>
        <v>0.97500000000000009</v>
      </c>
      <c r="C52" s="12">
        <f t="shared" si="12"/>
        <v>14.459954488888888</v>
      </c>
      <c r="D52" s="12">
        <f t="shared" si="13"/>
        <v>14.459954488888888</v>
      </c>
      <c r="E52" s="12">
        <f t="shared" si="14"/>
        <v>54.224829333333332</v>
      </c>
      <c r="F52" s="12">
        <f t="shared" si="15"/>
        <v>14.625</v>
      </c>
      <c r="G52" s="12">
        <f t="shared" si="16"/>
        <v>39.599829333333332</v>
      </c>
      <c r="H52" s="12">
        <f t="shared" si="19"/>
        <v>0</v>
      </c>
      <c r="I52" s="12">
        <f t="shared" si="20"/>
        <v>-35.568883199999966</v>
      </c>
      <c r="J52" s="12">
        <f t="shared" si="21"/>
        <v>16.765118880000006</v>
      </c>
      <c r="K52" s="1" t="str">
        <f t="shared" si="17"/>
        <v>No</v>
      </c>
      <c r="L52" s="1" t="str">
        <f t="shared" si="18"/>
        <v/>
      </c>
    </row>
    <row r="53" spans="1:12" x14ac:dyDescent="0.3">
      <c r="A53" s="1">
        <v>39</v>
      </c>
      <c r="B53" s="12">
        <f t="shared" si="11"/>
        <v>1.0499999999999998</v>
      </c>
      <c r="C53" s="12">
        <f t="shared" si="12"/>
        <v>14.456450133333332</v>
      </c>
      <c r="D53" s="12">
        <f t="shared" si="13"/>
        <v>14.456450133333332</v>
      </c>
      <c r="E53" s="12">
        <f t="shared" si="14"/>
        <v>54.211687999999995</v>
      </c>
      <c r="F53" s="12">
        <f t="shared" si="15"/>
        <v>14.625</v>
      </c>
      <c r="G53" s="12">
        <f t="shared" si="16"/>
        <v>39.586687999999995</v>
      </c>
      <c r="H53" s="12">
        <f t="shared" si="19"/>
        <v>0</v>
      </c>
      <c r="I53" s="12">
        <f t="shared" si="20"/>
        <v>-32.599388799999979</v>
      </c>
      <c r="J53" s="12">
        <f t="shared" si="21"/>
        <v>14.208808680000018</v>
      </c>
      <c r="K53" s="1" t="str">
        <f t="shared" si="17"/>
        <v>No</v>
      </c>
      <c r="L53" s="1" t="str">
        <f t="shared" si="18"/>
        <v/>
      </c>
    </row>
    <row r="54" spans="1:12" x14ac:dyDescent="0.3">
      <c r="A54" s="1">
        <v>40</v>
      </c>
      <c r="B54" s="12">
        <f t="shared" si="11"/>
        <v>1.125</v>
      </c>
      <c r="C54" s="12">
        <f t="shared" si="12"/>
        <v>14.452945777777776</v>
      </c>
      <c r="D54" s="12">
        <f t="shared" si="13"/>
        <v>14.452945777777776</v>
      </c>
      <c r="E54" s="12">
        <f t="shared" si="14"/>
        <v>54.198546666666658</v>
      </c>
      <c r="F54" s="12">
        <f t="shared" si="15"/>
        <v>14.625</v>
      </c>
      <c r="G54" s="12">
        <f t="shared" si="16"/>
        <v>39.573546666666658</v>
      </c>
      <c r="H54" s="12">
        <f t="shared" si="19"/>
        <v>0</v>
      </c>
      <c r="I54" s="12">
        <f t="shared" si="20"/>
        <v>-29.630879999999973</v>
      </c>
      <c r="J54" s="12">
        <f t="shared" si="21"/>
        <v>11.875173600000014</v>
      </c>
      <c r="K54" s="1" t="str">
        <f t="shared" si="17"/>
        <v>No</v>
      </c>
      <c r="L54" s="1" t="str">
        <f t="shared" si="18"/>
        <v/>
      </c>
    </row>
    <row r="55" spans="1:12" x14ac:dyDescent="0.3">
      <c r="A55" s="1">
        <v>41</v>
      </c>
      <c r="B55" s="12">
        <f t="shared" si="11"/>
        <v>1.2000000000000002</v>
      </c>
      <c r="C55" s="12">
        <f t="shared" si="12"/>
        <v>14.449441422222222</v>
      </c>
      <c r="D55" s="12">
        <f t="shared" si="13"/>
        <v>14.449441422222222</v>
      </c>
      <c r="E55" s="12">
        <f t="shared" si="14"/>
        <v>54.185405333333335</v>
      </c>
      <c r="F55" s="12">
        <f t="shared" si="15"/>
        <v>14.625</v>
      </c>
      <c r="G55" s="12">
        <f t="shared" si="16"/>
        <v>39.560405333333335</v>
      </c>
      <c r="H55" s="12">
        <f t="shared" si="19"/>
        <v>0</v>
      </c>
      <c r="I55" s="12">
        <f t="shared" si="20"/>
        <v>-26.663356799999967</v>
      </c>
      <c r="J55" s="12">
        <f t="shared" si="21"/>
        <v>9.7641397200000117</v>
      </c>
      <c r="K55" s="1" t="str">
        <f t="shared" si="17"/>
        <v>No</v>
      </c>
      <c r="L55" s="1" t="str">
        <f t="shared" si="18"/>
        <v/>
      </c>
    </row>
    <row r="56" spans="1:12" x14ac:dyDescent="0.3">
      <c r="A56" s="1">
        <v>42</v>
      </c>
      <c r="B56" s="12">
        <f t="shared" si="11"/>
        <v>1.2749999999999999</v>
      </c>
      <c r="C56" s="12">
        <f t="shared" si="12"/>
        <v>14.445937066666666</v>
      </c>
      <c r="D56" s="12">
        <f t="shared" si="13"/>
        <v>14.445937066666666</v>
      </c>
      <c r="E56" s="12">
        <f t="shared" si="14"/>
        <v>54.172263999999998</v>
      </c>
      <c r="F56" s="12">
        <f t="shared" si="15"/>
        <v>14.625</v>
      </c>
      <c r="G56" s="12">
        <f t="shared" si="16"/>
        <v>39.547263999999998</v>
      </c>
      <c r="H56" s="12">
        <f t="shared" si="19"/>
        <v>0</v>
      </c>
      <c r="I56" s="12">
        <f t="shared" si="20"/>
        <v>-23.696819199999979</v>
      </c>
      <c r="J56" s="12">
        <f t="shared" si="21"/>
        <v>7.8756331200000202</v>
      </c>
      <c r="K56" s="1" t="str">
        <f t="shared" si="17"/>
        <v>No</v>
      </c>
      <c r="L56" s="1" t="str">
        <f t="shared" si="18"/>
        <v/>
      </c>
    </row>
    <row r="57" spans="1:12" x14ac:dyDescent="0.3">
      <c r="A57" s="1">
        <v>43</v>
      </c>
      <c r="B57" s="12">
        <f t="shared" si="11"/>
        <v>1.35</v>
      </c>
      <c r="C57" s="12">
        <f t="shared" si="12"/>
        <v>14.44243271111111</v>
      </c>
      <c r="D57" s="12">
        <f t="shared" si="13"/>
        <v>14.44243271111111</v>
      </c>
      <c r="E57" s="12">
        <f t="shared" si="14"/>
        <v>54.159122666666661</v>
      </c>
      <c r="F57" s="12">
        <f t="shared" si="15"/>
        <v>14.625</v>
      </c>
      <c r="G57" s="12">
        <f t="shared" si="16"/>
        <v>39.534122666666661</v>
      </c>
      <c r="H57" s="12">
        <f t="shared" si="19"/>
        <v>0</v>
      </c>
      <c r="I57" s="12">
        <f t="shared" si="20"/>
        <v>-20.731267199999973</v>
      </c>
      <c r="J57" s="12">
        <f t="shared" si="21"/>
        <v>6.2095798800000175</v>
      </c>
      <c r="K57" s="1" t="str">
        <f t="shared" si="17"/>
        <v>No</v>
      </c>
      <c r="L57" s="1" t="str">
        <f t="shared" si="18"/>
        <v/>
      </c>
    </row>
    <row r="58" spans="1:12" x14ac:dyDescent="0.3">
      <c r="A58" s="1">
        <v>44</v>
      </c>
      <c r="B58" s="12">
        <f t="shared" si="11"/>
        <v>1.4249999999999998</v>
      </c>
      <c r="C58" s="12">
        <f t="shared" si="12"/>
        <v>14.438928355555554</v>
      </c>
      <c r="D58" s="12">
        <f t="shared" si="13"/>
        <v>14.438928355555554</v>
      </c>
      <c r="E58" s="12">
        <f t="shared" si="14"/>
        <v>54.145981333333324</v>
      </c>
      <c r="F58" s="12">
        <f t="shared" si="15"/>
        <v>14.625</v>
      </c>
      <c r="G58" s="12">
        <f t="shared" si="16"/>
        <v>39.520981333333324</v>
      </c>
      <c r="H58" s="12">
        <f t="shared" si="19"/>
        <v>0</v>
      </c>
      <c r="I58" s="12">
        <f t="shared" si="20"/>
        <v>-17.766700799999985</v>
      </c>
      <c r="J58" s="12">
        <f t="shared" si="21"/>
        <v>4.7659060800000237</v>
      </c>
      <c r="K58" s="1" t="str">
        <f t="shared" si="17"/>
        <v>No</v>
      </c>
      <c r="L58" s="1" t="str">
        <f t="shared" si="18"/>
        <v/>
      </c>
    </row>
    <row r="59" spans="1:12" x14ac:dyDescent="0.3">
      <c r="A59" s="1">
        <v>45</v>
      </c>
      <c r="B59" s="12">
        <f t="shared" si="11"/>
        <v>1.5</v>
      </c>
      <c r="C59" s="12">
        <f t="shared" si="12"/>
        <v>14.435423999999999</v>
      </c>
      <c r="D59" s="12">
        <f t="shared" si="13"/>
        <v>14.435423999999999</v>
      </c>
      <c r="E59" s="12">
        <f t="shared" si="14"/>
        <v>54.132839999999995</v>
      </c>
      <c r="F59" s="12">
        <f t="shared" si="15"/>
        <v>14.625</v>
      </c>
      <c r="G59" s="12">
        <f t="shared" si="16"/>
        <v>39.507839999999995</v>
      </c>
      <c r="H59" s="12">
        <f t="shared" si="19"/>
        <v>0</v>
      </c>
      <c r="I59" s="12">
        <f t="shared" si="20"/>
        <v>-14.803119999999979</v>
      </c>
      <c r="J59" s="12">
        <f t="shared" si="21"/>
        <v>3.5445378000000223</v>
      </c>
      <c r="K59" s="1" t="str">
        <f t="shared" si="17"/>
        <v>No</v>
      </c>
      <c r="L59" s="1" t="str">
        <f t="shared" si="18"/>
        <v/>
      </c>
    </row>
    <row r="60" spans="1:12" x14ac:dyDescent="0.3">
      <c r="A60" s="1">
        <v>46</v>
      </c>
      <c r="B60" s="12">
        <f t="shared" si="11"/>
        <v>1.5750000000000002</v>
      </c>
      <c r="C60" s="12">
        <f t="shared" si="12"/>
        <v>14.431919644444443</v>
      </c>
      <c r="D60" s="12">
        <f t="shared" si="13"/>
        <v>14.431919644444443</v>
      </c>
      <c r="E60" s="12">
        <f t="shared" si="14"/>
        <v>54.119698666666665</v>
      </c>
      <c r="F60" s="12">
        <f t="shared" si="15"/>
        <v>14.625</v>
      </c>
      <c r="G60" s="12">
        <f t="shared" si="16"/>
        <v>39.494698666666665</v>
      </c>
      <c r="H60" s="12">
        <f t="shared" si="19"/>
        <v>0</v>
      </c>
      <c r="I60" s="12">
        <f t="shared" si="20"/>
        <v>-11.840524799999972</v>
      </c>
      <c r="J60" s="12">
        <f t="shared" si="21"/>
        <v>2.5454011200000215</v>
      </c>
      <c r="K60" s="1" t="str">
        <f t="shared" si="17"/>
        <v>No</v>
      </c>
      <c r="L60" s="1" t="str">
        <f t="shared" si="18"/>
        <v/>
      </c>
    </row>
    <row r="61" spans="1:12" x14ac:dyDescent="0.3">
      <c r="A61" s="1">
        <v>47</v>
      </c>
      <c r="B61" s="12">
        <f t="shared" si="11"/>
        <v>1.65</v>
      </c>
      <c r="C61" s="12">
        <f t="shared" si="12"/>
        <v>14.428415288888887</v>
      </c>
      <c r="D61" s="12">
        <f t="shared" si="13"/>
        <v>14.428415288888887</v>
      </c>
      <c r="E61" s="12">
        <f t="shared" si="14"/>
        <v>54.106557333333328</v>
      </c>
      <c r="F61" s="12">
        <f t="shared" si="15"/>
        <v>14.625</v>
      </c>
      <c r="G61" s="12">
        <f t="shared" si="16"/>
        <v>39.481557333333328</v>
      </c>
      <c r="H61" s="12">
        <f t="shared" si="19"/>
        <v>0</v>
      </c>
      <c r="I61" s="12">
        <f t="shared" si="20"/>
        <v>-8.8789151999999838</v>
      </c>
      <c r="J61" s="12">
        <f t="shared" si="21"/>
        <v>1.7684221200000259</v>
      </c>
      <c r="K61" s="1" t="str">
        <f t="shared" si="17"/>
        <v>No</v>
      </c>
      <c r="L61" s="1" t="str">
        <f t="shared" si="18"/>
        <v/>
      </c>
    </row>
    <row r="62" spans="1:12" x14ac:dyDescent="0.3">
      <c r="A62" s="1">
        <v>48</v>
      </c>
      <c r="B62" s="12">
        <f t="shared" si="11"/>
        <v>1.7250000000000001</v>
      </c>
      <c r="C62" s="12">
        <f t="shared" si="12"/>
        <v>14.424910933333333</v>
      </c>
      <c r="D62" s="12">
        <f t="shared" si="13"/>
        <v>14.424910933333333</v>
      </c>
      <c r="E62" s="12">
        <f t="shared" si="14"/>
        <v>54.093415999999998</v>
      </c>
      <c r="F62" s="12">
        <f t="shared" si="15"/>
        <v>14.625</v>
      </c>
      <c r="G62" s="12">
        <f t="shared" si="16"/>
        <v>39.468415999999998</v>
      </c>
      <c r="H62" s="12">
        <f t="shared" si="19"/>
        <v>0</v>
      </c>
      <c r="I62" s="12">
        <f t="shared" si="20"/>
        <v>-5.9182911999999774</v>
      </c>
      <c r="J62" s="12">
        <f t="shared" si="21"/>
        <v>1.2135268800000261</v>
      </c>
      <c r="K62" s="1" t="str">
        <f t="shared" si="17"/>
        <v>No</v>
      </c>
      <c r="L62" s="1" t="str">
        <f t="shared" si="18"/>
        <v/>
      </c>
    </row>
    <row r="63" spans="1:12" x14ac:dyDescent="0.3">
      <c r="A63" s="1">
        <v>49</v>
      </c>
      <c r="B63" s="12">
        <f t="shared" si="11"/>
        <v>1.7999999999999998</v>
      </c>
      <c r="C63" s="12">
        <f t="shared" si="12"/>
        <v>14.421406577777777</v>
      </c>
      <c r="D63" s="12">
        <f t="shared" si="13"/>
        <v>14.421406577777777</v>
      </c>
      <c r="E63" s="12">
        <f t="shared" si="14"/>
        <v>54.080274666666661</v>
      </c>
      <c r="F63" s="12">
        <f t="shared" si="15"/>
        <v>14.625</v>
      </c>
      <c r="G63" s="12">
        <f t="shared" si="16"/>
        <v>39.455274666666661</v>
      </c>
      <c r="H63" s="12">
        <f t="shared" si="19"/>
        <v>0</v>
      </c>
      <c r="I63" s="12">
        <f t="shared" si="20"/>
        <v>-2.9586527999999883</v>
      </c>
      <c r="J63" s="12">
        <f t="shared" si="21"/>
        <v>0.88064148000002851</v>
      </c>
      <c r="K63" s="1" t="str">
        <f t="shared" si="17"/>
        <v>No</v>
      </c>
      <c r="L63" s="1" t="str">
        <f t="shared" si="18"/>
        <v/>
      </c>
    </row>
    <row r="64" spans="1:12" x14ac:dyDescent="0.3">
      <c r="A64" s="1">
        <v>50</v>
      </c>
      <c r="B64" s="12">
        <f t="shared" si="11"/>
        <v>1.875</v>
      </c>
      <c r="C64" s="12">
        <f t="shared" si="12"/>
        <v>14.417902222222221</v>
      </c>
      <c r="D64" s="12">
        <f t="shared" si="13"/>
        <v>14.417902222222221</v>
      </c>
      <c r="E64" s="12">
        <f t="shared" si="14"/>
        <v>54.067133333333331</v>
      </c>
      <c r="F64" s="12">
        <f t="shared" si="15"/>
        <v>14.625</v>
      </c>
      <c r="G64" s="12">
        <f t="shared" si="16"/>
        <v>39.442133333333331</v>
      </c>
      <c r="H64" s="12">
        <f t="shared" si="19"/>
        <v>0</v>
      </c>
      <c r="I64" s="12">
        <f t="shared" si="20"/>
        <v>1.8207657603852567E-14</v>
      </c>
      <c r="J64" s="12">
        <f t="shared" si="21"/>
        <v>0.76969200000002935</v>
      </c>
      <c r="K64" s="1" t="str">
        <f t="shared" si="17"/>
        <v>No</v>
      </c>
      <c r="L64" s="1" t="str">
        <f t="shared" si="18"/>
        <v/>
      </c>
    </row>
  </sheetData>
  <mergeCells count="2">
    <mergeCell ref="A3:F3"/>
    <mergeCell ref="A1:L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9"/>
  <sheetViews>
    <sheetView showGridLines="0" workbookViewId="0">
      <selection activeCell="B14" sqref="B14"/>
    </sheetView>
  </sheetViews>
  <sheetFormatPr baseColWidth="10" defaultColWidth="8.88671875" defaultRowHeight="14.4" x14ac:dyDescent="0.3"/>
  <cols>
    <col min="1" max="1" width="34" customWidth="1"/>
    <col min="2" max="2" width="18" customWidth="1"/>
    <col min="3" max="3" width="14" customWidth="1"/>
    <col min="4" max="4" width="44" customWidth="1"/>
    <col min="5" max="15" width="14" customWidth="1"/>
  </cols>
  <sheetData>
    <row r="1" spans="1:6" ht="25.05" customHeight="1" x14ac:dyDescent="0.3">
      <c r="A1" s="16" t="s">
        <v>298</v>
      </c>
      <c r="B1" s="15"/>
      <c r="C1" s="15"/>
      <c r="D1" s="15"/>
      <c r="E1" s="15"/>
      <c r="F1" s="15"/>
    </row>
    <row r="3" spans="1:6" ht="19.95" customHeight="1" x14ac:dyDescent="0.3">
      <c r="A3" s="14" t="s">
        <v>299</v>
      </c>
      <c r="B3" s="15"/>
      <c r="C3" s="15"/>
      <c r="D3" s="15"/>
      <c r="E3" s="15"/>
      <c r="F3" s="15"/>
    </row>
    <row r="4" spans="1:6" x14ac:dyDescent="0.3">
      <c r="A4" s="1" t="s">
        <v>300</v>
      </c>
      <c r="B4" s="11">
        <f>inp_cx*100</f>
        <v>40</v>
      </c>
      <c r="C4" s="1" t="s">
        <v>54</v>
      </c>
      <c r="D4" s="1" t="s">
        <v>97</v>
      </c>
    </row>
    <row r="5" spans="1:6" x14ac:dyDescent="0.3">
      <c r="A5" s="1" t="s">
        <v>301</v>
      </c>
      <c r="B5" s="11">
        <f>inp_cy*100</f>
        <v>40</v>
      </c>
      <c r="C5" s="1" t="s">
        <v>54</v>
      </c>
      <c r="D5" s="1" t="s">
        <v>99</v>
      </c>
    </row>
    <row r="6" spans="1:6" x14ac:dyDescent="0.3">
      <c r="A6" s="1" t="s">
        <v>302</v>
      </c>
      <c r="B6" s="11">
        <f>INDEX(bar_diam_cm,MATCH(inp_bar_inf_x,bar_codes,0))</f>
        <v>1.27</v>
      </c>
      <c r="C6" s="1" t="s">
        <v>54</v>
      </c>
      <c r="D6" s="1" t="s">
        <v>303</v>
      </c>
    </row>
    <row r="7" spans="1:6" x14ac:dyDescent="0.3">
      <c r="A7" s="1" t="s">
        <v>304</v>
      </c>
      <c r="B7" s="11">
        <f>INDEX(bar_diam_cm,MATCH(inp_bar_inf_y,bar_codes,0))</f>
        <v>1.27</v>
      </c>
      <c r="C7" s="1" t="s">
        <v>54</v>
      </c>
      <c r="D7" s="1" t="s">
        <v>303</v>
      </c>
    </row>
    <row r="8" spans="1:6" x14ac:dyDescent="0.3">
      <c r="A8" s="1" t="s">
        <v>305</v>
      </c>
      <c r="B8" s="11">
        <f>inp_h*100-inp_rec_inf-B6/2</f>
        <v>41.865000000000002</v>
      </c>
      <c r="C8" s="1" t="s">
        <v>54</v>
      </c>
      <c r="D8" s="1" t="s">
        <v>306</v>
      </c>
    </row>
    <row r="9" spans="1:6" x14ac:dyDescent="0.3">
      <c r="A9" s="1" t="s">
        <v>307</v>
      </c>
      <c r="B9" s="11">
        <f>inp_h*100-inp_rec_inf-B7/2</f>
        <v>41.865000000000002</v>
      </c>
      <c r="C9" s="1" t="s">
        <v>54</v>
      </c>
      <c r="D9" s="1" t="s">
        <v>306</v>
      </c>
    </row>
    <row r="10" spans="1:6" x14ac:dyDescent="0.3">
      <c r="A10" s="1" t="s">
        <v>308</v>
      </c>
      <c r="B10" s="11">
        <f>MIN(B8,B9)</f>
        <v>41.865000000000002</v>
      </c>
      <c r="C10" s="1" t="s">
        <v>54</v>
      </c>
      <c r="D10" s="1" t="s">
        <v>309</v>
      </c>
    </row>
    <row r="11" spans="1:6" x14ac:dyDescent="0.3">
      <c r="A11" s="1" t="s">
        <v>310</v>
      </c>
      <c r="B11" s="11">
        <f>2*(B4+B10)+2*(B5+B10)</f>
        <v>327.46000000000004</v>
      </c>
      <c r="C11" s="1" t="s">
        <v>54</v>
      </c>
      <c r="D11" s="1" t="s">
        <v>311</v>
      </c>
    </row>
    <row r="12" spans="1:6" x14ac:dyDescent="0.3">
      <c r="A12" s="1" t="s">
        <v>312</v>
      </c>
      <c r="B12" s="11">
        <f>(inp_cx+B10/100)*(inp_cy+B10/100)</f>
        <v>0.6701878225000002</v>
      </c>
      <c r="C12" s="1" t="s">
        <v>202</v>
      </c>
      <c r="D12" s="1" t="s">
        <v>313</v>
      </c>
    </row>
    <row r="13" spans="1:6" x14ac:dyDescent="0.3">
      <c r="A13" s="1" t="s">
        <v>314</v>
      </c>
      <c r="B13" s="11">
        <f>MAX(0,res_u_p_tot/geo_area+res_u_mx_tot/geo_ix*inp_yc+res_u_my_tot/geo_iy*inp_xc)</f>
        <v>14.50551111111111</v>
      </c>
      <c r="C13" s="1" t="s">
        <v>46</v>
      </c>
      <c r="D13" s="1" t="s">
        <v>315</v>
      </c>
    </row>
    <row r="14" spans="1:6" x14ac:dyDescent="0.3">
      <c r="A14" s="1" t="s">
        <v>316</v>
      </c>
      <c r="B14" s="11">
        <f>MAX(0,ult_p-B13*B12)</f>
        <v>139.41858309419487</v>
      </c>
      <c r="C14" s="1" t="s">
        <v>183</v>
      </c>
      <c r="D14" s="1" t="s">
        <v>317</v>
      </c>
    </row>
    <row r="15" spans="1:6" x14ac:dyDescent="0.3">
      <c r="A15" s="1" t="s">
        <v>318</v>
      </c>
      <c r="B15" s="11">
        <f>0.53*SQRT(inp_fc)*B11*B10/1000</f>
        <v>105.29187754167121</v>
      </c>
      <c r="C15" s="1" t="s">
        <v>183</v>
      </c>
      <c r="D15" s="1" t="s">
        <v>319</v>
      </c>
    </row>
    <row r="16" spans="1:6" x14ac:dyDescent="0.3">
      <c r="A16" s="1" t="s">
        <v>320</v>
      </c>
      <c r="B16" s="11">
        <f>inp_phi_p*B15</f>
        <v>89.498095910420531</v>
      </c>
      <c r="C16" s="1" t="s">
        <v>183</v>
      </c>
      <c r="D16" s="1" t="s">
        <v>321</v>
      </c>
    </row>
    <row r="17" spans="1:4" x14ac:dyDescent="0.3">
      <c r="A17" s="1" t="s">
        <v>322</v>
      </c>
      <c r="B17" s="11">
        <f>IF(B16&gt;0,B14/B16,999)</f>
        <v>1.5577826732061453</v>
      </c>
      <c r="C17" s="1" t="s">
        <v>50</v>
      </c>
      <c r="D17" s="1" t="s">
        <v>323</v>
      </c>
    </row>
    <row r="18" spans="1:4" x14ac:dyDescent="0.3">
      <c r="A18" s="1" t="s">
        <v>324</v>
      </c>
      <c r="B18" s="11" t="str">
        <f>IF(B17&lt;=1,"CUMPLE","NO CUMPLE")</f>
        <v>NO CUMPLE</v>
      </c>
      <c r="C18" s="1" t="s">
        <v>50</v>
      </c>
      <c r="D18" s="1" t="s">
        <v>325</v>
      </c>
    </row>
    <row r="19" spans="1:4" x14ac:dyDescent="0.3">
      <c r="A19" s="1" t="s">
        <v>326</v>
      </c>
      <c r="B19" s="11" t="str">
        <f>IF(geo_min_edge_dist&lt;B10/100,"La distancia de la columna al borde es menor que d; revisar cortante y punzonamiento.","")</f>
        <v/>
      </c>
      <c r="C19" s="1" t="s">
        <v>50</v>
      </c>
      <c r="D19" s="1" t="s">
        <v>327</v>
      </c>
    </row>
  </sheetData>
  <mergeCells count="2">
    <mergeCell ref="A3:F3"/>
    <mergeCell ref="A1:F1"/>
  </mergeCells>
  <conditionalFormatting sqref="B18:B19">
    <cfRule type="expression" dxfId="23" priority="1">
      <formula>ISNUMBER(SEARCH("NO CUMPLE",B18))</formula>
    </cfRule>
    <cfRule type="expression" dxfId="22" priority="2">
      <formula>ISNUMBER(SEARCH("CUMPLE",B18))</formula>
    </cfRule>
    <cfRule type="expression" dxfId="21" priority="3">
      <formula>ISNUMBER(SEARCH("ADVERTENCIA",B18))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3"/>
  <sheetViews>
    <sheetView showGridLines="0" workbookViewId="0">
      <selection activeCell="B20" sqref="B20"/>
    </sheetView>
  </sheetViews>
  <sheetFormatPr baseColWidth="10" defaultColWidth="8.88671875" defaultRowHeight="14.4" x14ac:dyDescent="0.3"/>
  <cols>
    <col min="1" max="1" width="32" customWidth="1"/>
    <col min="2" max="4" width="16" customWidth="1"/>
    <col min="5" max="5" width="18" customWidth="1"/>
    <col min="6" max="6" width="16" customWidth="1"/>
    <col min="7" max="7" width="18" customWidth="1"/>
    <col min="8" max="8" width="24" customWidth="1"/>
    <col min="9" max="15" width="14" customWidth="1"/>
  </cols>
  <sheetData>
    <row r="1" spans="1:8" ht="25.05" customHeight="1" x14ac:dyDescent="0.3">
      <c r="A1" s="16" t="s">
        <v>439</v>
      </c>
      <c r="B1" s="15"/>
      <c r="C1" s="15"/>
      <c r="D1" s="15"/>
      <c r="E1" s="15"/>
      <c r="F1" s="15"/>
      <c r="G1" s="15"/>
      <c r="H1" s="15"/>
    </row>
    <row r="3" spans="1:8" ht="19.95" customHeight="1" x14ac:dyDescent="0.3">
      <c r="A3" s="14" t="s">
        <v>328</v>
      </c>
      <c r="B3" s="15"/>
      <c r="C3" s="15"/>
      <c r="D3" s="15"/>
      <c r="E3" s="15"/>
      <c r="F3" s="15"/>
      <c r="G3" s="15"/>
      <c r="H3" s="15"/>
    </row>
    <row r="4" spans="1:8" x14ac:dyDescent="0.3">
      <c r="A4" s="3" t="s">
        <v>329</v>
      </c>
      <c r="B4" s="3" t="s">
        <v>330</v>
      </c>
      <c r="C4" s="3" t="s">
        <v>331</v>
      </c>
      <c r="D4" s="3" t="s">
        <v>332</v>
      </c>
      <c r="E4" s="3" t="s">
        <v>333</v>
      </c>
      <c r="F4" s="3" t="s">
        <v>334</v>
      </c>
      <c r="G4" s="3" t="s">
        <v>335</v>
      </c>
      <c r="H4" s="3" t="s">
        <v>336</v>
      </c>
    </row>
    <row r="5" spans="1:8" x14ac:dyDescent="0.3">
      <c r="A5" s="1" t="s">
        <v>337</v>
      </c>
      <c r="B5" s="12">
        <f>(inp_xc-inp_cx/2)+inp_bx/2</f>
        <v>1.675</v>
      </c>
      <c r="C5" s="12">
        <f>MAX(0,B5-punz_d_cm/100)</f>
        <v>1.2563500000000001</v>
      </c>
      <c r="D5" s="12">
        <f>(q_u_mx_py+q_u_mx_my)/2</f>
        <v>14.479569777777776</v>
      </c>
      <c r="E5" s="12">
        <f>MAX(0,D5-geo_w_total/geo_area)</f>
        <v>10.579569777777776</v>
      </c>
      <c r="F5" s="12">
        <f>E5*C5</f>
        <v>13.291642490311109</v>
      </c>
      <c r="G5" s="12">
        <f>inp_phi_v*0.53*SQRT(inp_fc)*100*punz_d_cm/1000</f>
        <v>27.331001010938898</v>
      </c>
      <c r="H5" s="12">
        <f>IF(G5&gt;0,F5/G5,999)</f>
        <v>0.48632110053310129</v>
      </c>
    </row>
    <row r="6" spans="1:8" x14ac:dyDescent="0.3">
      <c r="A6" s="1" t="s">
        <v>338</v>
      </c>
      <c r="B6" s="12">
        <f>inp_bx/2-(inp_xc+inp_cx/2)</f>
        <v>1.675</v>
      </c>
      <c r="C6" s="12">
        <f>MAX(0,B6-punz_d_cm/100)</f>
        <v>1.2563500000000001</v>
      </c>
      <c r="D6" s="12">
        <f>(q_u_px_py+q_u_px_my)/2</f>
        <v>14.531452444444444</v>
      </c>
      <c r="E6" s="12">
        <f>MAX(0,D6-geo_w_total/geo_area)</f>
        <v>10.631452444444443</v>
      </c>
      <c r="F6" s="12">
        <f>E6*C6</f>
        <v>13.356825278577777</v>
      </c>
      <c r="G6" s="12">
        <f>inp_phi_v*0.53*SQRT(inp_fc)*100*punz_d_cm/1000</f>
        <v>27.331001010938898</v>
      </c>
      <c r="H6" s="12">
        <f>IF(G6&gt;0,F6/G6,999)</f>
        <v>0.48870604019340058</v>
      </c>
    </row>
    <row r="7" spans="1:8" x14ac:dyDescent="0.3">
      <c r="A7" s="1" t="s">
        <v>339</v>
      </c>
      <c r="B7" s="12">
        <f>(inp_yc-inp_cy/2)+inp_by/2</f>
        <v>1.675</v>
      </c>
      <c r="C7" s="12">
        <f>MAX(0,B7-punz_d_cm/100)</f>
        <v>1.2563500000000001</v>
      </c>
      <c r="D7" s="12">
        <f>(q_u_px_my+q_u_mx_my)/2</f>
        <v>14.593119999999999</v>
      </c>
      <c r="E7" s="12">
        <f>MAX(0,D7-geo_w_total/geo_area)</f>
        <v>10.693119999999999</v>
      </c>
      <c r="F7" s="12">
        <f>E7*C7</f>
        <v>13.434301311999999</v>
      </c>
      <c r="G7" s="12">
        <f>inp_phi_v*0.53*SQRT(inp_fc)*100*punz_d_cm/1000</f>
        <v>27.331001010938898</v>
      </c>
      <c r="H7" s="12">
        <f>IF(G7&gt;0,F7/G7,999)</f>
        <v>0.49154077110542288</v>
      </c>
    </row>
    <row r="8" spans="1:8" x14ac:dyDescent="0.3">
      <c r="A8" s="1" t="s">
        <v>340</v>
      </c>
      <c r="B8" s="12">
        <f>inp_by/2-(inp_yc+inp_cy/2)</f>
        <v>1.675</v>
      </c>
      <c r="C8" s="12">
        <f>MAX(0,B8-punz_d_cm/100)</f>
        <v>1.2563500000000001</v>
      </c>
      <c r="D8" s="12">
        <f>(q_u_px_py+q_u_mx_py)/2</f>
        <v>14.417902222222221</v>
      </c>
      <c r="E8" s="12">
        <f>MAX(0,D8-geo_w_total/geo_area)</f>
        <v>10.51790222222222</v>
      </c>
      <c r="F8" s="12">
        <f>E8*C8</f>
        <v>13.214166456888888</v>
      </c>
      <c r="G8" s="12">
        <f>inp_phi_v*0.53*SQRT(inp_fc)*100*punz_d_cm/1000</f>
        <v>27.331001010938898</v>
      </c>
      <c r="H8" s="12">
        <f>IF(G8&gt;0,F8/G8,999)</f>
        <v>0.48348636962107899</v>
      </c>
    </row>
    <row r="11" spans="1:8" x14ac:dyDescent="0.3">
      <c r="A11" s="1" t="s">
        <v>341</v>
      </c>
      <c r="B11" s="11">
        <f>MAX(F5:F8)</f>
        <v>13.434301311999999</v>
      </c>
    </row>
    <row r="12" spans="1:8" x14ac:dyDescent="0.3">
      <c r="A12" s="1" t="s">
        <v>342</v>
      </c>
      <c r="B12" s="11">
        <f>MAX(H5:H8)</f>
        <v>0.49154077110542288</v>
      </c>
    </row>
    <row r="13" spans="1:8" x14ac:dyDescent="0.3">
      <c r="A13" s="1" t="s">
        <v>324</v>
      </c>
      <c r="B13" s="13" t="str">
        <f>IF(B12&lt;=1,"CUMPLE","NO CUMPLE")</f>
        <v>CUMPLE</v>
      </c>
    </row>
  </sheetData>
  <mergeCells count="2">
    <mergeCell ref="A3:H3"/>
    <mergeCell ref="A1:H1"/>
  </mergeCells>
  <conditionalFormatting sqref="B13">
    <cfRule type="expression" dxfId="20" priority="1">
      <formula>ISNUMBER(SEARCH("NO CUMPLE",B13))</formula>
    </cfRule>
    <cfRule type="expression" dxfId="19" priority="2">
      <formula>ISNUMBER(SEARCH("CUMPLE",B13))</formula>
    </cfRule>
    <cfRule type="expression" dxfId="18" priority="3">
      <formula>ISNUMBER(SEARCH("ADVERTENCIA",B13))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2"/>
  <sheetViews>
    <sheetView showGridLines="0" workbookViewId="0">
      <selection sqref="A1:I1"/>
    </sheetView>
  </sheetViews>
  <sheetFormatPr baseColWidth="10" defaultColWidth="8.88671875" defaultRowHeight="14.4" x14ac:dyDescent="0.3"/>
  <cols>
    <col min="1" max="1" width="28" customWidth="1"/>
    <col min="2" max="3" width="14" customWidth="1"/>
    <col min="4" max="4" width="18" customWidth="1"/>
    <col min="5" max="5" width="14" customWidth="1"/>
    <col min="6" max="8" width="18" customWidth="1"/>
    <col min="9" max="9" width="20" customWidth="1"/>
    <col min="10" max="15" width="14" customWidth="1"/>
  </cols>
  <sheetData>
    <row r="1" spans="1:9" ht="25.05" customHeight="1" x14ac:dyDescent="0.3">
      <c r="A1" s="16" t="s">
        <v>343</v>
      </c>
      <c r="B1" s="15"/>
      <c r="C1" s="15"/>
      <c r="D1" s="15"/>
      <c r="E1" s="15"/>
      <c r="F1" s="15"/>
      <c r="G1" s="15"/>
      <c r="H1" s="15"/>
      <c r="I1" s="15"/>
    </row>
    <row r="4" spans="1:9" x14ac:dyDescent="0.3">
      <c r="A4" s="3" t="s">
        <v>344</v>
      </c>
      <c r="B4" s="3" t="s">
        <v>345</v>
      </c>
      <c r="C4" s="3" t="s">
        <v>346</v>
      </c>
      <c r="D4" s="3" t="s">
        <v>347</v>
      </c>
      <c r="E4" s="3" t="s">
        <v>348</v>
      </c>
      <c r="F4" s="3" t="s">
        <v>349</v>
      </c>
      <c r="G4" s="3" t="s">
        <v>350</v>
      </c>
      <c r="H4" s="3" t="s">
        <v>351</v>
      </c>
      <c r="I4" s="3" t="s">
        <v>324</v>
      </c>
    </row>
    <row r="5" spans="1:9" x14ac:dyDescent="0.3">
      <c r="A5" s="1" t="s">
        <v>352</v>
      </c>
      <c r="B5" s="1" t="s">
        <v>353</v>
      </c>
      <c r="C5" s="1" t="s">
        <v>354</v>
      </c>
      <c r="D5" s="12">
        <f>diagx_m_pos/inp_by</f>
        <v>16.561437159999997</v>
      </c>
      <c r="E5" s="12">
        <f>punz_d_x</f>
        <v>41.865000000000002</v>
      </c>
      <c r="F5" s="12">
        <f>IF(D5&lt;=0,0,IF((inp_fy*E5)^2-4*(inp_fy^2/(2*0.85*inp_fc*100))*(D5*100000/inp_phi_f)&lt;0,999,(inp_fy*E5-SQRT((inp_fy*E5)^2-4*(inp_fy^2/(2*0.85*inp_fc*100))*(D5*100000/inp_phi_f)))/(2*(inp_fy^2/(2*0.85*inp_fc*100)))))</f>
        <v>10.79271732521476</v>
      </c>
      <c r="G5" s="12">
        <f>IF(OR(B5="Inferior",D5&gt;0),inp_rho_min*100*inp_h*100,0)</f>
        <v>9</v>
      </c>
      <c r="H5" s="12">
        <f>IF(F5=999,999,MAX(F5,G5))</f>
        <v>10.79271732521476</v>
      </c>
      <c r="I5" s="1" t="str">
        <f>IF(F5=999,"REVISAR SECCION","VER DETALLADO")</f>
        <v>VER DETALLADO</v>
      </c>
    </row>
    <row r="6" spans="1:9" x14ac:dyDescent="0.3">
      <c r="A6" s="1" t="s">
        <v>355</v>
      </c>
      <c r="B6" s="1" t="s">
        <v>353</v>
      </c>
      <c r="C6" s="1" t="s">
        <v>356</v>
      </c>
      <c r="D6" s="12">
        <f>diagy_m_pos/inp_bx</f>
        <v>16.6944506</v>
      </c>
      <c r="E6" s="12">
        <f>punz_d_y</f>
        <v>41.865000000000002</v>
      </c>
      <c r="F6" s="12">
        <f>IF(D6&lt;=0,0,IF((inp_fy*E6)^2-4*(inp_fy^2/(2*0.85*inp_fc*100))*(D6*100000/inp_phi_f)&lt;0,999,(inp_fy*E6-SQRT((inp_fy*E6)^2-4*(inp_fy^2/(2*0.85*inp_fc*100))*(D6*100000/inp_phi_f)))/(2*(inp_fy^2/(2*0.85*inp_fc*100)))))</f>
        <v>10.882221927387135</v>
      </c>
      <c r="G6" s="12">
        <f>IF(OR(B6="Inferior",D6&gt;0),inp_rho_min*100*inp_h*100,0)</f>
        <v>9</v>
      </c>
      <c r="H6" s="12">
        <f>IF(F6=999,999,MAX(F6,G6))</f>
        <v>10.882221927387135</v>
      </c>
      <c r="I6" s="1" t="str">
        <f>IF(F6=999,"REVISAR SECCION","VER DETALLADO")</f>
        <v>VER DETALLADO</v>
      </c>
    </row>
    <row r="7" spans="1:9" x14ac:dyDescent="0.3">
      <c r="A7" s="1" t="s">
        <v>357</v>
      </c>
      <c r="B7" s="1" t="s">
        <v>358</v>
      </c>
      <c r="C7" s="1" t="s">
        <v>354</v>
      </c>
      <c r="D7" s="12">
        <f>diagx_m_neg/inp_by</f>
        <v>6.0775679999999187E-2</v>
      </c>
      <c r="E7" s="12">
        <f>inp_h*100-inp_rec_sup-INDEX(bar_diam_cm,MATCH(inp_bar_sup_x,bar_codes,0))/2</f>
        <v>41.865000000000002</v>
      </c>
      <c r="F7" s="12">
        <f>IF(D7&lt;=0,0,IF((inp_fy*E7)^2-4*(inp_fy^2/(2*0.85*inp_fc*100))*(D7*100000/inp_phi_f)&lt;0,999,(inp_fy*E7-SQRT((inp_fy*E7)^2-4*(inp_fy^2/(2*0.85*inp_fc*100))*(D7*100000/inp_phi_f)))/(2*(inp_fy^2/(2*0.85*inp_fc*100)))))</f>
        <v>3.8409071583513907E-2</v>
      </c>
      <c r="G7" s="12">
        <f>IF(OR(B7="Inferior",D7&gt;0),inp_rho_min*100*inp_h*100,0)</f>
        <v>9</v>
      </c>
      <c r="H7" s="12">
        <f>IF(F7=999,999,MAX(F7,G7))</f>
        <v>9</v>
      </c>
      <c r="I7" s="1" t="str">
        <f>IF(F7=999,"REVISAR SECCION","VER DETALLADO")</f>
        <v>VER DETALLADO</v>
      </c>
    </row>
    <row r="8" spans="1:9" x14ac:dyDescent="0.3">
      <c r="A8" s="1" t="s">
        <v>359</v>
      </c>
      <c r="B8" s="1" t="s">
        <v>358</v>
      </c>
      <c r="C8" s="1" t="s">
        <v>356</v>
      </c>
      <c r="D8" s="12">
        <f>diagy_m_neg/inp_bx</f>
        <v>0</v>
      </c>
      <c r="E8" s="12">
        <f>inp_h*100-inp_rec_sup-INDEX(bar_diam_cm,MATCH(inp_bar_sup_y,bar_codes,0))/2</f>
        <v>41.865000000000002</v>
      </c>
      <c r="F8" s="12">
        <f>IF(D8&lt;=0,0,IF((inp_fy*E8)^2-4*(inp_fy^2/(2*0.85*inp_fc*100))*(D8*100000/inp_phi_f)&lt;0,999,(inp_fy*E8-SQRT((inp_fy*E8)^2-4*(inp_fy^2/(2*0.85*inp_fc*100))*(D8*100000/inp_phi_f)))/(2*(inp_fy^2/(2*0.85*inp_fc*100)))))</f>
        <v>0</v>
      </c>
      <c r="G8" s="12">
        <f>IF(OR(B8="Inferior",D8&gt;0),inp_rho_min*100*inp_h*100,0)</f>
        <v>0</v>
      </c>
      <c r="H8" s="12">
        <f>IF(F8=999,999,MAX(F8,G8))</f>
        <v>0</v>
      </c>
      <c r="I8" s="1" t="str">
        <f>IF(F8=999,"REVISAR SECCION","VER DETALLADO")</f>
        <v>VER DETALLADO</v>
      </c>
    </row>
    <row r="11" spans="1:9" x14ac:dyDescent="0.3">
      <c r="A11" s="10" t="s">
        <v>171</v>
      </c>
      <c r="B11" s="18" t="s">
        <v>360</v>
      </c>
      <c r="C11" s="18"/>
      <c r="D11" s="18"/>
      <c r="E11" s="18"/>
      <c r="F11" s="18"/>
      <c r="G11" s="18"/>
      <c r="H11" s="18"/>
      <c r="I11" s="18"/>
    </row>
    <row r="12" spans="1:9" ht="26.4" x14ac:dyDescent="0.3">
      <c r="G12" s="1" t="s">
        <v>361</v>
      </c>
      <c r="H12" s="11">
        <f>acero_dc_max</f>
        <v>1.2653746427194343</v>
      </c>
    </row>
  </sheetData>
  <mergeCells count="2">
    <mergeCell ref="A1:I1"/>
    <mergeCell ref="B11:I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3"/>
  <sheetViews>
    <sheetView showGridLines="0" workbookViewId="0">
      <pane ySplit="1644" topLeftCell="A5"/>
      <selection sqref="A1:J1"/>
      <selection pane="bottomLeft" activeCell="A5" sqref="A5"/>
    </sheetView>
  </sheetViews>
  <sheetFormatPr baseColWidth="10" defaultColWidth="8.88671875" defaultRowHeight="14.4" x14ac:dyDescent="0.3"/>
  <cols>
    <col min="1" max="1" width="26" customWidth="1"/>
    <col min="2" max="2" width="16" customWidth="1"/>
    <col min="3" max="3" width="14" customWidth="1"/>
    <col min="4" max="5" width="18" customWidth="1"/>
    <col min="6" max="7" width="16" customWidth="1"/>
    <col min="8" max="8" width="18" customWidth="1"/>
    <col min="9" max="10" width="16" customWidth="1"/>
    <col min="11" max="15" width="14" customWidth="1"/>
  </cols>
  <sheetData>
    <row r="1" spans="1:10" ht="25.05" customHeight="1" x14ac:dyDescent="0.3">
      <c r="A1" s="16" t="s">
        <v>362</v>
      </c>
      <c r="B1" s="15"/>
      <c r="C1" s="15"/>
      <c r="D1" s="15"/>
      <c r="E1" s="15"/>
      <c r="F1" s="15"/>
      <c r="G1" s="15"/>
      <c r="H1" s="15"/>
      <c r="I1" s="15"/>
      <c r="J1" s="15"/>
    </row>
    <row r="4" spans="1:10" x14ac:dyDescent="0.3">
      <c r="A4" s="3" t="s">
        <v>344</v>
      </c>
      <c r="B4" s="3" t="s">
        <v>363</v>
      </c>
      <c r="C4" s="3" t="s">
        <v>364</v>
      </c>
      <c r="D4" s="3" t="s">
        <v>351</v>
      </c>
      <c r="E4" s="3" t="s">
        <v>365</v>
      </c>
      <c r="F4" s="3" t="s">
        <v>366</v>
      </c>
      <c r="G4" s="3" t="s">
        <v>367</v>
      </c>
      <c r="H4" s="3" t="s">
        <v>368</v>
      </c>
      <c r="I4" s="3" t="s">
        <v>369</v>
      </c>
      <c r="J4" s="3" t="s">
        <v>324</v>
      </c>
    </row>
    <row r="5" spans="1:10" x14ac:dyDescent="0.3">
      <c r="A5" s="1" t="s">
        <v>370</v>
      </c>
      <c r="B5" s="1" t="str">
        <f>inp_bar_inf_x</f>
        <v>Ø1/2"</v>
      </c>
      <c r="C5" s="12">
        <f>INDEX(bar_area_cm2,MATCH(B5,bar_codes,0))</f>
        <v>1.29</v>
      </c>
      <c r="D5" s="12">
        <f>flex_as_req_inf_x</f>
        <v>10.79271732521476</v>
      </c>
      <c r="E5" s="12">
        <f>IF(D5&lt;=0,"No requerido",C5*100/D5)</f>
        <v>11.952504277919008</v>
      </c>
      <c r="F5" s="12">
        <f>inp_sep_inf_x</f>
        <v>15</v>
      </c>
      <c r="G5" s="12">
        <f>geo_smax</f>
        <v>40</v>
      </c>
      <c r="H5" s="12">
        <f>IF(D5&lt;=0,0,C5*100/F5)</f>
        <v>8.6</v>
      </c>
      <c r="I5" s="12">
        <f>IF(D5&lt;=0,1,H5/D5)</f>
        <v>0.79683361852793377</v>
      </c>
      <c r="J5" s="1" t="str">
        <f>IF(D5&lt;=0,"CUMPLE",IF(AND(H5&gt;=D5,F5&lt;=G5),"CUMPLE","NO CUMPLE"))</f>
        <v>NO CUMPLE</v>
      </c>
    </row>
    <row r="6" spans="1:10" x14ac:dyDescent="0.3">
      <c r="A6" s="1" t="s">
        <v>371</v>
      </c>
      <c r="B6" s="1" t="str">
        <f>inp_bar_inf_y</f>
        <v>Ø1/2"</v>
      </c>
      <c r="C6" s="12">
        <f>INDEX(bar_area_cm2,MATCH(B6,bar_codes,0))</f>
        <v>1.29</v>
      </c>
      <c r="D6" s="12">
        <f>flex_as_req_inf_y</f>
        <v>10.882221927387135</v>
      </c>
      <c r="E6" s="12">
        <f>IF(D6&lt;=0,"No requerido",C6*100/D6)</f>
        <v>11.85419676797323</v>
      </c>
      <c r="F6" s="12">
        <f>inp_sep_inf_y</f>
        <v>15</v>
      </c>
      <c r="G6" s="12">
        <f>geo_smax</f>
        <v>40</v>
      </c>
      <c r="H6" s="12">
        <f>IF(D6&lt;=0,0,C6*100/F6)</f>
        <v>8.6</v>
      </c>
      <c r="I6" s="12">
        <f>IF(D6&lt;=0,1,H6/D6)</f>
        <v>0.79027978453154868</v>
      </c>
      <c r="J6" s="1" t="str">
        <f>IF(D6&lt;=0,"CUMPLE",IF(AND(H6&gt;=D6,F6&lt;=G6),"CUMPLE","NO CUMPLE"))</f>
        <v>NO CUMPLE</v>
      </c>
    </row>
    <row r="7" spans="1:10" x14ac:dyDescent="0.3">
      <c r="A7" s="1" t="s">
        <v>372</v>
      </c>
      <c r="B7" s="1" t="str">
        <f>inp_bar_sup_x</f>
        <v>Ø1/2"</v>
      </c>
      <c r="C7" s="12">
        <f>INDEX(bar_area_cm2,MATCH(B7,bar_codes,0))</f>
        <v>1.29</v>
      </c>
      <c r="D7" s="12">
        <f>flex_as_req_sup_x</f>
        <v>9</v>
      </c>
      <c r="E7" s="12">
        <f>IF(D7&lt;=0,"No requerido",C7*100/D7)</f>
        <v>14.333333333333334</v>
      </c>
      <c r="F7" s="12">
        <f>inp_sep_sup_x</f>
        <v>15</v>
      </c>
      <c r="G7" s="12">
        <f>geo_smax</f>
        <v>40</v>
      </c>
      <c r="H7" s="12">
        <f>IF(D7&lt;=0,0,C7*100/F7)</f>
        <v>8.6</v>
      </c>
      <c r="I7" s="12">
        <f>IF(D7&lt;=0,1,H7/D7)</f>
        <v>0.95555555555555549</v>
      </c>
      <c r="J7" s="1" t="str">
        <f>IF(D7&lt;=0,"CUMPLE",IF(AND(H7&gt;=D7,F7&lt;=G7),"CUMPLE","NO CUMPLE"))</f>
        <v>NO CUMPLE</v>
      </c>
    </row>
    <row r="8" spans="1:10" x14ac:dyDescent="0.3">
      <c r="A8" s="1" t="s">
        <v>373</v>
      </c>
      <c r="B8" s="1" t="str">
        <f>inp_bar_sup_y</f>
        <v>Ø1/2"</v>
      </c>
      <c r="C8" s="12">
        <f>INDEX(bar_area_cm2,MATCH(B8,bar_codes,0))</f>
        <v>1.29</v>
      </c>
      <c r="D8" s="12">
        <f>flex_as_req_sup_y</f>
        <v>0</v>
      </c>
      <c r="E8" s="12" t="str">
        <f>IF(D8&lt;=0,"No requerido",C8*100/D8)</f>
        <v>No requerido</v>
      </c>
      <c r="F8" s="12">
        <f>inp_sep_sup_y</f>
        <v>15</v>
      </c>
      <c r="G8" s="12">
        <f>geo_smax</f>
        <v>40</v>
      </c>
      <c r="H8" s="12">
        <f>IF(D8&lt;=0,0,C8*100/F8)</f>
        <v>0</v>
      </c>
      <c r="I8" s="12">
        <f>IF(D8&lt;=0,1,H8/D8)</f>
        <v>1</v>
      </c>
      <c r="J8" s="1" t="str">
        <f>IF(D8&lt;=0,"CUMPLE",IF(AND(H8&gt;=D8,F8&lt;=G8),"CUMPLE","NO CUMPLE"))</f>
        <v>CUMPLE</v>
      </c>
    </row>
    <row r="11" spans="1:10" x14ac:dyDescent="0.3">
      <c r="A11" s="1" t="s">
        <v>374</v>
      </c>
      <c r="B11" s="11">
        <f>MAX(IF(H5&gt;0,D5/H5,0),IF(H6&gt;0,D6/H6,0),IF(H7&gt;0,D7/H7,0),IF(H8&gt;0,D8/H8,0))</f>
        <v>1.2653746427194343</v>
      </c>
    </row>
    <row r="12" spans="1:10" x14ac:dyDescent="0.3">
      <c r="A12" s="1" t="s">
        <v>375</v>
      </c>
      <c r="B12" s="13" t="str">
        <f>IF(COUNTIF(J5:J8,"NO CUMPLE")=0,"CUMPLE","NO CUMPLE")</f>
        <v>NO CUMPLE</v>
      </c>
    </row>
    <row r="13" spans="1:10" x14ac:dyDescent="0.3">
      <c r="A13" s="1" t="s">
        <v>376</v>
      </c>
      <c r="B13" s="13" t="str">
        <f>IF(MAX(F5:F8)&lt;=geo_smax,"CUMPLE","NO CUMPLE")</f>
        <v>CUMPLE</v>
      </c>
    </row>
  </sheetData>
  <mergeCells count="1">
    <mergeCell ref="A1:J1"/>
  </mergeCells>
  <conditionalFormatting sqref="J5:J8">
    <cfRule type="expression" dxfId="17" priority="1">
      <formula>ISNUMBER(SEARCH("NO CUMPLE",J5))</formula>
    </cfRule>
    <cfRule type="expression" dxfId="16" priority="2">
      <formula>ISNUMBER(SEARCH("CUMPLE",J5))</formula>
    </cfRule>
    <cfRule type="expression" dxfId="15" priority="3">
      <formula>ISNUMBER(SEARCH("ADVERTENCIA",J5))</formula>
    </cfRule>
  </conditionalFormatting>
  <conditionalFormatting sqref="B12:B13">
    <cfRule type="expression" dxfId="14" priority="4">
      <formula>ISNUMBER(SEARCH("NO CUMPLE",B12))</formula>
    </cfRule>
    <cfRule type="expression" dxfId="13" priority="5">
      <formula>ISNUMBER(SEARCH("CUMPLE",B12))</formula>
    </cfRule>
    <cfRule type="expression" dxfId="12" priority="6">
      <formula>ISNUMBER(SEARCH("ADVERTENCIA",B12))</formula>
    </cfRule>
  </conditionalFormatting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33"/>
  <sheetViews>
    <sheetView showGridLines="0" topLeftCell="A64" workbookViewId="0">
      <selection activeCell="F84" sqref="F84"/>
    </sheetView>
  </sheetViews>
  <sheetFormatPr baseColWidth="10" defaultColWidth="8.88671875" defaultRowHeight="14.4" x14ac:dyDescent="0.3"/>
  <cols>
    <col min="1" max="26" width="13" customWidth="1"/>
  </cols>
  <sheetData>
    <row r="1" spans="1:26" ht="25.05" customHeight="1" x14ac:dyDescent="0.3">
      <c r="A1" s="16" t="s">
        <v>377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3" spans="1:26" x14ac:dyDescent="0.3">
      <c r="A3" s="3" t="s">
        <v>378</v>
      </c>
      <c r="B3" s="3" t="s">
        <v>379</v>
      </c>
      <c r="C3" s="3" t="s">
        <v>380</v>
      </c>
      <c r="D3" s="3" t="s">
        <v>381</v>
      </c>
      <c r="E3" s="3" t="s">
        <v>382</v>
      </c>
      <c r="F3" s="3" t="s">
        <v>383</v>
      </c>
      <c r="G3" s="3" t="s">
        <v>384</v>
      </c>
      <c r="H3" s="3" t="s">
        <v>385</v>
      </c>
      <c r="J3" s="19" t="s">
        <v>386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4" spans="1:26" x14ac:dyDescent="0.3">
      <c r="A4" s="1">
        <f>-inp_bx/2</f>
        <v>-1.875</v>
      </c>
      <c r="B4" s="1">
        <f>-inp_by/2</f>
        <v>-1.875</v>
      </c>
      <c r="C4" s="1">
        <f>inp_xc-inp_cx/2</f>
        <v>-0.2</v>
      </c>
      <c r="D4" s="1">
        <f>inp_yc-inp_cy/2</f>
        <v>-0.2</v>
      </c>
      <c r="E4" s="1">
        <f>res_srv_ex</f>
        <v>9.7934670189746015E-4</v>
      </c>
      <c r="F4" s="1">
        <f>res_srv_ey</f>
        <v>-3.5108776519825668E-3</v>
      </c>
      <c r="G4" s="1">
        <f>res_u_ex</f>
        <v>1.1177360941741685E-3</v>
      </c>
      <c r="H4" s="1">
        <f>res_u_ey</f>
        <v>-3.7748104934829372E-3</v>
      </c>
      <c r="K4">
        <f>-0.5*inp_bx</f>
        <v>-1.875</v>
      </c>
      <c r="L4">
        <f>-0.4*inp_bx</f>
        <v>-1.5</v>
      </c>
      <c r="M4">
        <f>-0.3*inp_bx</f>
        <v>-1.125</v>
      </c>
      <c r="N4">
        <f>-0.2*inp_bx</f>
        <v>-0.75</v>
      </c>
      <c r="O4">
        <f>-0.0999999999999999*inp_bx</f>
        <v>-0.37499999999999961</v>
      </c>
      <c r="P4">
        <f>0*inp_bx</f>
        <v>0</v>
      </c>
      <c r="Q4">
        <f>0.0999999999999999*inp_bx</f>
        <v>0.37499999999999961</v>
      </c>
      <c r="R4">
        <f>0.199999999999999*inp_bx</f>
        <v>0.74999999999999634</v>
      </c>
      <c r="S4">
        <f>0.3*inp_bx</f>
        <v>1.125</v>
      </c>
      <c r="T4">
        <f>0.4*inp_bx</f>
        <v>1.5</v>
      </c>
      <c r="U4">
        <f>0.5*inp_bx</f>
        <v>1.875</v>
      </c>
    </row>
    <row r="5" spans="1:26" x14ac:dyDescent="0.3">
      <c r="A5" s="1">
        <f>inp_bx/2</f>
        <v>1.875</v>
      </c>
      <c r="B5" s="1">
        <f>-inp_by/2</f>
        <v>-1.875</v>
      </c>
      <c r="C5" s="1">
        <f>inp_xc+inp_cx/2</f>
        <v>0.2</v>
      </c>
      <c r="D5" s="1">
        <f>inp_yc-inp_cy/2</f>
        <v>-0.2</v>
      </c>
      <c r="E5" s="1"/>
      <c r="F5" s="1"/>
      <c r="G5" s="1"/>
      <c r="H5" s="1"/>
      <c r="J5">
        <f>-0.5*inp_by</f>
        <v>-1.875</v>
      </c>
      <c r="K5" s="12">
        <f t="shared" ref="K5:U15" si="0">MAX(0,res_srv_p_tot/geo_area+res_srv_mx_tot/geo_ix*$J5+res_srv_my_tot/geo_iy*K$4)</f>
        <v>11.117992533333332</v>
      </c>
      <c r="L5" s="12">
        <f t="shared" si="0"/>
        <v>11.121462755555555</v>
      </c>
      <c r="M5" s="12">
        <f t="shared" si="0"/>
        <v>11.124932977777776</v>
      </c>
      <c r="N5" s="12">
        <f t="shared" si="0"/>
        <v>11.128403199999999</v>
      </c>
      <c r="O5" s="12">
        <f t="shared" si="0"/>
        <v>11.13187342222222</v>
      </c>
      <c r="P5" s="12">
        <f t="shared" si="0"/>
        <v>11.135343644444443</v>
      </c>
      <c r="Q5" s="12">
        <f t="shared" si="0"/>
        <v>11.138813866666666</v>
      </c>
      <c r="R5" s="12">
        <f t="shared" si="0"/>
        <v>11.142284088888887</v>
      </c>
      <c r="S5" s="12">
        <f t="shared" si="0"/>
        <v>11.14575431111111</v>
      </c>
      <c r="T5" s="12">
        <f t="shared" si="0"/>
        <v>11.149224533333332</v>
      </c>
      <c r="U5" s="12">
        <f t="shared" si="0"/>
        <v>11.152694755555554</v>
      </c>
    </row>
    <row r="6" spans="1:26" x14ac:dyDescent="0.3">
      <c r="A6" s="1">
        <f>inp_bx/2</f>
        <v>1.875</v>
      </c>
      <c r="B6" s="1">
        <f>inp_by/2</f>
        <v>1.875</v>
      </c>
      <c r="C6" s="1">
        <f>inp_xc+inp_cx/2</f>
        <v>0.2</v>
      </c>
      <c r="D6" s="1">
        <f>inp_yc+inp_cy/2</f>
        <v>0.2</v>
      </c>
      <c r="E6" s="1"/>
      <c r="F6" s="1"/>
      <c r="G6" s="1"/>
      <c r="H6" s="1"/>
      <c r="J6">
        <f>-0.4*inp_by</f>
        <v>-1.5</v>
      </c>
      <c r="K6" s="12">
        <f t="shared" si="0"/>
        <v>11.105552071111109</v>
      </c>
      <c r="L6" s="12">
        <f t="shared" si="0"/>
        <v>11.109022293333332</v>
      </c>
      <c r="M6" s="12">
        <f t="shared" si="0"/>
        <v>11.112492515555553</v>
      </c>
      <c r="N6" s="12">
        <f t="shared" si="0"/>
        <v>11.115962737777776</v>
      </c>
      <c r="O6" s="12">
        <f t="shared" si="0"/>
        <v>11.119432959999997</v>
      </c>
      <c r="P6" s="12">
        <f t="shared" si="0"/>
        <v>11.12290318222222</v>
      </c>
      <c r="Q6" s="12">
        <f t="shared" si="0"/>
        <v>11.126373404444443</v>
      </c>
      <c r="R6" s="12">
        <f t="shared" si="0"/>
        <v>11.129843626666664</v>
      </c>
      <c r="S6" s="12">
        <f t="shared" si="0"/>
        <v>11.133313848888887</v>
      </c>
      <c r="T6" s="12">
        <f t="shared" si="0"/>
        <v>11.136784071111109</v>
      </c>
      <c r="U6" s="12">
        <f t="shared" si="0"/>
        <v>11.140254293333332</v>
      </c>
    </row>
    <row r="7" spans="1:26" x14ac:dyDescent="0.3">
      <c r="A7" s="1">
        <f>-inp_bx/2</f>
        <v>-1.875</v>
      </c>
      <c r="B7" s="1">
        <f>inp_by/2</f>
        <v>1.875</v>
      </c>
      <c r="C7" s="1">
        <f>inp_xc-inp_cx/2</f>
        <v>-0.2</v>
      </c>
      <c r="D7" s="1">
        <f>inp_yc+inp_cy/2</f>
        <v>0.2</v>
      </c>
      <c r="E7" s="1"/>
      <c r="F7" s="1"/>
      <c r="G7" s="1"/>
      <c r="H7" s="1"/>
      <c r="J7">
        <f>-0.3*inp_by</f>
        <v>-1.125</v>
      </c>
      <c r="K7" s="12">
        <f t="shared" si="0"/>
        <v>11.093111608888888</v>
      </c>
      <c r="L7" s="12">
        <f t="shared" si="0"/>
        <v>11.096581831111111</v>
      </c>
      <c r="M7" s="12">
        <f t="shared" si="0"/>
        <v>11.100052053333332</v>
      </c>
      <c r="N7" s="12">
        <f t="shared" si="0"/>
        <v>11.103522275555555</v>
      </c>
      <c r="O7" s="12">
        <f t="shared" si="0"/>
        <v>11.106992497777776</v>
      </c>
      <c r="P7" s="12">
        <f t="shared" si="0"/>
        <v>11.110462719999999</v>
      </c>
      <c r="Q7" s="12">
        <f t="shared" si="0"/>
        <v>11.113932942222222</v>
      </c>
      <c r="R7" s="12">
        <f t="shared" si="0"/>
        <v>11.117403164444443</v>
      </c>
      <c r="S7" s="12">
        <f t="shared" si="0"/>
        <v>11.120873386666666</v>
      </c>
      <c r="T7" s="12">
        <f t="shared" si="0"/>
        <v>11.124343608888887</v>
      </c>
      <c r="U7" s="12">
        <f t="shared" si="0"/>
        <v>11.12781383111111</v>
      </c>
    </row>
    <row r="8" spans="1:26" x14ac:dyDescent="0.3">
      <c r="A8" s="1">
        <f>-inp_bx/2</f>
        <v>-1.875</v>
      </c>
      <c r="B8" s="1">
        <f>-inp_by/2</f>
        <v>-1.875</v>
      </c>
      <c r="C8" s="1">
        <f>inp_xc-inp_cx/2</f>
        <v>-0.2</v>
      </c>
      <c r="D8" s="1">
        <f>inp_yc-inp_cy/2</f>
        <v>-0.2</v>
      </c>
      <c r="E8" s="1"/>
      <c r="F8" s="1"/>
      <c r="G8" s="1"/>
      <c r="H8" s="1"/>
      <c r="J8">
        <f>-0.2*inp_by</f>
        <v>-0.75</v>
      </c>
      <c r="K8" s="12">
        <f t="shared" si="0"/>
        <v>11.080671146666665</v>
      </c>
      <c r="L8" s="12">
        <f t="shared" si="0"/>
        <v>11.084141368888888</v>
      </c>
      <c r="M8" s="12">
        <f t="shared" si="0"/>
        <v>11.087611591111109</v>
      </c>
      <c r="N8" s="12">
        <f t="shared" si="0"/>
        <v>11.091081813333332</v>
      </c>
      <c r="O8" s="12">
        <f t="shared" si="0"/>
        <v>11.094552035555553</v>
      </c>
      <c r="P8" s="12">
        <f t="shared" si="0"/>
        <v>11.098022257777776</v>
      </c>
      <c r="Q8" s="12">
        <f t="shared" si="0"/>
        <v>11.101492479999999</v>
      </c>
      <c r="R8" s="12">
        <f t="shared" si="0"/>
        <v>11.10496270222222</v>
      </c>
      <c r="S8" s="12">
        <f t="shared" si="0"/>
        <v>11.108432924444443</v>
      </c>
      <c r="T8" s="12">
        <f t="shared" si="0"/>
        <v>11.111903146666664</v>
      </c>
      <c r="U8" s="12">
        <f t="shared" si="0"/>
        <v>11.115373368888887</v>
      </c>
    </row>
    <row r="9" spans="1:26" ht="26.4" x14ac:dyDescent="0.3">
      <c r="A9" s="1" t="s">
        <v>387</v>
      </c>
      <c r="B9" s="1"/>
      <c r="C9" s="1">
        <f>inp_xc</f>
        <v>0</v>
      </c>
      <c r="D9" s="1">
        <f>inp_yc</f>
        <v>0</v>
      </c>
      <c r="E9" s="1"/>
      <c r="F9" s="1"/>
      <c r="G9" s="1"/>
      <c r="H9" s="1"/>
      <c r="J9">
        <f>-0.0999999999999999*inp_by</f>
        <v>-0.37499999999999961</v>
      </c>
      <c r="K9" s="12">
        <f t="shared" si="0"/>
        <v>11.068230684444444</v>
      </c>
      <c r="L9" s="12">
        <f t="shared" si="0"/>
        <v>11.071700906666667</v>
      </c>
      <c r="M9" s="12">
        <f t="shared" si="0"/>
        <v>11.075171128888888</v>
      </c>
      <c r="N9" s="12">
        <f t="shared" si="0"/>
        <v>11.078641351111111</v>
      </c>
      <c r="O9" s="12">
        <f t="shared" si="0"/>
        <v>11.082111573333332</v>
      </c>
      <c r="P9" s="12">
        <f t="shared" si="0"/>
        <v>11.085581795555555</v>
      </c>
      <c r="Q9" s="12">
        <f t="shared" si="0"/>
        <v>11.089052017777778</v>
      </c>
      <c r="R9" s="12">
        <f t="shared" si="0"/>
        <v>11.092522239999999</v>
      </c>
      <c r="S9" s="12">
        <f t="shared" si="0"/>
        <v>11.095992462222222</v>
      </c>
      <c r="T9" s="12">
        <f t="shared" si="0"/>
        <v>11.099462684444443</v>
      </c>
      <c r="U9" s="12">
        <f t="shared" si="0"/>
        <v>11.102932906666666</v>
      </c>
    </row>
    <row r="10" spans="1:26" x14ac:dyDescent="0.3">
      <c r="J10">
        <f>0*inp_by</f>
        <v>0</v>
      </c>
      <c r="K10" s="12">
        <f t="shared" si="0"/>
        <v>11.055790222222221</v>
      </c>
      <c r="L10" s="12">
        <f t="shared" si="0"/>
        <v>11.059260444444444</v>
      </c>
      <c r="M10" s="12">
        <f t="shared" si="0"/>
        <v>11.062730666666665</v>
      </c>
      <c r="N10" s="12">
        <f t="shared" si="0"/>
        <v>11.066200888888888</v>
      </c>
      <c r="O10" s="12">
        <f t="shared" si="0"/>
        <v>11.069671111111109</v>
      </c>
      <c r="P10" s="12">
        <f t="shared" si="0"/>
        <v>11.073141333333332</v>
      </c>
      <c r="Q10" s="12">
        <f t="shared" si="0"/>
        <v>11.076611555555555</v>
      </c>
      <c r="R10" s="12">
        <f t="shared" si="0"/>
        <v>11.080081777777776</v>
      </c>
      <c r="S10" s="12">
        <f t="shared" si="0"/>
        <v>11.083551999999999</v>
      </c>
      <c r="T10" s="12">
        <f t="shared" si="0"/>
        <v>11.08702222222222</v>
      </c>
      <c r="U10" s="12">
        <f t="shared" si="0"/>
        <v>11.090492444444443</v>
      </c>
    </row>
    <row r="11" spans="1:26" x14ac:dyDescent="0.3">
      <c r="A11" s="3" t="s">
        <v>253</v>
      </c>
      <c r="B11" s="3" t="s">
        <v>249</v>
      </c>
      <c r="C11" s="3" t="s">
        <v>45</v>
      </c>
      <c r="D11" s="3" t="s">
        <v>250</v>
      </c>
      <c r="J11">
        <f>0.0999999999999999*inp_by</f>
        <v>0.37499999999999961</v>
      </c>
      <c r="K11" s="12">
        <f t="shared" si="0"/>
        <v>11.043349759999998</v>
      </c>
      <c r="L11" s="12">
        <f t="shared" si="0"/>
        <v>11.046819982222221</v>
      </c>
      <c r="M11" s="12">
        <f t="shared" si="0"/>
        <v>11.050290204444442</v>
      </c>
      <c r="N11" s="12">
        <f t="shared" si="0"/>
        <v>11.053760426666665</v>
      </c>
      <c r="O11" s="12">
        <f t="shared" si="0"/>
        <v>11.057230648888886</v>
      </c>
      <c r="P11" s="12">
        <f t="shared" si="0"/>
        <v>11.060700871111109</v>
      </c>
      <c r="Q11" s="12">
        <f t="shared" si="0"/>
        <v>11.064171093333332</v>
      </c>
      <c r="R11" s="12">
        <f t="shared" si="0"/>
        <v>11.067641315555553</v>
      </c>
      <c r="S11" s="12">
        <f t="shared" si="0"/>
        <v>11.071111537777776</v>
      </c>
      <c r="T11" s="12">
        <f t="shared" si="0"/>
        <v>11.074581759999997</v>
      </c>
      <c r="U11" s="12">
        <f t="shared" si="0"/>
        <v>11.07805198222222</v>
      </c>
    </row>
    <row r="12" spans="1:26" x14ac:dyDescent="0.3">
      <c r="A12" s="1" t="s">
        <v>259</v>
      </c>
      <c r="B12" s="1">
        <f>q_srv_px_py</f>
        <v>11.028290133333332</v>
      </c>
      <c r="C12" s="1">
        <f>inp_qadm</f>
        <v>8.5</v>
      </c>
      <c r="D12" s="1">
        <f>q_u_px_py</f>
        <v>14.443843555555555</v>
      </c>
      <c r="J12">
        <f>0.199999999999999*inp_by</f>
        <v>0.74999999999999634</v>
      </c>
      <c r="K12" s="12">
        <f t="shared" si="0"/>
        <v>11.030909297777777</v>
      </c>
      <c r="L12" s="12">
        <f t="shared" si="0"/>
        <v>11.03437952</v>
      </c>
      <c r="M12" s="12">
        <f t="shared" si="0"/>
        <v>11.037849742222221</v>
      </c>
      <c r="N12" s="12">
        <f t="shared" si="0"/>
        <v>11.041319964444444</v>
      </c>
      <c r="O12" s="12">
        <f t="shared" si="0"/>
        <v>11.044790186666665</v>
      </c>
      <c r="P12" s="12">
        <f t="shared" si="0"/>
        <v>11.048260408888888</v>
      </c>
      <c r="Q12" s="12">
        <f t="shared" si="0"/>
        <v>11.051730631111111</v>
      </c>
      <c r="R12" s="12">
        <f t="shared" si="0"/>
        <v>11.055200853333332</v>
      </c>
      <c r="S12" s="12">
        <f t="shared" si="0"/>
        <v>11.058671075555555</v>
      </c>
      <c r="T12" s="12">
        <f t="shared" si="0"/>
        <v>11.062141297777776</v>
      </c>
      <c r="U12" s="12">
        <f t="shared" si="0"/>
        <v>11.065611519999999</v>
      </c>
    </row>
    <row r="13" spans="1:26" x14ac:dyDescent="0.3">
      <c r="A13" s="1" t="s">
        <v>261</v>
      </c>
      <c r="B13" s="1">
        <f>q_srv_px_my</f>
        <v>11.152694755555554</v>
      </c>
      <c r="C13" s="1">
        <f>inp_qadm</f>
        <v>8.5</v>
      </c>
      <c r="D13" s="1">
        <f>q_u_px_my</f>
        <v>14.619061333333333</v>
      </c>
      <c r="J13">
        <f>0.3*inp_by</f>
        <v>1.125</v>
      </c>
      <c r="K13" s="12">
        <f t="shared" si="0"/>
        <v>11.018468835555554</v>
      </c>
      <c r="L13" s="12">
        <f t="shared" si="0"/>
        <v>11.021939057777777</v>
      </c>
      <c r="M13" s="12">
        <f t="shared" si="0"/>
        <v>11.025409279999998</v>
      </c>
      <c r="N13" s="12">
        <f t="shared" si="0"/>
        <v>11.028879502222221</v>
      </c>
      <c r="O13" s="12">
        <f t="shared" si="0"/>
        <v>11.032349724444442</v>
      </c>
      <c r="P13" s="12">
        <f t="shared" si="0"/>
        <v>11.035819946666665</v>
      </c>
      <c r="Q13" s="12">
        <f t="shared" si="0"/>
        <v>11.039290168888888</v>
      </c>
      <c r="R13" s="12">
        <f t="shared" si="0"/>
        <v>11.042760391111109</v>
      </c>
      <c r="S13" s="12">
        <f t="shared" si="0"/>
        <v>11.046230613333332</v>
      </c>
      <c r="T13" s="12">
        <f t="shared" si="0"/>
        <v>11.049700835555553</v>
      </c>
      <c r="U13" s="12">
        <f t="shared" si="0"/>
        <v>11.053171057777776</v>
      </c>
    </row>
    <row r="14" spans="1:26" x14ac:dyDescent="0.3">
      <c r="A14" s="1" t="s">
        <v>262</v>
      </c>
      <c r="B14" s="1">
        <f>q_srv_mx_py</f>
        <v>10.99358791111111</v>
      </c>
      <c r="C14" s="1">
        <f>inp_qadm</f>
        <v>8.5</v>
      </c>
      <c r="D14" s="1">
        <f>q_u_mx_py</f>
        <v>14.391960888888887</v>
      </c>
      <c r="J14">
        <f>0.4*inp_by</f>
        <v>1.5</v>
      </c>
      <c r="K14" s="12">
        <f t="shared" si="0"/>
        <v>11.006028373333333</v>
      </c>
      <c r="L14" s="12">
        <f t="shared" si="0"/>
        <v>11.009498595555556</v>
      </c>
      <c r="M14" s="12">
        <f t="shared" si="0"/>
        <v>11.012968817777777</v>
      </c>
      <c r="N14" s="12">
        <f t="shared" si="0"/>
        <v>11.01643904</v>
      </c>
      <c r="O14" s="12">
        <f t="shared" si="0"/>
        <v>11.019909262222221</v>
      </c>
      <c r="P14" s="12">
        <f t="shared" si="0"/>
        <v>11.023379484444444</v>
      </c>
      <c r="Q14" s="12">
        <f t="shared" si="0"/>
        <v>11.026849706666667</v>
      </c>
      <c r="R14" s="12">
        <f t="shared" si="0"/>
        <v>11.030319928888888</v>
      </c>
      <c r="S14" s="12">
        <f t="shared" si="0"/>
        <v>11.033790151111111</v>
      </c>
      <c r="T14" s="12">
        <f t="shared" si="0"/>
        <v>11.037260373333332</v>
      </c>
      <c r="U14" s="12">
        <f t="shared" si="0"/>
        <v>11.040730595555555</v>
      </c>
    </row>
    <row r="15" spans="1:26" x14ac:dyDescent="0.3">
      <c r="A15" s="1" t="s">
        <v>263</v>
      </c>
      <c r="B15" s="1">
        <f>q_srv_mx_my</f>
        <v>11.117992533333332</v>
      </c>
      <c r="C15" s="1">
        <f>inp_qadm</f>
        <v>8.5</v>
      </c>
      <c r="D15" s="1">
        <f>q_u_mx_my</f>
        <v>14.567178666666665</v>
      </c>
      <c r="J15">
        <f>0.5*inp_by</f>
        <v>1.875</v>
      </c>
      <c r="K15" s="12">
        <f t="shared" si="0"/>
        <v>10.99358791111111</v>
      </c>
      <c r="L15" s="12">
        <f t="shared" si="0"/>
        <v>10.997058133333333</v>
      </c>
      <c r="M15" s="12">
        <f t="shared" si="0"/>
        <v>11.000528355555554</v>
      </c>
      <c r="N15" s="12">
        <f t="shared" si="0"/>
        <v>11.003998577777777</v>
      </c>
      <c r="O15" s="12">
        <f t="shared" si="0"/>
        <v>11.007468799999998</v>
      </c>
      <c r="P15" s="12">
        <f t="shared" si="0"/>
        <v>11.010939022222221</v>
      </c>
      <c r="Q15" s="12">
        <f t="shared" si="0"/>
        <v>11.014409244444444</v>
      </c>
      <c r="R15" s="12">
        <f t="shared" si="0"/>
        <v>11.017879466666665</v>
      </c>
      <c r="S15" s="12">
        <f t="shared" si="0"/>
        <v>11.021349688888888</v>
      </c>
      <c r="T15" s="12">
        <f t="shared" si="0"/>
        <v>11.024819911111109</v>
      </c>
      <c r="U15" s="12">
        <f t="shared" si="0"/>
        <v>11.028290133333332</v>
      </c>
    </row>
    <row r="18" spans="1:21" x14ac:dyDescent="0.3">
      <c r="A18" s="3" t="s">
        <v>344</v>
      </c>
      <c r="B18" s="3" t="s">
        <v>351</v>
      </c>
      <c r="C18" s="3" t="s">
        <v>368</v>
      </c>
    </row>
    <row r="19" spans="1:21" x14ac:dyDescent="0.3">
      <c r="A19" s="1" t="s">
        <v>388</v>
      </c>
      <c r="B19" s="1">
        <f>flex_as_req_inf_x</f>
        <v>10.79271732521476</v>
      </c>
      <c r="C19" s="1">
        <f>steel_as_inf_x</f>
        <v>8.6</v>
      </c>
      <c r="J19" s="19" t="s">
        <v>389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</row>
    <row r="20" spans="1:21" x14ac:dyDescent="0.3">
      <c r="A20" s="1" t="s">
        <v>390</v>
      </c>
      <c r="B20" s="1">
        <f>flex_as_req_inf_y</f>
        <v>10.882221927387135</v>
      </c>
      <c r="C20" s="1">
        <f>steel_as_inf_y</f>
        <v>8.6</v>
      </c>
      <c r="K20">
        <f>-0.5*inp_bx</f>
        <v>-1.875</v>
      </c>
      <c r="L20">
        <f>-0.4*inp_bx</f>
        <v>-1.5</v>
      </c>
      <c r="M20">
        <f>-0.3*inp_bx</f>
        <v>-1.125</v>
      </c>
      <c r="N20">
        <f>-0.2*inp_bx</f>
        <v>-0.75</v>
      </c>
      <c r="O20">
        <f>-0.0999999999999999*inp_bx</f>
        <v>-0.37499999999999961</v>
      </c>
      <c r="P20">
        <f>0*inp_bx</f>
        <v>0</v>
      </c>
      <c r="Q20">
        <f>0.0999999999999999*inp_bx</f>
        <v>0.37499999999999961</v>
      </c>
      <c r="R20">
        <f>0.199999999999999*inp_bx</f>
        <v>0.74999999999999634</v>
      </c>
      <c r="S20">
        <f>0.3*inp_bx</f>
        <v>1.125</v>
      </c>
      <c r="T20">
        <f>0.4*inp_bx</f>
        <v>1.5</v>
      </c>
      <c r="U20">
        <f>0.5*inp_bx</f>
        <v>1.875</v>
      </c>
    </row>
    <row r="21" spans="1:21" x14ac:dyDescent="0.3">
      <c r="A21" s="1" t="s">
        <v>391</v>
      </c>
      <c r="B21" s="1">
        <f>flex_as_req_sup_x</f>
        <v>9</v>
      </c>
      <c r="C21" s="1">
        <f>steel_as_sup_x</f>
        <v>8.6</v>
      </c>
      <c r="J21">
        <f>-0.5*inp_by</f>
        <v>-1.875</v>
      </c>
      <c r="K21" s="12">
        <f t="shared" ref="K21:U31" si="1">MAX(0,res_u_p_tot/geo_area+res_u_mx_tot/geo_ix*$J21+res_u_my_tot/geo_iy*K$20)</f>
        <v>14.567178666666665</v>
      </c>
      <c r="L21" s="12">
        <f t="shared" si="1"/>
        <v>14.572366933333333</v>
      </c>
      <c r="M21" s="12">
        <f t="shared" si="1"/>
        <v>14.577555199999999</v>
      </c>
      <c r="N21" s="12">
        <f t="shared" si="1"/>
        <v>14.582743466666665</v>
      </c>
      <c r="O21" s="12">
        <f t="shared" si="1"/>
        <v>14.587931733333333</v>
      </c>
      <c r="P21" s="12">
        <f t="shared" si="1"/>
        <v>14.593119999999999</v>
      </c>
      <c r="Q21" s="12">
        <f t="shared" si="1"/>
        <v>14.598308266666665</v>
      </c>
      <c r="R21" s="12">
        <f t="shared" si="1"/>
        <v>14.603496533333333</v>
      </c>
      <c r="S21" s="12">
        <f t="shared" si="1"/>
        <v>14.608684799999999</v>
      </c>
      <c r="T21" s="12">
        <f t="shared" si="1"/>
        <v>14.613873066666665</v>
      </c>
      <c r="U21" s="12">
        <f t="shared" si="1"/>
        <v>14.619061333333333</v>
      </c>
    </row>
    <row r="22" spans="1:21" x14ac:dyDescent="0.3">
      <c r="A22" s="1" t="s">
        <v>392</v>
      </c>
      <c r="B22" s="1">
        <f>flex_as_req_sup_y</f>
        <v>0</v>
      </c>
      <c r="C22" s="1">
        <f>steel_as_sup_y</f>
        <v>0</v>
      </c>
      <c r="J22">
        <f>-0.4*inp_by</f>
        <v>-1.5</v>
      </c>
      <c r="K22" s="12">
        <f t="shared" si="1"/>
        <v>14.549656888888887</v>
      </c>
      <c r="L22" s="12">
        <f t="shared" si="1"/>
        <v>14.554845155555554</v>
      </c>
      <c r="M22" s="12">
        <f t="shared" si="1"/>
        <v>14.560033422222221</v>
      </c>
      <c r="N22" s="12">
        <f t="shared" si="1"/>
        <v>14.565221688888887</v>
      </c>
      <c r="O22" s="12">
        <f t="shared" si="1"/>
        <v>14.570409955555554</v>
      </c>
      <c r="P22" s="12">
        <f t="shared" si="1"/>
        <v>14.57559822222222</v>
      </c>
      <c r="Q22" s="12">
        <f t="shared" si="1"/>
        <v>14.580786488888887</v>
      </c>
      <c r="R22" s="12">
        <f t="shared" si="1"/>
        <v>14.585974755555554</v>
      </c>
      <c r="S22" s="12">
        <f t="shared" si="1"/>
        <v>14.59116302222222</v>
      </c>
      <c r="T22" s="12">
        <f t="shared" si="1"/>
        <v>14.596351288888886</v>
      </c>
      <c r="U22" s="12">
        <f t="shared" si="1"/>
        <v>14.601539555555554</v>
      </c>
    </row>
    <row r="23" spans="1:21" x14ac:dyDescent="0.3">
      <c r="J23">
        <f>-0.3*inp_by</f>
        <v>-1.125</v>
      </c>
      <c r="K23" s="12">
        <f t="shared" si="1"/>
        <v>14.53213511111111</v>
      </c>
      <c r="L23" s="12">
        <f t="shared" si="1"/>
        <v>14.537323377777778</v>
      </c>
      <c r="M23" s="12">
        <f t="shared" si="1"/>
        <v>14.542511644444444</v>
      </c>
      <c r="N23" s="12">
        <f t="shared" si="1"/>
        <v>14.54769991111111</v>
      </c>
      <c r="O23" s="12">
        <f t="shared" si="1"/>
        <v>14.552888177777778</v>
      </c>
      <c r="P23" s="12">
        <f t="shared" si="1"/>
        <v>14.558076444444444</v>
      </c>
      <c r="Q23" s="12">
        <f t="shared" si="1"/>
        <v>14.56326471111111</v>
      </c>
      <c r="R23" s="12">
        <f t="shared" si="1"/>
        <v>14.568452977777778</v>
      </c>
      <c r="S23" s="12">
        <f t="shared" si="1"/>
        <v>14.573641244444444</v>
      </c>
      <c r="T23" s="12">
        <f t="shared" si="1"/>
        <v>14.57882951111111</v>
      </c>
      <c r="U23" s="12">
        <f t="shared" si="1"/>
        <v>14.584017777777778</v>
      </c>
    </row>
    <row r="24" spans="1:21" x14ac:dyDescent="0.3">
      <c r="J24">
        <f>-0.2*inp_by</f>
        <v>-0.75</v>
      </c>
      <c r="K24" s="12">
        <f t="shared" si="1"/>
        <v>14.514613333333331</v>
      </c>
      <c r="L24" s="12">
        <f t="shared" si="1"/>
        <v>14.519801599999999</v>
      </c>
      <c r="M24" s="12">
        <f t="shared" si="1"/>
        <v>14.524989866666665</v>
      </c>
      <c r="N24" s="12">
        <f t="shared" si="1"/>
        <v>14.530178133333331</v>
      </c>
      <c r="O24" s="12">
        <f t="shared" si="1"/>
        <v>14.535366399999999</v>
      </c>
      <c r="P24" s="12">
        <f t="shared" si="1"/>
        <v>14.540554666666665</v>
      </c>
      <c r="Q24" s="12">
        <f t="shared" si="1"/>
        <v>14.545742933333331</v>
      </c>
      <c r="R24" s="12">
        <f t="shared" si="1"/>
        <v>14.550931199999999</v>
      </c>
      <c r="S24" s="12">
        <f t="shared" si="1"/>
        <v>14.556119466666665</v>
      </c>
      <c r="T24" s="12">
        <f t="shared" si="1"/>
        <v>14.561307733333331</v>
      </c>
      <c r="U24" s="12">
        <f t="shared" si="1"/>
        <v>14.566495999999999</v>
      </c>
    </row>
    <row r="25" spans="1:21" x14ac:dyDescent="0.3">
      <c r="A25" s="3" t="s">
        <v>393</v>
      </c>
      <c r="B25" s="3" t="s">
        <v>394</v>
      </c>
      <c r="C25" s="3" t="s">
        <v>395</v>
      </c>
      <c r="D25" s="3" t="s">
        <v>396</v>
      </c>
      <c r="J25">
        <f>-0.0999999999999999*inp_by</f>
        <v>-0.37499999999999961</v>
      </c>
      <c r="K25" s="12">
        <f t="shared" si="1"/>
        <v>14.497091555555555</v>
      </c>
      <c r="L25" s="12">
        <f t="shared" si="1"/>
        <v>14.502279822222222</v>
      </c>
      <c r="M25" s="12">
        <f t="shared" si="1"/>
        <v>14.507468088888889</v>
      </c>
      <c r="N25" s="12">
        <f t="shared" si="1"/>
        <v>14.512656355555555</v>
      </c>
      <c r="O25" s="12">
        <f t="shared" si="1"/>
        <v>14.517844622222222</v>
      </c>
      <c r="P25" s="12">
        <f t="shared" si="1"/>
        <v>14.523032888888888</v>
      </c>
      <c r="Q25" s="12">
        <f t="shared" si="1"/>
        <v>14.528221155555554</v>
      </c>
      <c r="R25" s="12">
        <f t="shared" si="1"/>
        <v>14.533409422222222</v>
      </c>
      <c r="S25" s="12">
        <f t="shared" si="1"/>
        <v>14.538597688888888</v>
      </c>
      <c r="T25" s="12">
        <f t="shared" si="1"/>
        <v>14.543785955555554</v>
      </c>
      <c r="U25" s="12">
        <f t="shared" si="1"/>
        <v>14.548974222222222</v>
      </c>
    </row>
    <row r="26" spans="1:21" x14ac:dyDescent="0.3">
      <c r="A26" s="1">
        <f>-inp_bx/2</f>
        <v>-1.875</v>
      </c>
      <c r="B26" s="1">
        <f>-inp_by/2-MAX(inp_bx,inp_by)*0.08</f>
        <v>-2.1749999999999998</v>
      </c>
      <c r="C26" s="1">
        <f>-inp_bx/2-MAX(inp_bx,inp_by)*0.08</f>
        <v>-2.1749999999999998</v>
      </c>
      <c r="D26" s="1">
        <f>-inp_by/2</f>
        <v>-1.875</v>
      </c>
      <c r="J26">
        <f>0*inp_by</f>
        <v>0</v>
      </c>
      <c r="K26" s="12">
        <f t="shared" si="1"/>
        <v>14.479569777777776</v>
      </c>
      <c r="L26" s="12">
        <f t="shared" si="1"/>
        <v>14.484758044444444</v>
      </c>
      <c r="M26" s="12">
        <f t="shared" si="1"/>
        <v>14.48994631111111</v>
      </c>
      <c r="N26" s="12">
        <f t="shared" si="1"/>
        <v>14.495134577777776</v>
      </c>
      <c r="O26" s="12">
        <f t="shared" si="1"/>
        <v>14.500322844444444</v>
      </c>
      <c r="P26" s="12">
        <f t="shared" si="1"/>
        <v>14.50551111111111</v>
      </c>
      <c r="Q26" s="12">
        <f t="shared" si="1"/>
        <v>14.510699377777776</v>
      </c>
      <c r="R26" s="12">
        <f t="shared" si="1"/>
        <v>14.515887644444444</v>
      </c>
      <c r="S26" s="12">
        <f t="shared" si="1"/>
        <v>14.52107591111111</v>
      </c>
      <c r="T26" s="12">
        <f t="shared" si="1"/>
        <v>14.526264177777776</v>
      </c>
      <c r="U26" s="12">
        <f t="shared" si="1"/>
        <v>14.531452444444444</v>
      </c>
    </row>
    <row r="27" spans="1:21" x14ac:dyDescent="0.3">
      <c r="A27" s="1">
        <f>inp_bx/2</f>
        <v>1.875</v>
      </c>
      <c r="B27" s="1">
        <f>-inp_by/2-MAX(inp_bx,inp_by)*0.08</f>
        <v>-2.1749999999999998</v>
      </c>
      <c r="C27" s="1">
        <f>-inp_bx/2-MAX(inp_bx,inp_by)*0.08</f>
        <v>-2.1749999999999998</v>
      </c>
      <c r="D27" s="1">
        <f>inp_by/2</f>
        <v>1.875</v>
      </c>
      <c r="J27">
        <f>0.0999999999999999*inp_by</f>
        <v>0.37499999999999961</v>
      </c>
      <c r="K27" s="12">
        <f t="shared" si="1"/>
        <v>14.462047999999998</v>
      </c>
      <c r="L27" s="12">
        <f t="shared" si="1"/>
        <v>14.467236266666665</v>
      </c>
      <c r="M27" s="12">
        <f t="shared" si="1"/>
        <v>14.472424533333331</v>
      </c>
      <c r="N27" s="12">
        <f t="shared" si="1"/>
        <v>14.477612799999998</v>
      </c>
      <c r="O27" s="12">
        <f t="shared" si="1"/>
        <v>14.482801066666665</v>
      </c>
      <c r="P27" s="12">
        <f t="shared" si="1"/>
        <v>14.487989333333331</v>
      </c>
      <c r="Q27" s="12">
        <f t="shared" si="1"/>
        <v>14.493177599999997</v>
      </c>
      <c r="R27" s="12">
        <f t="shared" si="1"/>
        <v>14.498365866666665</v>
      </c>
      <c r="S27" s="12">
        <f t="shared" si="1"/>
        <v>14.503554133333331</v>
      </c>
      <c r="T27" s="12">
        <f t="shared" si="1"/>
        <v>14.508742399999997</v>
      </c>
      <c r="U27" s="12">
        <f t="shared" si="1"/>
        <v>14.513930666666665</v>
      </c>
    </row>
    <row r="28" spans="1:21" x14ac:dyDescent="0.3">
      <c r="J28">
        <f>0.199999999999999*inp_by</f>
        <v>0.74999999999999634</v>
      </c>
      <c r="K28" s="12">
        <f t="shared" si="1"/>
        <v>14.444526222222221</v>
      </c>
      <c r="L28" s="12">
        <f t="shared" si="1"/>
        <v>14.449714488888889</v>
      </c>
      <c r="M28" s="12">
        <f t="shared" si="1"/>
        <v>14.454902755555555</v>
      </c>
      <c r="N28" s="12">
        <f t="shared" si="1"/>
        <v>14.460091022222221</v>
      </c>
      <c r="O28" s="12">
        <f t="shared" si="1"/>
        <v>14.465279288888889</v>
      </c>
      <c r="P28" s="12">
        <f t="shared" si="1"/>
        <v>14.470467555555555</v>
      </c>
      <c r="Q28" s="12">
        <f t="shared" si="1"/>
        <v>14.475655822222221</v>
      </c>
      <c r="R28" s="12">
        <f t="shared" si="1"/>
        <v>14.480844088888889</v>
      </c>
      <c r="S28" s="12">
        <f t="shared" si="1"/>
        <v>14.486032355555555</v>
      </c>
      <c r="T28" s="12">
        <f t="shared" si="1"/>
        <v>14.491220622222221</v>
      </c>
      <c r="U28" s="12">
        <f t="shared" si="1"/>
        <v>14.496408888888888</v>
      </c>
    </row>
    <row r="29" spans="1:21" x14ac:dyDescent="0.3">
      <c r="J29">
        <f>0.3*inp_by</f>
        <v>1.125</v>
      </c>
      <c r="K29" s="12">
        <f t="shared" si="1"/>
        <v>14.427004444444442</v>
      </c>
      <c r="L29" s="12">
        <f t="shared" si="1"/>
        <v>14.43219271111111</v>
      </c>
      <c r="M29" s="12">
        <f t="shared" si="1"/>
        <v>14.437380977777776</v>
      </c>
      <c r="N29" s="12">
        <f t="shared" si="1"/>
        <v>14.442569244444442</v>
      </c>
      <c r="O29" s="12">
        <f t="shared" si="1"/>
        <v>14.44775751111111</v>
      </c>
      <c r="P29" s="12">
        <f t="shared" si="1"/>
        <v>14.452945777777776</v>
      </c>
      <c r="Q29" s="12">
        <f t="shared" si="1"/>
        <v>14.458134044444442</v>
      </c>
      <c r="R29" s="12">
        <f t="shared" si="1"/>
        <v>14.46332231111111</v>
      </c>
      <c r="S29" s="12">
        <f t="shared" si="1"/>
        <v>14.468510577777776</v>
      </c>
      <c r="T29" s="12">
        <f t="shared" si="1"/>
        <v>14.473698844444442</v>
      </c>
      <c r="U29" s="12">
        <f t="shared" si="1"/>
        <v>14.47888711111111</v>
      </c>
    </row>
    <row r="30" spans="1:21" x14ac:dyDescent="0.3">
      <c r="J30">
        <f>0.4*inp_by</f>
        <v>1.5</v>
      </c>
      <c r="K30" s="12">
        <f t="shared" si="1"/>
        <v>14.409482666666666</v>
      </c>
      <c r="L30" s="12">
        <f t="shared" si="1"/>
        <v>14.414670933333333</v>
      </c>
      <c r="M30" s="12">
        <f t="shared" si="1"/>
        <v>14.419859199999999</v>
      </c>
      <c r="N30" s="12">
        <f t="shared" si="1"/>
        <v>14.425047466666665</v>
      </c>
      <c r="O30" s="12">
        <f t="shared" si="1"/>
        <v>14.430235733333333</v>
      </c>
      <c r="P30" s="12">
        <f t="shared" si="1"/>
        <v>14.435423999999999</v>
      </c>
      <c r="Q30" s="12">
        <f t="shared" si="1"/>
        <v>14.440612266666665</v>
      </c>
      <c r="R30" s="12">
        <f t="shared" si="1"/>
        <v>14.445800533333333</v>
      </c>
      <c r="S30" s="12">
        <f t="shared" si="1"/>
        <v>14.450988799999999</v>
      </c>
      <c r="T30" s="12">
        <f t="shared" si="1"/>
        <v>14.456177066666665</v>
      </c>
      <c r="U30" s="12">
        <f t="shared" si="1"/>
        <v>14.461365333333333</v>
      </c>
    </row>
    <row r="31" spans="1:21" x14ac:dyDescent="0.3">
      <c r="J31">
        <f>0.5*inp_by</f>
        <v>1.875</v>
      </c>
      <c r="K31" s="12">
        <f t="shared" si="1"/>
        <v>14.391960888888887</v>
      </c>
      <c r="L31" s="12">
        <f t="shared" si="1"/>
        <v>14.397149155555555</v>
      </c>
      <c r="M31" s="12">
        <f t="shared" si="1"/>
        <v>14.402337422222221</v>
      </c>
      <c r="N31" s="12">
        <f t="shared" si="1"/>
        <v>14.407525688888887</v>
      </c>
      <c r="O31" s="12">
        <f t="shared" si="1"/>
        <v>14.412713955555555</v>
      </c>
      <c r="P31" s="12">
        <f t="shared" si="1"/>
        <v>14.417902222222221</v>
      </c>
      <c r="Q31" s="12">
        <f t="shared" si="1"/>
        <v>14.423090488888887</v>
      </c>
      <c r="R31" s="12">
        <f t="shared" si="1"/>
        <v>14.428278755555555</v>
      </c>
      <c r="S31" s="12">
        <f t="shared" si="1"/>
        <v>14.433467022222221</v>
      </c>
      <c r="T31" s="12">
        <f t="shared" si="1"/>
        <v>14.438655288888887</v>
      </c>
      <c r="U31" s="12">
        <f t="shared" si="1"/>
        <v>14.443843555555555</v>
      </c>
    </row>
    <row r="131" spans="1:6" ht="26.4" x14ac:dyDescent="0.3">
      <c r="A131" s="10" t="s">
        <v>397</v>
      </c>
      <c r="B131" s="10"/>
      <c r="C131" s="10"/>
      <c r="D131" s="10" t="s">
        <v>398</v>
      </c>
      <c r="E131" s="10"/>
      <c r="F131" s="10"/>
    </row>
    <row r="132" spans="1:6" ht="26.4" x14ac:dyDescent="0.3">
      <c r="A132" s="10" t="str">
        <f>inp_bar_inf_x&amp;" @ "&amp;inp_sep_inf_x&amp;" cm en X"</f>
        <v>Ø1/2" @ 15 cm en X</v>
      </c>
      <c r="B132" s="10"/>
      <c r="C132" s="10"/>
      <c r="D132" s="10" t="str">
        <f>IF(flex_as_req_sup_x&gt;0,inp_bar_sup_x&amp;" @ "&amp;inp_sep_sup_x&amp;" cm en X","No requerido por momento negativo X")</f>
        <v>Ø1/2" @ 15 cm en X</v>
      </c>
      <c r="E132" s="10"/>
      <c r="F132" s="10"/>
    </row>
    <row r="133" spans="1:6" ht="26.4" x14ac:dyDescent="0.3">
      <c r="A133" s="10" t="str">
        <f>inp_bar_inf_y&amp;" @ "&amp;inp_sep_inf_y&amp;" cm en Y"</f>
        <v>Ø1/2" @ 15 cm en Y</v>
      </c>
      <c r="B133" s="10"/>
      <c r="C133" s="10"/>
      <c r="D133" s="10" t="str">
        <f>IF(flex_as_req_sup_y&gt;0,inp_bar_sup_y&amp;" @ "&amp;inp_sep_sup_y&amp;" cm en Y","No requerido por momento negativo Y")</f>
        <v>No requerido por momento negativo Y</v>
      </c>
      <c r="E133" s="10"/>
      <c r="F133" s="10"/>
    </row>
  </sheetData>
  <mergeCells count="3">
    <mergeCell ref="A1:Z1"/>
    <mergeCell ref="J3:U3"/>
    <mergeCell ref="J19:U19"/>
  </mergeCells>
  <conditionalFormatting sqref="K5:U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1:U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8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34" customWidth="1"/>
    <col min="2" max="2" width="18" customWidth="1"/>
    <col min="3" max="3" width="14" customWidth="1"/>
    <col min="4" max="4" width="18" customWidth="1"/>
    <col min="5" max="5" width="34" customWidth="1"/>
    <col min="6" max="6" width="18" customWidth="1"/>
    <col min="7" max="7" width="14" customWidth="1"/>
    <col min="8" max="8" width="18" customWidth="1"/>
    <col min="9" max="15" width="14" customWidth="1"/>
  </cols>
  <sheetData>
    <row r="1" spans="1:8" ht="25.05" customHeight="1" x14ac:dyDescent="0.3">
      <c r="A1" s="16" t="s">
        <v>399</v>
      </c>
      <c r="B1" s="15"/>
      <c r="C1" s="15"/>
      <c r="D1" s="15"/>
      <c r="E1" s="15"/>
      <c r="F1" s="15"/>
      <c r="G1" s="15"/>
      <c r="H1" s="15"/>
    </row>
    <row r="3" spans="1:8" ht="19.95" customHeight="1" x14ac:dyDescent="0.3">
      <c r="A3" s="14" t="s">
        <v>400</v>
      </c>
      <c r="B3" s="15"/>
      <c r="C3" s="15"/>
      <c r="D3" s="15"/>
      <c r="E3" s="15"/>
      <c r="F3" s="15"/>
      <c r="G3" s="15"/>
      <c r="H3" s="15"/>
    </row>
    <row r="4" spans="1:8" x14ac:dyDescent="0.3">
      <c r="A4" s="3" t="s">
        <v>401</v>
      </c>
      <c r="B4" s="3" t="s">
        <v>258</v>
      </c>
      <c r="C4" s="3" t="s">
        <v>29</v>
      </c>
      <c r="D4" s="3" t="s">
        <v>235</v>
      </c>
      <c r="E4" s="3" t="s">
        <v>401</v>
      </c>
      <c r="F4" s="3" t="s">
        <v>258</v>
      </c>
      <c r="G4" s="3" t="s">
        <v>29</v>
      </c>
      <c r="H4" s="3" t="s">
        <v>235</v>
      </c>
    </row>
    <row r="5" spans="1:8" x14ac:dyDescent="0.3">
      <c r="A5" s="1" t="s">
        <v>72</v>
      </c>
      <c r="B5" s="12">
        <f>inp_bx</f>
        <v>3.75</v>
      </c>
      <c r="C5" s="1" t="s">
        <v>73</v>
      </c>
      <c r="D5" s="1"/>
      <c r="E5" s="1" t="s">
        <v>402</v>
      </c>
      <c r="F5" s="12">
        <f>res_u_p_tot</f>
        <v>203.98374999999999</v>
      </c>
      <c r="G5" s="1" t="s">
        <v>183</v>
      </c>
      <c r="H5" s="1"/>
    </row>
    <row r="6" spans="1:8" x14ac:dyDescent="0.3">
      <c r="A6" s="1" t="s">
        <v>75</v>
      </c>
      <c r="B6" s="12">
        <f>inp_by</f>
        <v>3.75</v>
      </c>
      <c r="C6" s="1" t="s">
        <v>73</v>
      </c>
      <c r="D6" s="1"/>
      <c r="E6" s="1" t="s">
        <v>403</v>
      </c>
      <c r="F6" s="12">
        <f>res_u_mx_tot</f>
        <v>-0.77</v>
      </c>
      <c r="G6" s="1" t="s">
        <v>190</v>
      </c>
      <c r="H6" s="1"/>
    </row>
    <row r="7" spans="1:8" x14ac:dyDescent="0.3">
      <c r="A7" s="1" t="s">
        <v>77</v>
      </c>
      <c r="B7" s="12">
        <f>inp_h</f>
        <v>0.5</v>
      </c>
      <c r="C7" s="1" t="s">
        <v>73</v>
      </c>
      <c r="D7" s="1"/>
      <c r="E7" s="1" t="s">
        <v>404</v>
      </c>
      <c r="F7" s="12">
        <f>res_u_my_tot</f>
        <v>0.22800000000000001</v>
      </c>
      <c r="G7" s="1" t="s">
        <v>190</v>
      </c>
      <c r="H7" s="1"/>
    </row>
    <row r="8" spans="1:8" x14ac:dyDescent="0.3">
      <c r="A8" s="1" t="s">
        <v>405</v>
      </c>
      <c r="B8" s="12" t="str">
        <f>inp_cx&amp;" x "&amp;inp_cy</f>
        <v>0.4 x 0.4</v>
      </c>
      <c r="C8" s="1" t="s">
        <v>73</v>
      </c>
      <c r="D8" s="1" t="str">
        <f>geo_col_inside_status</f>
        <v>CUMPLE</v>
      </c>
      <c r="E8" s="1" t="s">
        <v>406</v>
      </c>
      <c r="F8" s="12" t="str">
        <f>res_srv_nucleo</f>
        <v>CUMPLE</v>
      </c>
      <c r="G8" s="1" t="s">
        <v>50</v>
      </c>
      <c r="H8" s="1" t="str">
        <f>res_srv_nucleo</f>
        <v>CUMPLE</v>
      </c>
    </row>
    <row r="9" spans="1:8" x14ac:dyDescent="0.3">
      <c r="A9" s="1" t="s">
        <v>407</v>
      </c>
      <c r="B9" s="12" t="str">
        <f>inp_xc&amp;", "&amp;inp_yc</f>
        <v>0, 0</v>
      </c>
      <c r="C9" s="1" t="s">
        <v>73</v>
      </c>
      <c r="D9" s="1"/>
      <c r="E9" s="1" t="s">
        <v>408</v>
      </c>
      <c r="F9" s="12" t="str">
        <f>res_u_nucleo</f>
        <v>CUMPLE</v>
      </c>
      <c r="G9" s="1" t="s">
        <v>50</v>
      </c>
      <c r="H9" s="1" t="str">
        <f>res_u_nucleo</f>
        <v>CUMPLE</v>
      </c>
    </row>
    <row r="10" spans="1:8" x14ac:dyDescent="0.3">
      <c r="A10" s="1" t="s">
        <v>409</v>
      </c>
      <c r="B10" s="12">
        <f>res_srv_p_tot</f>
        <v>155.71605</v>
      </c>
      <c r="C10" s="1" t="s">
        <v>183</v>
      </c>
      <c r="D10" s="1"/>
      <c r="E10" s="1" t="s">
        <v>410</v>
      </c>
      <c r="F10" s="12">
        <f>punz_dc</f>
        <v>1.5577826732061453</v>
      </c>
      <c r="G10" s="1" t="s">
        <v>50</v>
      </c>
      <c r="H10" s="1" t="str">
        <f>punz_result</f>
        <v>NO CUMPLE</v>
      </c>
    </row>
    <row r="11" spans="1:8" x14ac:dyDescent="0.3">
      <c r="A11" s="1" t="s">
        <v>411</v>
      </c>
      <c r="B11" s="12">
        <f>res_srv_mx_tot</f>
        <v>-0.54669999999999996</v>
      </c>
      <c r="C11" s="1" t="s">
        <v>190</v>
      </c>
      <c r="D11" s="1"/>
      <c r="E11" s="1" t="s">
        <v>412</v>
      </c>
      <c r="F11" s="12">
        <f>cort_dc</f>
        <v>0.49154077110542288</v>
      </c>
      <c r="G11" s="1" t="s">
        <v>50</v>
      </c>
      <c r="H11" s="1" t="str">
        <f>cort_result</f>
        <v>CUMPLE</v>
      </c>
    </row>
    <row r="12" spans="1:8" x14ac:dyDescent="0.3">
      <c r="A12" s="1" t="s">
        <v>413</v>
      </c>
      <c r="B12" s="12">
        <f>res_srv_my_tot</f>
        <v>0.1525</v>
      </c>
      <c r="C12" s="1" t="s">
        <v>190</v>
      </c>
      <c r="D12" s="1"/>
      <c r="E12" s="1" t="s">
        <v>414</v>
      </c>
      <c r="F12" s="12">
        <f>flex_dc</f>
        <v>1.2653746427194343</v>
      </c>
      <c r="G12" s="1" t="s">
        <v>50</v>
      </c>
      <c r="H12" s="1" t="str">
        <f>acero_result</f>
        <v>NO CUMPLE</v>
      </c>
    </row>
    <row r="13" spans="1:8" x14ac:dyDescent="0.3">
      <c r="A13" s="1" t="s">
        <v>415</v>
      </c>
      <c r="B13" s="12">
        <f>res_srv_ex</f>
        <v>9.7934670189746015E-4</v>
      </c>
      <c r="C13" s="1" t="s">
        <v>73</v>
      </c>
      <c r="D13" s="1" t="str">
        <f>res_srv_nucleo</f>
        <v>CUMPLE</v>
      </c>
      <c r="E13" s="1" t="s">
        <v>352</v>
      </c>
      <c r="F13" s="12" t="str">
        <f>inp_bar_inf_x&amp;" @ "&amp;inp_sep_inf_x&amp;" cm"</f>
        <v>Ø1/2" @ 15 cm</v>
      </c>
      <c r="G13" s="1" t="s">
        <v>50</v>
      </c>
      <c r="H13" s="1" t="str">
        <f>ACERO_DETALLADO!J5</f>
        <v>NO CUMPLE</v>
      </c>
    </row>
    <row r="14" spans="1:8" x14ac:dyDescent="0.3">
      <c r="A14" s="1" t="s">
        <v>416</v>
      </c>
      <c r="B14" s="12">
        <f>res_srv_ey</f>
        <v>-3.5108776519825668E-3</v>
      </c>
      <c r="C14" s="1" t="s">
        <v>73</v>
      </c>
      <c r="D14" s="1" t="str">
        <f>res_srv_nucleo</f>
        <v>CUMPLE</v>
      </c>
      <c r="E14" s="1" t="s">
        <v>355</v>
      </c>
      <c r="F14" s="12" t="str">
        <f>inp_bar_inf_y&amp;" @ "&amp;inp_sep_inf_y&amp;" cm"</f>
        <v>Ø1/2" @ 15 cm</v>
      </c>
      <c r="G14" s="1" t="s">
        <v>50</v>
      </c>
      <c r="H14" s="1" t="str">
        <f>ACERO_DETALLADO!J6</f>
        <v>NO CUMPLE</v>
      </c>
    </row>
    <row r="15" spans="1:8" x14ac:dyDescent="0.3">
      <c r="A15" s="1" t="s">
        <v>417</v>
      </c>
      <c r="B15" s="12">
        <f>q_srv_max</f>
        <v>11.152694755555554</v>
      </c>
      <c r="C15" s="1" t="s">
        <v>46</v>
      </c>
      <c r="D15" s="1" t="str">
        <f>q_srv_qadm_status</f>
        <v>NO CUMPLE</v>
      </c>
      <c r="E15" s="1" t="s">
        <v>357</v>
      </c>
      <c r="F15" s="12" t="str">
        <f>IF(flex_as_req_sup_x&gt;0,inp_bar_sup_x&amp;" @ "&amp;inp_sep_sup_x&amp;" cm","No requerido")</f>
        <v>Ø1/2" @ 15 cm</v>
      </c>
      <c r="G15" s="1" t="s">
        <v>50</v>
      </c>
      <c r="H15" s="1" t="str">
        <f>ACERO_DETALLADO!J7</f>
        <v>NO CUMPLE</v>
      </c>
    </row>
    <row r="16" spans="1:8" x14ac:dyDescent="0.3">
      <c r="A16" s="1" t="s">
        <v>418</v>
      </c>
      <c r="B16" s="12">
        <f>q_srv_min</f>
        <v>10.99358791111111</v>
      </c>
      <c r="C16" s="1" t="s">
        <v>46</v>
      </c>
      <c r="D16" s="1" t="str">
        <f>q_srv_uplift_status</f>
        <v>CUMPLE</v>
      </c>
      <c r="E16" s="1" t="s">
        <v>359</v>
      </c>
      <c r="F16" s="12" t="str">
        <f>IF(flex_as_req_sup_y&gt;0,inp_bar_sup_y&amp;" @ "&amp;inp_sep_sup_y&amp;" cm","No requerido")</f>
        <v>No requerido</v>
      </c>
      <c r="G16" s="1" t="s">
        <v>50</v>
      </c>
      <c r="H16" s="1" t="str">
        <f>ACERO_DETALLADO!J8</f>
        <v>CUMPLE</v>
      </c>
    </row>
    <row r="17" spans="1:8" x14ac:dyDescent="0.3">
      <c r="A17" s="1" t="s">
        <v>45</v>
      </c>
      <c r="B17" s="12">
        <f>inp_qadm</f>
        <v>8.5</v>
      </c>
      <c r="C17" s="1" t="s">
        <v>46</v>
      </c>
      <c r="D17" s="1"/>
      <c r="E17" s="1" t="s">
        <v>419</v>
      </c>
      <c r="F17" s="12">
        <f>geo_smax</f>
        <v>40</v>
      </c>
      <c r="G17" s="1" t="s">
        <v>54</v>
      </c>
      <c r="H17" s="1" t="str">
        <f>acero_sep_result</f>
        <v>CUMPLE</v>
      </c>
    </row>
    <row r="18" spans="1:8" x14ac:dyDescent="0.3">
      <c r="A18" s="1" t="s">
        <v>420</v>
      </c>
      <c r="B18" s="12">
        <f>q_u_max</f>
        <v>14.619061333333333</v>
      </c>
      <c r="C18" s="1" t="s">
        <v>46</v>
      </c>
      <c r="D18" s="1"/>
      <c r="E18" s="1" t="s">
        <v>421</v>
      </c>
      <c r="F18" s="12" t="str">
        <f>geo_col_inside_status</f>
        <v>CUMPLE</v>
      </c>
      <c r="G18" s="1" t="s">
        <v>50</v>
      </c>
      <c r="H18" s="1" t="str">
        <f>geo_col_inside_status</f>
        <v>CUMPLE</v>
      </c>
    </row>
    <row r="19" spans="1:8" ht="26.4" x14ac:dyDescent="0.3">
      <c r="A19" s="1" t="s">
        <v>422</v>
      </c>
      <c r="B19" s="12">
        <f>q_u_min</f>
        <v>14.391960888888887</v>
      </c>
      <c r="C19" s="1" t="s">
        <v>46</v>
      </c>
      <c r="D19" s="1" t="str">
        <f>q_u_uplift_status</f>
        <v>CUMPLE</v>
      </c>
      <c r="E19" s="1" t="s">
        <v>326</v>
      </c>
      <c r="F19" s="12" t="str">
        <f>punz_warning_edge</f>
        <v/>
      </c>
      <c r="G19" s="1" t="s">
        <v>50</v>
      </c>
      <c r="H19" s="1"/>
    </row>
    <row r="22" spans="1:8" ht="19.95" customHeight="1" x14ac:dyDescent="0.3">
      <c r="A22" s="14" t="s">
        <v>423</v>
      </c>
      <c r="B22" s="15"/>
      <c r="C22" s="15"/>
      <c r="D22" s="15"/>
      <c r="E22" s="15"/>
      <c r="F22" s="15"/>
      <c r="G22" s="15"/>
      <c r="H22" s="15"/>
    </row>
    <row r="23" spans="1:8" ht="66" x14ac:dyDescent="0.3">
      <c r="A23" s="1" t="s">
        <v>424</v>
      </c>
      <c r="B23" s="13" t="str">
        <f>IF(AND(q_srv_max&lt;=inp_qadm,q_srv_min&gt;=0,punz_result="CUMPLE",cort_result="CUMPLE",acero_result="CUMPLE",acero_sep_result="CUMPLE",geo_col_inside_status="CUMPLE",res_srv_nucleo="CUMPLE"),"CUMPLE","NO CUMPLE")</f>
        <v>NO CUMPLE</v>
      </c>
      <c r="C23" s="1" t="s">
        <v>425</v>
      </c>
      <c r="D23" s="1" t="s">
        <v>426</v>
      </c>
    </row>
    <row r="26" spans="1:8" ht="19.95" customHeight="1" x14ac:dyDescent="0.3">
      <c r="A26" s="14" t="s">
        <v>427</v>
      </c>
      <c r="B26" s="15"/>
      <c r="C26" s="15"/>
      <c r="D26" s="15"/>
      <c r="E26" s="15"/>
      <c r="F26" s="15"/>
      <c r="G26" s="15"/>
      <c r="H26" s="15"/>
    </row>
    <row r="27" spans="1:8" x14ac:dyDescent="0.3">
      <c r="A27" s="3" t="s">
        <v>268</v>
      </c>
      <c r="B27" s="3" t="s">
        <v>235</v>
      </c>
    </row>
    <row r="28" spans="1:8" ht="26.4" x14ac:dyDescent="0.3">
      <c r="A28" s="1" t="s">
        <v>428</v>
      </c>
      <c r="B28" s="1" t="str">
        <f>IF(q_srv_max&gt;inp_qadm,"ACTIVA","")</f>
        <v>ACTIVA</v>
      </c>
    </row>
    <row r="29" spans="1:8" ht="26.4" x14ac:dyDescent="0.3">
      <c r="A29" s="1" t="s">
        <v>429</v>
      </c>
      <c r="B29" s="1" t="str">
        <f>IF(q_srv_min&lt;0,"ACTIVA","")</f>
        <v/>
      </c>
    </row>
    <row r="30" spans="1:8" ht="26.4" x14ac:dyDescent="0.3">
      <c r="A30" s="1" t="s">
        <v>430</v>
      </c>
      <c r="B30" s="1" t="str">
        <f>IF(res_srv_nucleo&lt;&gt;"CUMPLE","ACTIVA","")</f>
        <v/>
      </c>
    </row>
    <row r="31" spans="1:8" x14ac:dyDescent="0.3">
      <c r="A31" s="1" t="s">
        <v>431</v>
      </c>
      <c r="B31" s="1" t="str">
        <f>IF(punz_result&lt;&gt;"CUMPLE","ACTIVA","")</f>
        <v>ACTIVA</v>
      </c>
    </row>
    <row r="32" spans="1:8" x14ac:dyDescent="0.3">
      <c r="A32" s="1" t="s">
        <v>432</v>
      </c>
      <c r="B32" s="1" t="str">
        <f>IF(cort_result&lt;&gt;"CUMPLE","ACTIVA","")</f>
        <v/>
      </c>
    </row>
    <row r="33" spans="1:2" x14ac:dyDescent="0.3">
      <c r="A33" s="1" t="s">
        <v>433</v>
      </c>
      <c r="B33" s="1" t="str">
        <f>IF(acero_result&lt;&gt;"CUMPLE","ACTIVA","")</f>
        <v>ACTIVA</v>
      </c>
    </row>
    <row r="34" spans="1:2" ht="26.4" x14ac:dyDescent="0.3">
      <c r="A34" s="1" t="s">
        <v>434</v>
      </c>
      <c r="B34" s="1" t="str">
        <f>IF(acero_result&lt;&gt;"CUMPLE","ACTIVA","")</f>
        <v>ACTIVA</v>
      </c>
    </row>
    <row r="35" spans="1:2" ht="26.4" x14ac:dyDescent="0.3">
      <c r="A35" s="1" t="s">
        <v>435</v>
      </c>
      <c r="B35" s="1" t="str">
        <f>IF(acero_sep_result&lt;&gt;"CUMPLE","ACTIVA","")</f>
        <v/>
      </c>
    </row>
    <row r="36" spans="1:2" ht="26.4" x14ac:dyDescent="0.3">
      <c r="A36" s="1" t="s">
        <v>436</v>
      </c>
      <c r="B36" s="1" t="str">
        <f>IF(geo_col_inside_status&lt;&gt;"CUMPLE","ACTIVA","")</f>
        <v/>
      </c>
    </row>
    <row r="37" spans="1:2" ht="39.6" x14ac:dyDescent="0.3">
      <c r="A37" s="1" t="s">
        <v>437</v>
      </c>
      <c r="B37" s="1" t="str">
        <f>IF(punz_warning_edge&lt;&gt;"","ACTIVA","")</f>
        <v/>
      </c>
    </row>
    <row r="38" spans="1:2" ht="39.6" x14ac:dyDescent="0.3">
      <c r="A38" s="1" t="s">
        <v>438</v>
      </c>
      <c r="B38" s="1" t="str">
        <f>IF(OR(srv_raw_p&lt;0,ult_raw_p&lt;0),"ACTIVA","")</f>
        <v/>
      </c>
    </row>
  </sheetData>
  <mergeCells count="4">
    <mergeCell ref="A26:H26"/>
    <mergeCell ref="A3:H3"/>
    <mergeCell ref="A22:H22"/>
    <mergeCell ref="A1:H1"/>
  </mergeCells>
  <conditionalFormatting sqref="B23">
    <cfRule type="expression" dxfId="11" priority="1">
      <formula>ISNUMBER(SEARCH("NO CUMPLE",B23))</formula>
    </cfRule>
    <cfRule type="expression" dxfId="10" priority="2">
      <formula>ISNUMBER(SEARCH("CUMPLE",B23))</formula>
    </cfRule>
    <cfRule type="expression" dxfId="9" priority="3">
      <formula>ISNUMBER(SEARCH("ADVERTENCIA",B23))</formula>
    </cfRule>
  </conditionalFormatting>
  <conditionalFormatting sqref="D5:D19">
    <cfRule type="expression" dxfId="8" priority="4">
      <formula>ISNUMBER(SEARCH("NO CUMPLE",D5))</formula>
    </cfRule>
    <cfRule type="expression" dxfId="7" priority="5">
      <formula>ISNUMBER(SEARCH("CUMPLE",D5))</formula>
    </cfRule>
    <cfRule type="expression" dxfId="6" priority="6">
      <formula>ISNUMBER(SEARCH("ADVERTENCIA",D5))</formula>
    </cfRule>
  </conditionalFormatting>
  <conditionalFormatting sqref="H5:H19">
    <cfRule type="expression" dxfId="5" priority="7">
      <formula>ISNUMBER(SEARCH("NO CUMPLE",H5))</formula>
    </cfRule>
    <cfRule type="expression" dxfId="4" priority="8">
      <formula>ISNUMBER(SEARCH("CUMPLE",H5))</formula>
    </cfRule>
    <cfRule type="expression" dxfId="3" priority="9">
      <formula>ISNUMBER(SEARCH("ADVERTENCIA",H5))</formula>
    </cfRule>
  </conditionalFormatting>
  <conditionalFormatting sqref="B28:B38">
    <cfRule type="expression" dxfId="2" priority="10">
      <formula>ISNUMBER(SEARCH("NO CUMPLE",B28))</formula>
    </cfRule>
    <cfRule type="expression" dxfId="1" priority="11">
      <formula>ISNUMBER(SEARCH("CUMPLE",B28))</formula>
    </cfRule>
    <cfRule type="expression" dxfId="0" priority="12">
      <formula>ISNUMBER(SEARCH("ADVERTENCIA",B28))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147</vt:i4>
      </vt:variant>
    </vt:vector>
  </HeadingPairs>
  <TitlesOfParts>
    <vt:vector size="162" baseType="lpstr">
      <vt:lpstr>INGRESO_DATOS</vt:lpstr>
      <vt:lpstr>BARRAS_PERU</vt:lpstr>
      <vt:lpstr>CARGAS</vt:lpstr>
      <vt:lpstr>GEOMETRIA</vt:lpstr>
      <vt:lpstr>RESULTANTE</vt:lpstr>
      <vt:lpstr>PRESIONES_SERVICIO</vt:lpstr>
      <vt:lpstr>PRESIONES_ULTIMAS</vt:lpstr>
      <vt:lpstr>DIAGRAMAS_X</vt:lpstr>
      <vt:lpstr>DIAGRAMAS_Y</vt:lpstr>
      <vt:lpstr>PUNZONAMIENTO</vt:lpstr>
      <vt:lpstr>CORTANTE_UNIDIRECCIONAL</vt:lpstr>
      <vt:lpstr>FLEXION_ACERO</vt:lpstr>
      <vt:lpstr>ACERO_DETALLADO</vt:lpstr>
      <vt:lpstr>GRAFICOS</vt:lpstr>
      <vt:lpstr>RESUMEN</vt:lpstr>
      <vt:lpstr>acero_dc_max</vt:lpstr>
      <vt:lpstr>acero_result</vt:lpstr>
      <vt:lpstr>acero_sep_result</vt:lpstr>
      <vt:lpstr>bar_area_cm2</vt:lpstr>
      <vt:lpstr>bar_codes</vt:lpstr>
      <vt:lpstr>bar_diam_cm</vt:lpstr>
      <vt:lpstr>bar_peso_kgm</vt:lpstr>
      <vt:lpstr>cort_dc</vt:lpstr>
      <vt:lpstr>cort_result</vt:lpstr>
      <vt:lpstr>cort_vu_max</vt:lpstr>
      <vt:lpstr>diagx_m_face_minus</vt:lpstr>
      <vt:lpstr>diagx_m_face_plus</vt:lpstr>
      <vt:lpstr>diagx_m_neg</vt:lpstr>
      <vt:lpstr>diagx_m_pos</vt:lpstr>
      <vt:lpstr>diagx_mu_por_m</vt:lpstr>
      <vt:lpstr>diagx_v_abs</vt:lpstr>
      <vt:lpstr>diagy_m_face_minus</vt:lpstr>
      <vt:lpstr>diagy_m_face_plus</vt:lpstr>
      <vt:lpstr>diagy_m_neg</vt:lpstr>
      <vt:lpstr>diagy_m_pos</vt:lpstr>
      <vt:lpstr>diagy_mu_por_m</vt:lpstr>
      <vt:lpstr>diagy_v_abs</vt:lpstr>
      <vt:lpstr>flex_as_req_inf_x</vt:lpstr>
      <vt:lpstr>flex_as_req_inf_y</vt:lpstr>
      <vt:lpstr>flex_as_req_sup_x</vt:lpstr>
      <vt:lpstr>flex_as_req_sup_y</vt:lpstr>
      <vt:lpstr>flex_dc</vt:lpstr>
      <vt:lpstr>flex_mu_inf_x</vt:lpstr>
      <vt:lpstr>flex_mu_inf_y</vt:lpstr>
      <vt:lpstr>flex_mu_sup_x</vt:lpstr>
      <vt:lpstr>flex_mu_sup_y</vt:lpstr>
      <vt:lpstr>geo_area</vt:lpstr>
      <vt:lpstr>geo_col_inside_status</vt:lpstr>
      <vt:lpstr>geo_ix</vt:lpstr>
      <vt:lpstr>geo_iy</vt:lpstr>
      <vt:lpstr>geo_min_edge_dist</vt:lpstr>
      <vt:lpstr>geo_smax</vt:lpstr>
      <vt:lpstr>geo_vol_zapata</vt:lpstr>
      <vt:lpstr>geo_w_suelo</vt:lpstr>
      <vt:lpstr>geo_w_total</vt:lpstr>
      <vt:lpstr>geo_w_zapata</vt:lpstr>
      <vt:lpstr>inp_bar_inf_x</vt:lpstr>
      <vt:lpstr>inp_bar_inf_y</vt:lpstr>
      <vt:lpstr>inp_bar_sup_x</vt:lpstr>
      <vt:lpstr>inp_bar_sup_y</vt:lpstr>
      <vt:lpstr>inp_bx</vt:lpstr>
      <vt:lpstr>inp_by</vt:lpstr>
      <vt:lpstr>inp_convert_p</vt:lpstr>
      <vt:lpstr>inp_cx</vt:lpstr>
      <vt:lpstr>inp_cy</vt:lpstr>
      <vt:lpstr>inp_df</vt:lpstr>
      <vt:lpstr>inp_fc</vt:lpstr>
      <vt:lpstr>inp_fy</vt:lpstr>
      <vt:lpstr>inp_gamma_c</vt:lpstr>
      <vt:lpstr>inp_gamma_s</vt:lpstr>
      <vt:lpstr>inp_h</vt:lpstr>
      <vt:lpstr>inp_hs</vt:lpstr>
      <vt:lpstr>inp_mu</vt:lpstr>
      <vt:lpstr>inp_n_div_x</vt:lpstr>
      <vt:lpstr>inp_n_div_y</vt:lpstr>
      <vt:lpstr>inp_peso_suelo</vt:lpstr>
      <vt:lpstr>inp_peso_zapata</vt:lpstr>
      <vt:lpstr>inp_phi_f</vt:lpstr>
      <vt:lpstr>inp_phi_p</vt:lpstr>
      <vt:lpstr>inp_phi_v</vt:lpstr>
      <vt:lpstr>inp_qadm</vt:lpstr>
      <vt:lpstr>inp_rec_inf</vt:lpstr>
      <vt:lpstr>inp_rec_sup</vt:lpstr>
      <vt:lpstr>inp_rho_min</vt:lpstr>
      <vt:lpstr>inp_sep_inf_x</vt:lpstr>
      <vt:lpstr>inp_sep_inf_y</vt:lpstr>
      <vt:lpstr>inp_sep_max_usuario</vt:lpstr>
      <vt:lpstr>inp_sep_sup_x</vt:lpstr>
      <vt:lpstr>inp_sep_sup_y</vt:lpstr>
      <vt:lpstr>inp_sign_mx_fy</vt:lpstr>
      <vt:lpstr>inp_sign_my_fx</vt:lpstr>
      <vt:lpstr>inp_traslado</vt:lpstr>
      <vt:lpstr>inp_xc</vt:lpstr>
      <vt:lpstr>inp_yc</vt:lpstr>
      <vt:lpstr>inp_zh</vt:lpstr>
      <vt:lpstr>punz_bo</vt:lpstr>
      <vt:lpstr>punz_d_cm</vt:lpstr>
      <vt:lpstr>punz_d_x</vt:lpstr>
      <vt:lpstr>punz_d_y</vt:lpstr>
      <vt:lpstr>punz_dc</vt:lpstr>
      <vt:lpstr>punz_phi_vc</vt:lpstr>
      <vt:lpstr>punz_result</vt:lpstr>
      <vt:lpstr>punz_vu</vt:lpstr>
      <vt:lpstr>punz_warning_edge</vt:lpstr>
      <vt:lpstr>q_srv_max</vt:lpstr>
      <vt:lpstr>q_srv_min</vt:lpstr>
      <vt:lpstr>q_srv_mx_my</vt:lpstr>
      <vt:lpstr>q_srv_mx_py</vt:lpstr>
      <vt:lpstr>q_srv_px_my</vt:lpstr>
      <vt:lpstr>q_srv_px_py</vt:lpstr>
      <vt:lpstr>q_srv_qadm_status</vt:lpstr>
      <vt:lpstr>q_srv_uplift_status</vt:lpstr>
      <vt:lpstr>q_u_max</vt:lpstr>
      <vt:lpstr>q_u_min</vt:lpstr>
      <vt:lpstr>q_u_mx_my</vt:lpstr>
      <vt:lpstr>q_u_mx_py</vt:lpstr>
      <vt:lpstr>q_u_px_my</vt:lpstr>
      <vt:lpstr>q_u_px_py</vt:lpstr>
      <vt:lpstr>q_u_uplift_status</vt:lpstr>
      <vt:lpstr>res_srv_ex</vt:lpstr>
      <vt:lpstr>res_srv_ey</vt:lpstr>
      <vt:lpstr>res_srv_mx_tot</vt:lpstr>
      <vt:lpstr>res_srv_my_tot</vt:lpstr>
      <vt:lpstr>res_srv_nucleo</vt:lpstr>
      <vt:lpstr>res_srv_p_tot</vt:lpstr>
      <vt:lpstr>res_u_ex</vt:lpstr>
      <vt:lpstr>res_u_ey</vt:lpstr>
      <vt:lpstr>res_u_mx_tot</vt:lpstr>
      <vt:lpstr>res_u_my_tot</vt:lpstr>
      <vt:lpstr>res_u_nucleo</vt:lpstr>
      <vt:lpstr>res_u_p_tot</vt:lpstr>
      <vt:lpstr>resumen_final</vt:lpstr>
      <vt:lpstr>srv_fx</vt:lpstr>
      <vt:lpstr>srv_fy</vt:lpstr>
      <vt:lpstr>srv_mx</vt:lpstr>
      <vt:lpstr>srv_my</vt:lpstr>
      <vt:lpstr>srv_mz</vt:lpstr>
      <vt:lpstr>srv_p</vt:lpstr>
      <vt:lpstr>srv_raw_fx</vt:lpstr>
      <vt:lpstr>srv_raw_fy</vt:lpstr>
      <vt:lpstr>srv_raw_mx</vt:lpstr>
      <vt:lpstr>srv_raw_my</vt:lpstr>
      <vt:lpstr>srv_raw_mz</vt:lpstr>
      <vt:lpstr>srv_raw_p</vt:lpstr>
      <vt:lpstr>srv_source</vt:lpstr>
      <vt:lpstr>steel_as_inf_x</vt:lpstr>
      <vt:lpstr>steel_as_inf_y</vt:lpstr>
      <vt:lpstr>steel_as_sup_x</vt:lpstr>
      <vt:lpstr>steel_as_sup_y</vt:lpstr>
      <vt:lpstr>ult_fx</vt:lpstr>
      <vt:lpstr>ult_fy</vt:lpstr>
      <vt:lpstr>ult_mx</vt:lpstr>
      <vt:lpstr>ult_my</vt:lpstr>
      <vt:lpstr>ult_mz</vt:lpstr>
      <vt:lpstr>ult_p</vt:lpstr>
      <vt:lpstr>ult_raw_fx</vt:lpstr>
      <vt:lpstr>ult_raw_fy</vt:lpstr>
      <vt:lpstr>ult_raw_mx</vt:lpstr>
      <vt:lpstr>ult_raw_my</vt:lpstr>
      <vt:lpstr>ult_raw_mz</vt:lpstr>
      <vt:lpstr>ult_raw_p</vt:lpstr>
      <vt:lpstr>ult_source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Manuel Ignacio Davila Vargas</cp:lastModifiedBy>
  <dcterms:created xsi:type="dcterms:W3CDTF">2026-06-30T17:02:17Z</dcterms:created>
  <dcterms:modified xsi:type="dcterms:W3CDTF">2026-09-30T16:56:45Z</dcterms:modified>
</cp:coreProperties>
</file>